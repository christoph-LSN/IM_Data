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13_ncr:1_{385BB508-9410-423A-8262-0EE750FE533D}" xr6:coauthVersionLast="36" xr6:coauthVersionMax="36" xr10:uidLastSave="{00000000-0000-0000-0000-000000000000}"/>
  <bookViews>
    <workbookView xWindow="0" yWindow="0" windowWidth="28800" windowHeight="13110" firstSheet="2" activeTab="2" xr2:uid="{69447B90-9AB8-40B8-AF5C-7C161665CF18}"/>
  </bookViews>
  <sheets>
    <sheet name="2018_C6_Zeitreihe" sheetId="1" r:id="rId1"/>
    <sheet name="2021_Rohdaten_BA" sheetId="6" r:id="rId2"/>
    <sheet name="2021_Downloadtabelle_5-3-2" sheetId="7" r:id="rId3"/>
    <sheet name="2021_5-3-2_CSV_Vorbereitung" sheetId="8" r:id="rId4"/>
    <sheet name="2021_5-3-2_CSV_Export" sheetId="9" r:id="rId5"/>
    <sheet name="2021_5-3-2_CSV_Export2" sheetId="10" r:id="rId6"/>
    <sheet name="2021_5-3-2_CSV_Export_A" sheetId="11" r:id="rId7"/>
    <sheet name="2021_5-3-3_CSV_Export_B" sheetId="12" r:id="rId8"/>
    <sheet name="alte_Tabelle" sheetId="2" r:id="rId9"/>
    <sheet name="2018_C6_Rohdaten" sheetId="4" r:id="rId10"/>
    <sheet name="2018_C6_Rohdaten_2" sheetId="5" r:id="rId11"/>
    <sheet name="Rohdaten_BA" sheetId="3" r:id="rId12"/>
  </sheets>
  <definedNames>
    <definedName name="_xlnm._FilterDatabase" localSheetId="3" hidden="1">'2021_5-3-2_CSV_Vorbereitung'!$A$1:$E$271</definedName>
    <definedName name="_xlnm._FilterDatabase" localSheetId="11" hidden="1">Rohdaten_BA!$A$13:$AF$80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8" i="8" l="1"/>
  <c r="E258" i="8"/>
  <c r="C259" i="8"/>
  <c r="E259" i="8"/>
  <c r="C260" i="8"/>
  <c r="E260" i="8"/>
  <c r="C261" i="8"/>
  <c r="E261" i="8"/>
  <c r="C262" i="8"/>
  <c r="E262" i="8"/>
  <c r="C263" i="8"/>
  <c r="E263" i="8"/>
  <c r="C264" i="8"/>
  <c r="E264" i="8"/>
  <c r="C265" i="8"/>
  <c r="E265" i="8"/>
  <c r="C266" i="8"/>
  <c r="E266" i="8"/>
  <c r="C267" i="8"/>
  <c r="E267" i="8"/>
  <c r="C268" i="8"/>
  <c r="E268" i="8"/>
  <c r="C269" i="8"/>
  <c r="E269" i="8"/>
  <c r="C270" i="8"/>
  <c r="E270" i="8"/>
  <c r="C271" i="8"/>
  <c r="E271" i="8"/>
  <c r="E257" i="8"/>
  <c r="C257" i="8"/>
  <c r="C243" i="8"/>
  <c r="E243" i="8"/>
  <c r="C244" i="8"/>
  <c r="E244" i="8"/>
  <c r="C245" i="8"/>
  <c r="E245" i="8"/>
  <c r="C246" i="8"/>
  <c r="E246" i="8"/>
  <c r="C247" i="8"/>
  <c r="E247" i="8"/>
  <c r="C248" i="8"/>
  <c r="E248" i="8"/>
  <c r="C249" i="8"/>
  <c r="E249" i="8"/>
  <c r="C250" i="8"/>
  <c r="E250" i="8"/>
  <c r="C251" i="8"/>
  <c r="E251" i="8"/>
  <c r="C252" i="8"/>
  <c r="E252" i="8"/>
  <c r="C253" i="8"/>
  <c r="E253" i="8"/>
  <c r="C254" i="8"/>
  <c r="E254" i="8"/>
  <c r="C255" i="8"/>
  <c r="E255" i="8"/>
  <c r="C256" i="8"/>
  <c r="E256" i="8"/>
  <c r="E242" i="8"/>
  <c r="C242" i="8"/>
  <c r="C240" i="8"/>
  <c r="E240" i="8"/>
  <c r="C241" i="8"/>
  <c r="E241" i="8"/>
  <c r="C228" i="8"/>
  <c r="E228" i="8"/>
  <c r="C229" i="8"/>
  <c r="E229" i="8"/>
  <c r="C230" i="8"/>
  <c r="E230" i="8"/>
  <c r="C231" i="8"/>
  <c r="E231" i="8"/>
  <c r="C232" i="8"/>
  <c r="E232" i="8"/>
  <c r="C233" i="8"/>
  <c r="E233" i="8"/>
  <c r="C234" i="8"/>
  <c r="E234" i="8"/>
  <c r="C235" i="8"/>
  <c r="E235" i="8"/>
  <c r="C236" i="8"/>
  <c r="E236" i="8"/>
  <c r="C237" i="8"/>
  <c r="E237" i="8"/>
  <c r="C238" i="8"/>
  <c r="E238" i="8"/>
  <c r="C239" i="8"/>
  <c r="E239" i="8"/>
  <c r="E227" i="8"/>
  <c r="C227" i="8"/>
  <c r="C226" i="8"/>
  <c r="E226" i="8"/>
  <c r="C224" i="8"/>
  <c r="E224" i="8"/>
  <c r="C225" i="8"/>
  <c r="E225" i="8"/>
  <c r="C213" i="8"/>
  <c r="E213" i="8"/>
  <c r="C214" i="8"/>
  <c r="E214" i="8"/>
  <c r="C215" i="8"/>
  <c r="E215" i="8"/>
  <c r="C216" i="8"/>
  <c r="E216" i="8"/>
  <c r="C217" i="8"/>
  <c r="E217" i="8"/>
  <c r="C218" i="8"/>
  <c r="E218" i="8"/>
  <c r="C219" i="8"/>
  <c r="E219" i="8"/>
  <c r="C220" i="8"/>
  <c r="E220" i="8"/>
  <c r="C221" i="8"/>
  <c r="E221" i="8"/>
  <c r="C222" i="8"/>
  <c r="E222" i="8"/>
  <c r="C223" i="8"/>
  <c r="E223" i="8"/>
  <c r="E212" i="8"/>
  <c r="C212" i="8"/>
  <c r="C198" i="8"/>
  <c r="E198" i="8"/>
  <c r="C199" i="8"/>
  <c r="E199" i="8"/>
  <c r="C200" i="8"/>
  <c r="E200" i="8"/>
  <c r="C201" i="8"/>
  <c r="E201" i="8"/>
  <c r="C202" i="8"/>
  <c r="E202" i="8"/>
  <c r="C203" i="8"/>
  <c r="E203" i="8"/>
  <c r="C204" i="8"/>
  <c r="E204" i="8"/>
  <c r="C205" i="8"/>
  <c r="E205" i="8"/>
  <c r="C206" i="8"/>
  <c r="E206" i="8"/>
  <c r="C207" i="8"/>
  <c r="E207" i="8"/>
  <c r="C208" i="8"/>
  <c r="E208" i="8"/>
  <c r="C209" i="8"/>
  <c r="E209" i="8"/>
  <c r="C210" i="8"/>
  <c r="E210" i="8"/>
  <c r="C211" i="8"/>
  <c r="E211" i="8"/>
  <c r="C197" i="8"/>
  <c r="C168" i="8"/>
  <c r="C169" i="8"/>
  <c r="C170" i="8"/>
  <c r="C171" i="8"/>
  <c r="C172" i="8"/>
  <c r="C173" i="8"/>
  <c r="C174" i="8"/>
  <c r="C175" i="8"/>
  <c r="C176" i="8"/>
  <c r="C177" i="8"/>
  <c r="C178" i="8"/>
  <c r="C179" i="8"/>
  <c r="C180" i="8"/>
  <c r="C181" i="8"/>
  <c r="C167" i="8"/>
  <c r="C153" i="8"/>
  <c r="C154" i="8"/>
  <c r="C155" i="8"/>
  <c r="C156" i="8"/>
  <c r="C157" i="8"/>
  <c r="C158" i="8"/>
  <c r="C159" i="8"/>
  <c r="C160" i="8"/>
  <c r="C161" i="8"/>
  <c r="C162" i="8"/>
  <c r="C163" i="8"/>
  <c r="C164" i="8"/>
  <c r="C165" i="8"/>
  <c r="C166" i="8"/>
  <c r="C152" i="8"/>
  <c r="E197" i="8"/>
  <c r="C183" i="8"/>
  <c r="E183" i="8"/>
  <c r="C184" i="8"/>
  <c r="E184" i="8"/>
  <c r="C185" i="8"/>
  <c r="E185" i="8"/>
  <c r="C186" i="8"/>
  <c r="E186" i="8"/>
  <c r="C187" i="8"/>
  <c r="E187" i="8"/>
  <c r="C188" i="8"/>
  <c r="E188" i="8"/>
  <c r="C189" i="8"/>
  <c r="E189" i="8"/>
  <c r="C190" i="8"/>
  <c r="E190" i="8"/>
  <c r="C191" i="8"/>
  <c r="E191" i="8"/>
  <c r="C192" i="8"/>
  <c r="E192" i="8"/>
  <c r="C193" i="8"/>
  <c r="E193" i="8"/>
  <c r="C194" i="8"/>
  <c r="E194" i="8"/>
  <c r="C195" i="8"/>
  <c r="E195" i="8"/>
  <c r="C196" i="8"/>
  <c r="E196" i="8"/>
  <c r="E182" i="8"/>
  <c r="C182" i="8"/>
  <c r="E168" i="8"/>
  <c r="E169" i="8"/>
  <c r="E170" i="8"/>
  <c r="E171" i="8"/>
  <c r="E172" i="8"/>
  <c r="E173" i="8"/>
  <c r="E174" i="8"/>
  <c r="E175" i="8"/>
  <c r="E176" i="8"/>
  <c r="E177" i="8"/>
  <c r="E178" i="8"/>
  <c r="E179" i="8"/>
  <c r="E180" i="8"/>
  <c r="E181" i="8"/>
  <c r="E167" i="8"/>
  <c r="E153" i="8"/>
  <c r="E154" i="8"/>
  <c r="E155" i="8"/>
  <c r="E156" i="8"/>
  <c r="E157" i="8"/>
  <c r="E158" i="8"/>
  <c r="E159" i="8"/>
  <c r="E160" i="8"/>
  <c r="E161" i="8"/>
  <c r="E162" i="8"/>
  <c r="E163" i="8"/>
  <c r="E164" i="8"/>
  <c r="E165" i="8"/>
  <c r="E166" i="8"/>
  <c r="E152" i="8"/>
  <c r="C138" i="8"/>
  <c r="E138" i="8"/>
  <c r="C139" i="8"/>
  <c r="E139" i="8"/>
  <c r="C140" i="8"/>
  <c r="E140" i="8"/>
  <c r="C141" i="8"/>
  <c r="E141" i="8"/>
  <c r="C142" i="8"/>
  <c r="E142" i="8"/>
  <c r="C143" i="8"/>
  <c r="E143" i="8"/>
  <c r="C144" i="8"/>
  <c r="E144" i="8"/>
  <c r="C145" i="8"/>
  <c r="E145" i="8"/>
  <c r="C146" i="8"/>
  <c r="E146" i="8"/>
  <c r="C147" i="8"/>
  <c r="E147" i="8"/>
  <c r="C148" i="8"/>
  <c r="E148" i="8"/>
  <c r="C149" i="8"/>
  <c r="E149" i="8"/>
  <c r="C150" i="8"/>
  <c r="E150" i="8"/>
  <c r="C151" i="8"/>
  <c r="E151" i="8"/>
  <c r="E137" i="8"/>
  <c r="C137" i="8"/>
  <c r="C123" i="8"/>
  <c r="E123" i="8"/>
  <c r="C124" i="8"/>
  <c r="E124" i="8"/>
  <c r="C125" i="8"/>
  <c r="E125" i="8"/>
  <c r="C126" i="8"/>
  <c r="E126" i="8"/>
  <c r="C127" i="8"/>
  <c r="E127" i="8"/>
  <c r="C128" i="8"/>
  <c r="E128" i="8"/>
  <c r="C129" i="8"/>
  <c r="E129" i="8"/>
  <c r="C130" i="8"/>
  <c r="E130" i="8"/>
  <c r="C131" i="8"/>
  <c r="E131" i="8"/>
  <c r="C132" i="8"/>
  <c r="E132" i="8"/>
  <c r="C133" i="8"/>
  <c r="E133" i="8"/>
  <c r="C134" i="8"/>
  <c r="E134" i="8"/>
  <c r="C135" i="8"/>
  <c r="E135" i="8"/>
  <c r="C136" i="8"/>
  <c r="E136" i="8"/>
  <c r="E122" i="8"/>
  <c r="C122" i="8"/>
  <c r="C108" i="8"/>
  <c r="E108" i="8"/>
  <c r="C109" i="8"/>
  <c r="E109" i="8"/>
  <c r="C110" i="8"/>
  <c r="E110" i="8"/>
  <c r="C111" i="8"/>
  <c r="E111" i="8"/>
  <c r="C112" i="8"/>
  <c r="E112" i="8"/>
  <c r="C113" i="8"/>
  <c r="E113" i="8"/>
  <c r="C114" i="8"/>
  <c r="E114" i="8"/>
  <c r="C115" i="8"/>
  <c r="E115" i="8"/>
  <c r="C116" i="8"/>
  <c r="E116" i="8"/>
  <c r="C117" i="8"/>
  <c r="E117" i="8"/>
  <c r="C118" i="8"/>
  <c r="E118" i="8"/>
  <c r="C119" i="8"/>
  <c r="E119" i="8"/>
  <c r="C120" i="8"/>
  <c r="E120" i="8"/>
  <c r="C121" i="8"/>
  <c r="E121" i="8"/>
  <c r="E107" i="8"/>
  <c r="C107" i="8"/>
  <c r="C93" i="8"/>
  <c r="E93" i="8"/>
  <c r="C94" i="8"/>
  <c r="E94" i="8"/>
  <c r="C95" i="8"/>
  <c r="E95" i="8"/>
  <c r="C96" i="8"/>
  <c r="E96" i="8"/>
  <c r="C97" i="8"/>
  <c r="E97" i="8"/>
  <c r="C98" i="8"/>
  <c r="E98" i="8"/>
  <c r="C99" i="8"/>
  <c r="E99" i="8"/>
  <c r="C100" i="8"/>
  <c r="E100" i="8"/>
  <c r="C101" i="8"/>
  <c r="E101" i="8"/>
  <c r="C102" i="8"/>
  <c r="E102" i="8"/>
  <c r="C103" i="8"/>
  <c r="E103" i="8"/>
  <c r="C104" i="8"/>
  <c r="E104" i="8"/>
  <c r="C105" i="8"/>
  <c r="E105" i="8"/>
  <c r="C106" i="8"/>
  <c r="E106" i="8"/>
  <c r="E92" i="8"/>
  <c r="C92" i="8"/>
  <c r="C78" i="8"/>
  <c r="E78" i="8"/>
  <c r="C79" i="8"/>
  <c r="E79" i="8"/>
  <c r="C80" i="8"/>
  <c r="E80" i="8"/>
  <c r="C81" i="8"/>
  <c r="E81" i="8"/>
  <c r="C82" i="8"/>
  <c r="E82" i="8"/>
  <c r="C83" i="8"/>
  <c r="E83" i="8"/>
  <c r="C84" i="8"/>
  <c r="E84" i="8"/>
  <c r="C85" i="8"/>
  <c r="E85" i="8"/>
  <c r="C86" i="8"/>
  <c r="E86" i="8"/>
  <c r="C87" i="8"/>
  <c r="E87" i="8"/>
  <c r="C88" i="8"/>
  <c r="E88" i="8"/>
  <c r="C89" i="8"/>
  <c r="E89" i="8"/>
  <c r="C90" i="8"/>
  <c r="E90" i="8"/>
  <c r="C91" i="8"/>
  <c r="E91" i="8"/>
  <c r="E77" i="8"/>
  <c r="C77" i="8"/>
  <c r="C63" i="8"/>
  <c r="E63" i="8"/>
  <c r="C64" i="8"/>
  <c r="E64" i="8"/>
  <c r="C65" i="8"/>
  <c r="E65" i="8"/>
  <c r="C66" i="8"/>
  <c r="E66" i="8"/>
  <c r="C67" i="8"/>
  <c r="E67" i="8"/>
  <c r="C68" i="8"/>
  <c r="E68" i="8"/>
  <c r="C69" i="8"/>
  <c r="E69" i="8"/>
  <c r="C70" i="8"/>
  <c r="E70" i="8"/>
  <c r="C71" i="8"/>
  <c r="E71" i="8"/>
  <c r="C72" i="8"/>
  <c r="E72" i="8"/>
  <c r="C73" i="8"/>
  <c r="E73" i="8"/>
  <c r="C74" i="8"/>
  <c r="E74" i="8"/>
  <c r="C75" i="8"/>
  <c r="E75" i="8"/>
  <c r="C76" i="8"/>
  <c r="E76" i="8"/>
  <c r="E62" i="8"/>
  <c r="C62" i="8"/>
  <c r="C48" i="8"/>
  <c r="E48" i="8"/>
  <c r="C49" i="8"/>
  <c r="E49" i="8"/>
  <c r="C50" i="8"/>
  <c r="E50" i="8"/>
  <c r="C51" i="8"/>
  <c r="E51" i="8"/>
  <c r="C52" i="8"/>
  <c r="E52" i="8"/>
  <c r="C53" i="8"/>
  <c r="E53" i="8"/>
  <c r="C54" i="8"/>
  <c r="E54" i="8"/>
  <c r="C55" i="8"/>
  <c r="E55" i="8"/>
  <c r="C56" i="8"/>
  <c r="E56" i="8"/>
  <c r="C57" i="8"/>
  <c r="E57" i="8"/>
  <c r="C58" i="8"/>
  <c r="E58" i="8"/>
  <c r="C59" i="8"/>
  <c r="E59" i="8"/>
  <c r="C60" i="8"/>
  <c r="E60" i="8"/>
  <c r="C61" i="8"/>
  <c r="E61" i="8"/>
  <c r="E47" i="8"/>
  <c r="C47" i="8"/>
  <c r="C33" i="8"/>
  <c r="E33" i="8"/>
  <c r="C34" i="8"/>
  <c r="E34" i="8"/>
  <c r="C35" i="8"/>
  <c r="E35" i="8"/>
  <c r="C36" i="8"/>
  <c r="E36" i="8"/>
  <c r="C37" i="8"/>
  <c r="E37" i="8"/>
  <c r="C38" i="8"/>
  <c r="E38" i="8"/>
  <c r="C39" i="8"/>
  <c r="E39" i="8"/>
  <c r="C40" i="8"/>
  <c r="E40" i="8"/>
  <c r="C41" i="8"/>
  <c r="E41" i="8"/>
  <c r="C42" i="8"/>
  <c r="E42" i="8"/>
  <c r="C43" i="8"/>
  <c r="E43" i="8"/>
  <c r="C44" i="8"/>
  <c r="E44" i="8"/>
  <c r="C45" i="8"/>
  <c r="E45" i="8"/>
  <c r="C46" i="8"/>
  <c r="E46" i="8"/>
  <c r="E32" i="8"/>
  <c r="C32" i="8"/>
  <c r="C18" i="8"/>
  <c r="C19" i="8"/>
  <c r="C20" i="8"/>
  <c r="C21" i="8"/>
  <c r="C22" i="8"/>
  <c r="C23" i="8"/>
  <c r="C24" i="8"/>
  <c r="C25" i="8"/>
  <c r="C26" i="8"/>
  <c r="C27" i="8"/>
  <c r="C28" i="8"/>
  <c r="C29" i="8"/>
  <c r="C30" i="8"/>
  <c r="C31" i="8"/>
  <c r="C17" i="8"/>
  <c r="E18" i="8"/>
  <c r="E19" i="8"/>
  <c r="E20" i="8"/>
  <c r="E21" i="8"/>
  <c r="E22" i="8"/>
  <c r="E23" i="8"/>
  <c r="E24" i="8"/>
  <c r="E25" i="8"/>
  <c r="E26" i="8"/>
  <c r="E27" i="8"/>
  <c r="E28" i="8"/>
  <c r="E29" i="8"/>
  <c r="E30" i="8"/>
  <c r="E31" i="8"/>
  <c r="E17" i="8"/>
  <c r="A3" i="8" l="1"/>
  <c r="E3" i="8"/>
  <c r="A4" i="8"/>
  <c r="E4" i="8"/>
  <c r="A5" i="8"/>
  <c r="E5" i="8"/>
  <c r="A6" i="8"/>
  <c r="E6" i="8"/>
  <c r="A7" i="8"/>
  <c r="E7" i="8"/>
  <c r="A8" i="8"/>
  <c r="E8" i="8"/>
  <c r="A9" i="8"/>
  <c r="E9" i="8"/>
  <c r="A10" i="8"/>
  <c r="E10" i="8"/>
  <c r="A11" i="8"/>
  <c r="E11" i="8"/>
  <c r="A12" i="8"/>
  <c r="E12" i="8"/>
  <c r="A13" i="8"/>
  <c r="E13" i="8"/>
  <c r="A14" i="8"/>
  <c r="E14" i="8"/>
  <c r="A15" i="8"/>
  <c r="E15" i="8"/>
  <c r="A16" i="8"/>
  <c r="E16" i="8"/>
  <c r="E2" i="8"/>
  <c r="A2" i="8"/>
  <c r="Q24" i="7"/>
  <c r="P24" i="7"/>
  <c r="O24" i="7"/>
  <c r="R24" i="7" s="1"/>
  <c r="N24" i="7"/>
  <c r="M24" i="7"/>
  <c r="L24" i="7"/>
  <c r="H24" i="7"/>
  <c r="G24" i="7"/>
  <c r="J24" i="7" s="1"/>
  <c r="F24" i="7"/>
  <c r="E24" i="7"/>
  <c r="D24" i="7"/>
  <c r="C24" i="7"/>
  <c r="Q23" i="7"/>
  <c r="P23" i="7"/>
  <c r="O23" i="7"/>
  <c r="N23" i="7"/>
  <c r="M23" i="7"/>
  <c r="L23" i="7"/>
  <c r="H23" i="7"/>
  <c r="K23" i="7" s="1"/>
  <c r="G23" i="7"/>
  <c r="F23" i="7"/>
  <c r="E23" i="7"/>
  <c r="D23" i="7"/>
  <c r="C23" i="7"/>
  <c r="Q22" i="7"/>
  <c r="P22" i="7"/>
  <c r="O22" i="7"/>
  <c r="R22" i="7" s="1"/>
  <c r="N22" i="7"/>
  <c r="M22" i="7"/>
  <c r="L22" i="7"/>
  <c r="H22" i="7"/>
  <c r="K22" i="7" s="1"/>
  <c r="G22" i="7"/>
  <c r="F22" i="7"/>
  <c r="I22" i="7" s="1"/>
  <c r="E22" i="7"/>
  <c r="D22" i="7"/>
  <c r="C22" i="7"/>
  <c r="Q21" i="7"/>
  <c r="P21" i="7"/>
  <c r="S21" i="7" s="1"/>
  <c r="O21" i="7"/>
  <c r="R21" i="7" s="1"/>
  <c r="N21" i="7"/>
  <c r="M21" i="7"/>
  <c r="L21" i="7"/>
  <c r="H21" i="7"/>
  <c r="G21" i="7"/>
  <c r="J21" i="7" s="1"/>
  <c r="F21" i="7"/>
  <c r="I21" i="7" s="1"/>
  <c r="E21" i="7"/>
  <c r="D21" i="7"/>
  <c r="C21" i="7"/>
  <c r="Q20" i="7"/>
  <c r="P20" i="7"/>
  <c r="S20" i="7" s="1"/>
  <c r="O20" i="7"/>
  <c r="R20" i="7" s="1"/>
  <c r="N20" i="7"/>
  <c r="M20" i="7"/>
  <c r="L20" i="7"/>
  <c r="H20" i="7"/>
  <c r="G20" i="7"/>
  <c r="F20" i="7"/>
  <c r="E20" i="7"/>
  <c r="D20" i="7"/>
  <c r="C20" i="7"/>
  <c r="Q19" i="7"/>
  <c r="P19" i="7"/>
  <c r="O19" i="7"/>
  <c r="R19" i="7" s="1"/>
  <c r="N19" i="7"/>
  <c r="M19" i="7"/>
  <c r="L19" i="7"/>
  <c r="H19" i="7"/>
  <c r="K19" i="7" s="1"/>
  <c r="G19" i="7"/>
  <c r="F19" i="7"/>
  <c r="E19" i="7"/>
  <c r="D19" i="7"/>
  <c r="C19" i="7"/>
  <c r="Q18" i="7"/>
  <c r="P18" i="7"/>
  <c r="O18" i="7"/>
  <c r="R18" i="7" s="1"/>
  <c r="N18" i="7"/>
  <c r="M18" i="7"/>
  <c r="L18" i="7"/>
  <c r="H18" i="7"/>
  <c r="G18" i="7"/>
  <c r="F18" i="7"/>
  <c r="E18" i="7"/>
  <c r="D18" i="7"/>
  <c r="C18" i="7"/>
  <c r="I18" i="7" s="1"/>
  <c r="Q17" i="7"/>
  <c r="T17" i="7" s="1"/>
  <c r="P17" i="7"/>
  <c r="O17" i="7"/>
  <c r="R17" i="7" s="1"/>
  <c r="N17" i="7"/>
  <c r="M17" i="7"/>
  <c r="L17" i="7"/>
  <c r="H17" i="7"/>
  <c r="G17" i="7"/>
  <c r="F17" i="7"/>
  <c r="I17" i="7" s="1"/>
  <c r="E17" i="7"/>
  <c r="D17" i="7"/>
  <c r="J17" i="7" s="1"/>
  <c r="C17" i="7"/>
  <c r="S16" i="7"/>
  <c r="Q16" i="7"/>
  <c r="T16" i="7" s="1"/>
  <c r="P16" i="7"/>
  <c r="O16" i="7"/>
  <c r="N16" i="7"/>
  <c r="M16" i="7"/>
  <c r="L16" i="7"/>
  <c r="H16" i="7"/>
  <c r="G16" i="7"/>
  <c r="F16" i="7"/>
  <c r="E16" i="7"/>
  <c r="D16" i="7"/>
  <c r="C16" i="7"/>
  <c r="Q15" i="7"/>
  <c r="P15" i="7"/>
  <c r="S15" i="7" s="1"/>
  <c r="O15" i="7"/>
  <c r="N15" i="7"/>
  <c r="M15" i="7"/>
  <c r="L15" i="7"/>
  <c r="H15" i="7"/>
  <c r="G15" i="7"/>
  <c r="F15" i="7"/>
  <c r="E15" i="7"/>
  <c r="D15" i="7"/>
  <c r="C15" i="7"/>
  <c r="Q14" i="7"/>
  <c r="P14" i="7"/>
  <c r="S14" i="7" s="1"/>
  <c r="O14" i="7"/>
  <c r="N14" i="7"/>
  <c r="M14" i="7"/>
  <c r="L14" i="7"/>
  <c r="H14" i="7"/>
  <c r="K14" i="7" s="1"/>
  <c r="G14" i="7"/>
  <c r="F14" i="7"/>
  <c r="I14" i="7" s="1"/>
  <c r="E14" i="7"/>
  <c r="D14" i="7"/>
  <c r="C14" i="7"/>
  <c r="S13" i="7"/>
  <c r="Q13" i="7"/>
  <c r="T13" i="7" s="1"/>
  <c r="P13" i="7"/>
  <c r="O13" i="7"/>
  <c r="R13" i="7" s="1"/>
  <c r="N13" i="7"/>
  <c r="M13" i="7"/>
  <c r="L13" i="7"/>
  <c r="K13" i="7"/>
  <c r="I13" i="7"/>
  <c r="H13" i="7"/>
  <c r="G13" i="7"/>
  <c r="J13" i="7" s="1"/>
  <c r="F13" i="7"/>
  <c r="E13" i="7"/>
  <c r="D13" i="7"/>
  <c r="C13" i="7"/>
  <c r="T12" i="7"/>
  <c r="S12" i="7"/>
  <c r="Q12" i="7"/>
  <c r="P12" i="7"/>
  <c r="O12" i="7"/>
  <c r="N12" i="7"/>
  <c r="M12" i="7"/>
  <c r="L12" i="7"/>
  <c r="R12" i="7" s="1"/>
  <c r="H12" i="7"/>
  <c r="G12" i="7"/>
  <c r="F12" i="7"/>
  <c r="E12" i="7"/>
  <c r="D12" i="7"/>
  <c r="C12" i="7"/>
  <c r="Q11" i="7"/>
  <c r="P11" i="7"/>
  <c r="S11" i="7" s="1"/>
  <c r="O11" i="7"/>
  <c r="N11" i="7"/>
  <c r="M11" i="7"/>
  <c r="L11" i="7"/>
  <c r="H11" i="7"/>
  <c r="G11" i="7"/>
  <c r="F11" i="7"/>
  <c r="E11" i="7"/>
  <c r="D11" i="7"/>
  <c r="C11" i="7"/>
  <c r="Q10" i="7"/>
  <c r="T10" i="7" s="1"/>
  <c r="P10" i="7"/>
  <c r="O10" i="7"/>
  <c r="N10" i="7"/>
  <c r="M10" i="7"/>
  <c r="L10" i="7"/>
  <c r="H10" i="7"/>
  <c r="G10" i="7"/>
  <c r="J10" i="7" s="1"/>
  <c r="F10" i="7"/>
  <c r="I10" i="7" s="1"/>
  <c r="E10" i="7"/>
  <c r="D10" i="7"/>
  <c r="C10" i="7"/>
  <c r="E23" i="1"/>
  <c r="K23" i="1" s="1"/>
  <c r="F23" i="1"/>
  <c r="L23" i="1" s="1"/>
  <c r="G23" i="1"/>
  <c r="H23" i="1"/>
  <c r="I23" i="1"/>
  <c r="J23" i="1"/>
  <c r="M23" i="1"/>
  <c r="N23" i="1"/>
  <c r="T23" i="1" s="1"/>
  <c r="O23" i="1"/>
  <c r="U23" i="1" s="1"/>
  <c r="P23" i="1"/>
  <c r="V23" i="1" s="1"/>
  <c r="Q23" i="1"/>
  <c r="R23" i="1"/>
  <c r="S23" i="1"/>
  <c r="T11" i="7" l="1"/>
  <c r="K21" i="7"/>
  <c r="T21" i="7"/>
  <c r="R23" i="7"/>
  <c r="J18" i="7"/>
  <c r="T18" i="7"/>
  <c r="I20" i="7"/>
  <c r="T20" i="7"/>
  <c r="I11" i="7"/>
  <c r="S17" i="7"/>
  <c r="K18" i="7"/>
  <c r="J20" i="7"/>
  <c r="S24" i="7"/>
  <c r="K17" i="7"/>
  <c r="K20" i="7"/>
  <c r="I12" i="7"/>
  <c r="R11" i="7"/>
  <c r="K12" i="7"/>
  <c r="R15" i="7"/>
  <c r="K16" i="7"/>
  <c r="J22" i="7"/>
  <c r="T22" i="7"/>
  <c r="I24" i="7"/>
  <c r="T24" i="7"/>
  <c r="J11" i="7"/>
  <c r="I15" i="7"/>
  <c r="T15" i="7"/>
  <c r="R16" i="7"/>
  <c r="S19" i="7"/>
  <c r="S23" i="7"/>
  <c r="R10" i="7"/>
  <c r="K11" i="7"/>
  <c r="I19" i="7"/>
  <c r="T19" i="7"/>
  <c r="I23" i="7"/>
  <c r="T23" i="7"/>
  <c r="J15" i="7"/>
  <c r="S10" i="7"/>
  <c r="R14" i="7"/>
  <c r="K15" i="7"/>
  <c r="J16" i="7"/>
  <c r="J19" i="7"/>
  <c r="J23" i="7"/>
  <c r="K10" i="7"/>
  <c r="J12" i="7"/>
  <c r="J14" i="7"/>
  <c r="T14" i="7"/>
  <c r="I16" i="7"/>
  <c r="S18" i="7"/>
  <c r="S22" i="7"/>
  <c r="K24" i="7"/>
  <c r="E9" i="1"/>
  <c r="F9" i="1"/>
  <c r="G9" i="1"/>
  <c r="H9" i="1"/>
  <c r="I9" i="1"/>
  <c r="J9" i="1"/>
  <c r="N9" i="1"/>
  <c r="O9" i="1"/>
  <c r="U9" i="1" s="1"/>
  <c r="P9" i="1"/>
  <c r="Q9" i="1"/>
  <c r="R9" i="1"/>
  <c r="S9" i="1"/>
  <c r="E10" i="1"/>
  <c r="F10" i="1"/>
  <c r="G10" i="1"/>
  <c r="H10" i="1"/>
  <c r="I10" i="1"/>
  <c r="L10" i="1" s="1"/>
  <c r="J10" i="1"/>
  <c r="N10" i="1"/>
  <c r="O10" i="1"/>
  <c r="P10" i="1"/>
  <c r="Q10" i="1"/>
  <c r="T10" i="1" s="1"/>
  <c r="R10" i="1"/>
  <c r="U10" i="1" s="1"/>
  <c r="S10" i="1"/>
  <c r="E11" i="1"/>
  <c r="F11" i="1"/>
  <c r="G11" i="1"/>
  <c r="H11" i="1"/>
  <c r="I11" i="1"/>
  <c r="J11" i="1"/>
  <c r="M11" i="1" s="1"/>
  <c r="N11" i="1"/>
  <c r="O11" i="1"/>
  <c r="P11" i="1"/>
  <c r="Q11" i="1"/>
  <c r="T11" i="1" s="1"/>
  <c r="R11" i="1"/>
  <c r="S11" i="1"/>
  <c r="E12" i="1"/>
  <c r="F12" i="1"/>
  <c r="G12" i="1"/>
  <c r="H12" i="1"/>
  <c r="I12" i="1"/>
  <c r="L12" i="1" s="1"/>
  <c r="J12" i="1"/>
  <c r="M12" i="1" s="1"/>
  <c r="N12" i="1"/>
  <c r="O12" i="1"/>
  <c r="P12" i="1"/>
  <c r="Q12" i="1"/>
  <c r="R12" i="1"/>
  <c r="S12" i="1"/>
  <c r="V12" i="1" s="1"/>
  <c r="E13" i="1"/>
  <c r="K13" i="1" s="1"/>
  <c r="F13" i="1"/>
  <c r="G13" i="1"/>
  <c r="H13" i="1"/>
  <c r="I13" i="1"/>
  <c r="J13" i="1"/>
  <c r="N13" i="1"/>
  <c r="O13" i="1"/>
  <c r="U13" i="1" s="1"/>
  <c r="P13" i="1"/>
  <c r="Q13" i="1"/>
  <c r="R13" i="1"/>
  <c r="S13" i="1"/>
  <c r="E14" i="1"/>
  <c r="F14" i="1"/>
  <c r="G14" i="1"/>
  <c r="M14" i="1" s="1"/>
  <c r="H14" i="1"/>
  <c r="I14" i="1"/>
  <c r="L14" i="1" s="1"/>
  <c r="J14" i="1"/>
  <c r="N14" i="1"/>
  <c r="O14" i="1"/>
  <c r="P14" i="1"/>
  <c r="Q14" i="1"/>
  <c r="T14" i="1" s="1"/>
  <c r="R14" i="1"/>
  <c r="U14" i="1" s="1"/>
  <c r="S14" i="1"/>
  <c r="E15" i="1"/>
  <c r="F15" i="1"/>
  <c r="G15" i="1"/>
  <c r="H15" i="1"/>
  <c r="I15" i="1"/>
  <c r="L15" i="1" s="1"/>
  <c r="J15" i="1"/>
  <c r="N15" i="1"/>
  <c r="O15" i="1"/>
  <c r="P15" i="1"/>
  <c r="Q15" i="1"/>
  <c r="R15" i="1"/>
  <c r="S15" i="1"/>
  <c r="E16" i="1"/>
  <c r="F16" i="1"/>
  <c r="G16" i="1"/>
  <c r="M16" i="1" s="1"/>
  <c r="H16" i="1"/>
  <c r="K16" i="1" s="1"/>
  <c r="I16" i="1"/>
  <c r="L16" i="1" s="1"/>
  <c r="J16" i="1"/>
  <c r="N16" i="1"/>
  <c r="O16" i="1"/>
  <c r="P16" i="1"/>
  <c r="Q16" i="1"/>
  <c r="R16" i="1"/>
  <c r="U16" i="1" s="1"/>
  <c r="S16" i="1"/>
  <c r="V16" i="1" s="1"/>
  <c r="E17" i="1"/>
  <c r="F17" i="1"/>
  <c r="G17" i="1"/>
  <c r="H17" i="1"/>
  <c r="I17" i="1"/>
  <c r="J17" i="1"/>
  <c r="N17" i="1"/>
  <c r="O17" i="1"/>
  <c r="P17" i="1"/>
  <c r="Q17" i="1"/>
  <c r="R17" i="1"/>
  <c r="S17" i="1"/>
  <c r="V17" i="1" s="1"/>
  <c r="E18" i="1"/>
  <c r="F18" i="1"/>
  <c r="L18" i="1" s="1"/>
  <c r="G18" i="1"/>
  <c r="H18" i="1"/>
  <c r="I18" i="1"/>
  <c r="J18" i="1"/>
  <c r="N18" i="1"/>
  <c r="O18" i="1"/>
  <c r="P18" i="1"/>
  <c r="Q18" i="1"/>
  <c r="T18" i="1" s="1"/>
  <c r="R18" i="1"/>
  <c r="U18" i="1" s="1"/>
  <c r="S18" i="1"/>
  <c r="E19" i="1"/>
  <c r="F19" i="1"/>
  <c r="G19" i="1"/>
  <c r="H19" i="1"/>
  <c r="K19" i="1" s="1"/>
  <c r="I19" i="1"/>
  <c r="J19" i="1"/>
  <c r="N19" i="1"/>
  <c r="O19" i="1"/>
  <c r="P19" i="1"/>
  <c r="Q19" i="1"/>
  <c r="R19" i="1"/>
  <c r="U19" i="1" s="1"/>
  <c r="S19" i="1"/>
  <c r="E20" i="1"/>
  <c r="F20" i="1"/>
  <c r="G20" i="1"/>
  <c r="M20" i="1" s="1"/>
  <c r="H20" i="1"/>
  <c r="I20" i="1"/>
  <c r="J20" i="1"/>
  <c r="N20" i="1"/>
  <c r="O20" i="1"/>
  <c r="U20" i="1" s="1"/>
  <c r="P20" i="1"/>
  <c r="Q20" i="1"/>
  <c r="T20" i="1" s="1"/>
  <c r="R20" i="1"/>
  <c r="S20" i="1"/>
  <c r="E21" i="1"/>
  <c r="F21" i="1"/>
  <c r="G21" i="1"/>
  <c r="H21" i="1"/>
  <c r="I21" i="1"/>
  <c r="L21" i="1" s="1"/>
  <c r="J21" i="1"/>
  <c r="N21" i="1"/>
  <c r="O21" i="1"/>
  <c r="P21" i="1"/>
  <c r="Q21" i="1"/>
  <c r="R21" i="1"/>
  <c r="S21" i="1"/>
  <c r="V21" i="1"/>
  <c r="M10" i="1" l="1"/>
  <c r="U21" i="1"/>
  <c r="T19" i="1"/>
  <c r="K15" i="1"/>
  <c r="V13" i="1"/>
  <c r="V20" i="1"/>
  <c r="K17" i="1"/>
  <c r="U15" i="1"/>
  <c r="M13" i="1"/>
  <c r="V11" i="1"/>
  <c r="K11" i="1"/>
  <c r="V9" i="1"/>
  <c r="K9" i="1"/>
  <c r="K21" i="1"/>
  <c r="M18" i="1"/>
  <c r="V15" i="1"/>
  <c r="U12" i="1"/>
  <c r="L11" i="1"/>
  <c r="L20" i="1"/>
  <c r="K20" i="1"/>
  <c r="U17" i="1"/>
  <c r="T15" i="1"/>
  <c r="T13" i="1"/>
  <c r="U11" i="1"/>
  <c r="M9" i="1"/>
  <c r="K18" i="1"/>
  <c r="K14" i="1"/>
  <c r="T9" i="1"/>
  <c r="L17" i="1"/>
  <c r="T16" i="1"/>
  <c r="K12" i="1"/>
  <c r="K10" i="1"/>
  <c r="T21" i="1"/>
  <c r="V18" i="1"/>
  <c r="T12" i="1"/>
  <c r="M21" i="1"/>
  <c r="M19" i="1"/>
  <c r="L13" i="1"/>
  <c r="V19" i="1"/>
  <c r="L19" i="1"/>
  <c r="T17" i="1"/>
  <c r="M17" i="1"/>
  <c r="M15" i="1"/>
  <c r="V14" i="1"/>
  <c r="L9" i="1"/>
  <c r="V10" i="1"/>
  <c r="T22" i="1"/>
  <c r="R22" i="1"/>
  <c r="U22" i="1" s="1"/>
  <c r="S22" i="1"/>
  <c r="V22" i="1" s="1"/>
  <c r="O22" i="1"/>
  <c r="P22" i="1"/>
  <c r="Q22" i="1"/>
  <c r="N22" i="1"/>
  <c r="F22" i="1"/>
  <c r="G22" i="1"/>
  <c r="M22" i="1" s="1"/>
  <c r="H22" i="1"/>
  <c r="K22" i="1" s="1"/>
  <c r="I22" i="1"/>
  <c r="J22" i="1"/>
  <c r="E22" i="1"/>
  <c r="L22" i="1" l="1"/>
</calcChain>
</file>

<file path=xl/sharedStrings.xml><?xml version="1.0" encoding="utf-8"?>
<sst xmlns="http://schemas.openxmlformats.org/spreadsheetml/2006/main" count="4941" uniqueCount="261">
  <si>
    <t>Arbeitsmarktstatistik</t>
  </si>
  <si>
    <t>Bestand Arbeitslose und Arbeitslosenquoten in der Altersgruppe 15 bis unter 25 Jahre</t>
  </si>
  <si>
    <t>Ausgewählte Regionen (Gebietsstand Juni 2019)</t>
  </si>
  <si>
    <t>Zeitreihe</t>
  </si>
  <si>
    <t>In Folge von Datenrevisionen sind Abweichungen zu früheren Auswertungen möglich. Bitte beachten Sie die methodischen Hinweise.</t>
  </si>
  <si>
    <t>Derzeit sind Arbeitslosenquoten für Ausländer aufgrund der starken Zuwanderung verzerrt; sie werden deshalb seit Januar 2017 nicht mehr unterhalb der Bundesländerebene ausgewiesen.</t>
  </si>
  <si>
    <t>Die Bundesagentur für Arbeit veröffentlicht keine Arbeitslosenquoten auf Grundlage einer Bezugsgröße von weniger als 15.000 zivilen Erwerbspersonen. Aufgrund der eingesetzten Schätzverfahren sind die Bezugsgrößen für kleine Regionaleinheiten, d. h. insbesondere für Gemeinden, nicht durchgängig valide. Bezugsgrößen unter 15.000 können verzerrt sein und werden nur sehr eingeschränkt verwendet, Bezugsgrößen unter 1.000 dürfen generell nicht genutzt werden.</t>
  </si>
  <si>
    <t>Berichts-monat</t>
  </si>
  <si>
    <t>Region</t>
  </si>
  <si>
    <t>Bestand Arbeitslose</t>
  </si>
  <si>
    <t>Arbeitslosenquoten (bezogen auf alle zivilen Erwerbspersonen)</t>
  </si>
  <si>
    <t>Insgesamt</t>
  </si>
  <si>
    <t>Deutsche</t>
  </si>
  <si>
    <t>Ausländer</t>
  </si>
  <si>
    <t xml:space="preserve">Männer </t>
  </si>
  <si>
    <t>Frauen</t>
  </si>
  <si>
    <t>Ins-gesamt</t>
  </si>
  <si>
    <t>15 bis unter 20 Jahre</t>
  </si>
  <si>
    <t>20 bis unter 25 Jahre</t>
  </si>
  <si>
    <t>03 Niedersachsen</t>
  </si>
  <si>
    <t>031 Statist. Region Braunschweig</t>
  </si>
  <si>
    <t>X</t>
  </si>
  <si>
    <t>032 Statist. Region Hannover</t>
  </si>
  <si>
    <t>033 Statist. Region Lüneburg</t>
  </si>
  <si>
    <t>034 Statist. Region Weser-Ems</t>
  </si>
  <si>
    <t>Erstellungsdatum: 17.07.2019, Statistik-Service Nordost, Auftragsnummer 288337</t>
  </si>
  <si>
    <t>© Statistik der Bundesagentur für Arbeit</t>
  </si>
  <si>
    <t>X = Nachweis nicht sinnvoll.</t>
  </si>
  <si>
    <r>
      <t>Berichtsmonat</t>
    </r>
    <r>
      <rPr>
        <vertAlign val="superscript"/>
        <sz val="6"/>
        <color indexed="8"/>
        <rFont val="NDSFrutiger 45 Light"/>
      </rPr>
      <t>1)</t>
    </r>
  </si>
  <si>
    <t>Arbeitslosenquote Insgesamt
(alle Erwerbspersonen)</t>
  </si>
  <si>
    <t>Arbeitslosenquote von Ausländerinnen und Ausländern (alle Erwerbspersonen)</t>
  </si>
  <si>
    <t>Abstand der Arbeitslosenquote von Ausländerinnen und Ausländern zu Insgesamt</t>
  </si>
  <si>
    <t>Männer</t>
  </si>
  <si>
    <t>Prozent</t>
  </si>
  <si>
    <t>Prozentpunkte</t>
  </si>
  <si>
    <t>Juni 2007</t>
  </si>
  <si>
    <t>Juni 2008</t>
  </si>
  <si>
    <t>Juni 2009</t>
  </si>
  <si>
    <t>Juni 2010</t>
  </si>
  <si>
    <t>Juni 2011</t>
  </si>
  <si>
    <t>Juni 2012</t>
  </si>
  <si>
    <t>Juni 2013</t>
  </si>
  <si>
    <t>Juni 2014</t>
  </si>
  <si>
    <t>Juni 2015</t>
  </si>
  <si>
    <t>Juni 2016</t>
  </si>
  <si>
    <t>Juni 2017</t>
  </si>
  <si>
    <t>Arbeitslosenquote der Ausländerinnen und Ausländer bis unter 25 Jahren</t>
  </si>
  <si>
    <t>Arbeitslosenquote (Insgesamt) der bis unter 25-Jährigen</t>
  </si>
  <si>
    <t>Juni 2018</t>
  </si>
  <si>
    <t>Juni 2019</t>
  </si>
  <si>
    <t>Arbeitslosenquoten nach Geschlecht und Staatsangehörigkeit</t>
  </si>
  <si>
    <t>Bundesland Niedersachsen (Gebietsstand August 2019)</t>
  </si>
  <si>
    <t>Berichtsmonat</t>
  </si>
  <si>
    <t>Arbeitslosenquoten, bezogen auf alle zivilen Erwerbspersonen</t>
  </si>
  <si>
    <t>Erstellungsdatum: 04.09.2019, Statistik-Service Nordost, Auftragsnummer 290820</t>
  </si>
  <si>
    <t>Arbeitslosenquoten nach Personengruppen</t>
  </si>
  <si>
    <t>Bundesland Niedersachsen</t>
  </si>
  <si>
    <t xml:space="preserve">In Folge von Datenrevisionen sind Abweichungen zu früheren Auswertungen möglich. </t>
  </si>
  <si>
    <t>AusländerInnen - gesamt</t>
  </si>
  <si>
    <t>Ausländerinnen</t>
  </si>
  <si>
    <t>15 bis unter 25 Jahre alt</t>
  </si>
  <si>
    <t>15 bis unter 20 Jahre alt</t>
  </si>
  <si>
    <t>20 bis unter 25 Jahre alt</t>
  </si>
  <si>
    <t>15 bis unter 25 Jahre alt
(AusländerInnen)</t>
  </si>
  <si>
    <t>15 bis unter 20 Jahre alt
(AusländerInnen)</t>
  </si>
  <si>
    <t>20 bis unter 25 Jahre alt
(AusländerInnen)</t>
  </si>
  <si>
    <t>Juni 2020</t>
  </si>
  <si>
    <t>Indikator C6: Entwicklung der Arbeitslosenquote</t>
  </si>
  <si>
    <t>Tabelle C6-3: Entwicklung der Arbeitslosenquoten nach Staatsangehörikeit und Geschlecht</t>
  </si>
  <si>
    <t>Juni 2021</t>
  </si>
  <si>
    <t>Zeitreihe, Datenstand: Juli 2021</t>
  </si>
  <si>
    <t>Bei der Interpretation der Arbeitslosenquoten für AusländerInnen sind die migrationsbedingten Veränderungen ihrer Erwerbspersonenzahl insbesondere in den Jahren 2015 bis 2017 zu berücksichtigen.</t>
  </si>
  <si>
    <t>Erstellungsdatum: 12.08.2021, Statistik-Service Nordost, Auftragsnummer 319799</t>
  </si>
  <si>
    <t>Indikator 5.3.2: Entwicklung der Arbeitslosenquote</t>
  </si>
  <si>
    <t>Tabelle 5.3.2: Entwicklung der Arbeitslosenquoten nach Staatsangehörikeit und Geschlecht</t>
  </si>
  <si>
    <t>Year</t>
  </si>
  <si>
    <t>Kategorie</t>
  </si>
  <si>
    <t>Geschlecht</t>
  </si>
  <si>
    <t>Units</t>
  </si>
  <si>
    <t>Value</t>
  </si>
  <si>
    <t>Arbeitslosenquote Insgesamt (alle Erwerbspersonen)</t>
  </si>
  <si>
    <t xml:space="preserve">% </t>
  </si>
  <si>
    <t>%</t>
  </si>
  <si>
    <t>Abstand der Arbeitslosenquote von Ausländerinnen und Ausländern zu Insgesamt (bis unter 25 Jahren)</t>
  </si>
  <si>
    <t>+9</t>
  </si>
  <si>
    <t>+13</t>
  </si>
  <si>
    <t>+7</t>
  </si>
  <si>
    <t>+6</t>
  </si>
  <si>
    <t>8.5</t>
  </si>
  <si>
    <t>7.4</t>
  </si>
  <si>
    <t>7.6</t>
  </si>
  <si>
    <t>7.3</t>
  </si>
  <si>
    <t>6.7</t>
  </si>
  <si>
    <t>6.2</t>
  </si>
  <si>
    <t>6.3</t>
  </si>
  <si>
    <t>5.9</t>
  </si>
  <si>
    <t>5.8</t>
  </si>
  <si>
    <t>5.6</t>
  </si>
  <si>
    <t>5.1</t>
  </si>
  <si>
    <t>4.9</t>
  </si>
  <si>
    <t>6</t>
  </si>
  <si>
    <t>5.5</t>
  </si>
  <si>
    <t>7.8</t>
  </si>
  <si>
    <t>6.9</t>
  </si>
  <si>
    <t>7.7</t>
  </si>
  <si>
    <t>6.5</t>
  </si>
  <si>
    <t>6.1</t>
  </si>
  <si>
    <t>5.3</t>
  </si>
  <si>
    <t>6.4</t>
  </si>
  <si>
    <t>5.7</t>
  </si>
  <si>
    <t>9.2</t>
  </si>
  <si>
    <t>7.9</t>
  </si>
  <si>
    <t>7.5</t>
  </si>
  <si>
    <t>5</t>
  </si>
  <si>
    <t>4.7</t>
  </si>
  <si>
    <t>20.8</t>
  </si>
  <si>
    <t>19.7</t>
  </si>
  <si>
    <t>19.4</t>
  </si>
  <si>
    <t>18.2</t>
  </si>
  <si>
    <t>17.2</t>
  </si>
  <si>
    <t>16</t>
  </si>
  <si>
    <t>15.7</t>
  </si>
  <si>
    <t>16.3</t>
  </si>
  <si>
    <t>18.1</t>
  </si>
  <si>
    <t>17.7</t>
  </si>
  <si>
    <t>15.6</t>
  </si>
  <si>
    <t>14.7</t>
  </si>
  <si>
    <t>17.8</t>
  </si>
  <si>
    <t>18.5</t>
  </si>
  <si>
    <t>18</t>
  </si>
  <si>
    <t>16.6</t>
  </si>
  <si>
    <t>15.5</t>
  </si>
  <si>
    <t>14.3</t>
  </si>
  <si>
    <t>14.1</t>
  </si>
  <si>
    <t>17.3</t>
  </si>
  <si>
    <t>13.2</t>
  </si>
  <si>
    <t>13.6</t>
  </si>
  <si>
    <t>24.1</t>
  </si>
  <si>
    <t>23.3</t>
  </si>
  <si>
    <t>21.3</t>
  </si>
  <si>
    <t>20.3</t>
  </si>
  <si>
    <t>19.5</t>
  </si>
  <si>
    <t>18.3</t>
  </si>
  <si>
    <t>19.1</t>
  </si>
  <si>
    <t>19.3</t>
  </si>
  <si>
    <t>19.8</t>
  </si>
  <si>
    <t>17.9</t>
  </si>
  <si>
    <t>20.4</t>
  </si>
  <si>
    <t>19</t>
  </si>
  <si>
    <t>+12.3</t>
  </si>
  <si>
    <t>+11.8</t>
  </si>
  <si>
    <t>+10.9</t>
  </si>
  <si>
    <t>+10.5</t>
  </si>
  <si>
    <t>+9.8</t>
  </si>
  <si>
    <t>+9.4</t>
  </si>
  <si>
    <t>+9.7</t>
  </si>
  <si>
    <t>+10.4</t>
  </si>
  <si>
    <t>+12.1</t>
  </si>
  <si>
    <t>+10.2</t>
  </si>
  <si>
    <t>+10.7</t>
  </si>
  <si>
    <t>+10.3</t>
  </si>
  <si>
    <t>+9.3</t>
  </si>
  <si>
    <t>+8.2</t>
  </si>
  <si>
    <t>+7.8</t>
  </si>
  <si>
    <t>+8.4</t>
  </si>
  <si>
    <t>+11.3</t>
  </si>
  <si>
    <t>+8.8</t>
  </si>
  <si>
    <t>+8.1</t>
  </si>
  <si>
    <t>+9.9</t>
  </si>
  <si>
    <t>+7.9</t>
  </si>
  <si>
    <t>+14.9</t>
  </si>
  <si>
    <t>+15.4</t>
  </si>
  <si>
    <t>+13.8</t>
  </si>
  <si>
    <t>+12.6</t>
  </si>
  <si>
    <t>+11.9</t>
  </si>
  <si>
    <t>+11.6</t>
  </si>
  <si>
    <t>+12.2</t>
  </si>
  <si>
    <t>+13.3</t>
  </si>
  <si>
    <t>+13.7</t>
  </si>
  <si>
    <t>+14.3</t>
  </si>
  <si>
    <t>+12.9</t>
  </si>
  <si>
    <t>+12.5</t>
  </si>
  <si>
    <t>+14.7</t>
  </si>
  <si>
    <t>6.6</t>
  </si>
  <si>
    <t>5.4</t>
  </si>
  <si>
    <t>5.2</t>
  </si>
  <si>
    <t>4.8</t>
  </si>
  <si>
    <t>4.4</t>
  </si>
  <si>
    <t>3.5</t>
  </si>
  <si>
    <t>3.7</t>
  </si>
  <si>
    <t>2.9</t>
  </si>
  <si>
    <t>3</t>
  </si>
  <si>
    <t>3.1</t>
  </si>
  <si>
    <t>3.4</t>
  </si>
  <si>
    <t>2.6</t>
  </si>
  <si>
    <t>2.7</t>
  </si>
  <si>
    <t>9.3</t>
  </si>
  <si>
    <t>9</t>
  </si>
  <si>
    <t>8</t>
  </si>
  <si>
    <t>7.1</t>
  </si>
  <si>
    <t>14.9</t>
  </si>
  <si>
    <t>13.1</t>
  </si>
  <si>
    <t>12.6</t>
  </si>
  <si>
    <t>11.7</t>
  </si>
  <si>
    <t>10.9</t>
  </si>
  <si>
    <t>11</t>
  </si>
  <si>
    <t>12</t>
  </si>
  <si>
    <t>16.4</t>
  </si>
  <si>
    <t>13.5</t>
  </si>
  <si>
    <t>12.1</t>
  </si>
  <si>
    <t>11.4</t>
  </si>
  <si>
    <t>13.7</t>
  </si>
  <si>
    <t>11.3</t>
  </si>
  <si>
    <t>10</t>
  </si>
  <si>
    <t>9.9</t>
  </si>
  <si>
    <t>8.9</t>
  </si>
  <si>
    <t>8.2</t>
  </si>
  <si>
    <t>10.3</t>
  </si>
  <si>
    <t>11.5</t>
  </si>
  <si>
    <t>13.4</t>
  </si>
  <si>
    <t>11.2</t>
  </si>
  <si>
    <t>9.4</t>
  </si>
  <si>
    <t>11.1</t>
  </si>
  <si>
    <t>10.1</t>
  </si>
  <si>
    <t>15.3</t>
  </si>
  <si>
    <t>13.8</t>
  </si>
  <si>
    <t>14.8</t>
  </si>
  <si>
    <t>12.7</t>
  </si>
  <si>
    <t>11.8</t>
  </si>
  <si>
    <t>18.8</t>
  </si>
  <si>
    <t>12.8</t>
  </si>
  <si>
    <t>15.8</t>
  </si>
  <si>
    <t>+6.8</t>
  </si>
  <si>
    <t>+6.2</t>
  </si>
  <si>
    <t>+6.3</t>
  </si>
  <si>
    <t>+5.7</t>
  </si>
  <si>
    <t>+5.3</t>
  </si>
  <si>
    <t>+6.4</t>
  </si>
  <si>
    <t>+7.2</t>
  </si>
  <si>
    <t>+12.7</t>
  </si>
  <si>
    <t>+11.1</t>
  </si>
  <si>
    <t>+7.7</t>
  </si>
  <si>
    <t>+8.9</t>
  </si>
  <si>
    <t>+6.7</t>
  </si>
  <si>
    <t>+5.2</t>
  </si>
  <si>
    <t>+6.1</t>
  </si>
  <si>
    <t>+7.3</t>
  </si>
  <si>
    <t>+8.6</t>
  </si>
  <si>
    <t>+8.3</t>
  </si>
  <si>
    <t>+7.4</t>
  </si>
  <si>
    <t>+5.8</t>
  </si>
  <si>
    <t>+5.5</t>
  </si>
  <si>
    <t>+4.8</t>
  </si>
  <si>
    <t>+5.9</t>
  </si>
  <si>
    <t>+6.5</t>
  </si>
  <si>
    <t>+8.7</t>
  </si>
  <si>
    <t/>
  </si>
  <si>
    <t>Arbeitslosenquoten</t>
  </si>
  <si>
    <t>Abstand der Arbeitslosenqote</t>
  </si>
  <si>
    <t>Altersgruppe</t>
  </si>
  <si>
    <t>Migration und Teilhabe in Niedersachsen - Integrationsmonitoring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</si>
</sst>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1" formatCode="_-* #,##0\ _€_-;\-* #,##0\ _€_-;_-* &quot;-&quot;\ _€_-;_-@_-"/>
    <numFmt numFmtId="44" formatCode="_-* #,##0.00\ &quot;€&quot;_-;\-* #,##0.00\ &quot;€&quot;_-;_-* &quot;-&quot;??\ &quot;€&quot;_-;_-@_-"/>
    <numFmt numFmtId="164" formatCode="mmmm\ yyyy"/>
    <numFmt numFmtId="165" formatCode="* #,##0;* \-#,##0;\-"/>
    <numFmt numFmtId="166" formatCode="* 0.0;* \-0.0;\-"/>
    <numFmt numFmtId="167" formatCode="0.0"/>
    <numFmt numFmtId="168" formatCode="\+0.0;\-0.0;0.0"/>
    <numFmt numFmtId="169" formatCode="@\ *."/>
    <numFmt numFmtId="170" formatCode="0.0_)"/>
    <numFmt numFmtId="171" formatCode="\ @\ *."/>
    <numFmt numFmtId="172" formatCode="\+#\ ###\ ##0;\-\ #\ ###\ ##0;\-"/>
    <numFmt numFmtId="173" formatCode="* &quot;[&quot;#0&quot;]&quot;"/>
    <numFmt numFmtId="174" formatCode="*+\ #\ ###\ ###\ ##0.0;\-\ #\ ###\ ###\ ##0.0;* &quot;&quot;\-&quot;&quot;"/>
    <numFmt numFmtId="175" formatCode="\+\ #\ ###\ ###\ ##0.0;\-\ #\ ###\ ###\ ##0.0;* &quot;&quot;\-&quot;&quot;"/>
    <numFmt numFmtId="176" formatCode="* &quot;[&quot;#0\ \ &quot;]&quot;"/>
    <numFmt numFmtId="177" formatCode="##\ ###\ ##0"/>
    <numFmt numFmtId="178" formatCode="#\ ###\ ###"/>
    <numFmt numFmtId="179" formatCode="#\ ###\ ##0.0;\-\ #\ ###\ ##0.0;\-"/>
    <numFmt numFmtId="180" formatCode="#,##0.0"/>
  </numFmts>
  <fonts count="37" x14ac:knownFonts="1">
    <font>
      <sz val="11"/>
      <color theme="1"/>
      <name val="Calibri"/>
      <family val="2"/>
      <scheme val="minor"/>
    </font>
    <font>
      <sz val="10"/>
      <color rgb="FF000000"/>
      <name val="Arial"/>
      <family val="2"/>
    </font>
    <font>
      <sz val="8"/>
      <name val="Arial"/>
      <family val="2"/>
    </font>
    <font>
      <sz val="10"/>
      <name val="Arial"/>
      <family val="2"/>
    </font>
    <font>
      <b/>
      <sz val="10"/>
      <name val="Arial"/>
      <family val="2"/>
    </font>
    <font>
      <sz val="8"/>
      <color indexed="8"/>
      <name val="Arial"/>
      <family val="2"/>
    </font>
    <font>
      <sz val="6"/>
      <name val="Arial"/>
      <family val="2"/>
    </font>
    <font>
      <sz val="7"/>
      <name val="Arial"/>
      <family val="2"/>
    </font>
    <font>
      <sz val="6"/>
      <color indexed="8"/>
      <name val="NDSFrutiger 45 Light"/>
    </font>
    <font>
      <vertAlign val="superscript"/>
      <sz val="6"/>
      <color indexed="8"/>
      <name val="NDSFrutiger 45 Light"/>
    </font>
    <font>
      <sz val="6"/>
      <name val="NDSFrutiger 45 Light"/>
    </font>
    <font>
      <sz val="10"/>
      <name val="Arial"/>
      <family val="2"/>
    </font>
    <font>
      <sz val="11"/>
      <color indexed="8"/>
      <name val="Arial"/>
      <family val="2"/>
    </font>
    <font>
      <sz val="11"/>
      <color indexed="9"/>
      <name val="Arial"/>
      <family val="2"/>
    </font>
    <font>
      <b/>
      <sz val="11"/>
      <color indexed="63"/>
      <name val="Arial"/>
      <family val="2"/>
    </font>
    <font>
      <b/>
      <sz val="11"/>
      <color indexed="52"/>
      <name val="Arial"/>
      <family val="2"/>
    </font>
    <font>
      <sz val="11"/>
      <color indexed="62"/>
      <name val="Arial"/>
      <family val="2"/>
    </font>
    <font>
      <b/>
      <sz val="11"/>
      <color indexed="8"/>
      <name val="Arial"/>
      <family val="2"/>
    </font>
    <font>
      <i/>
      <sz val="11"/>
      <color indexed="23"/>
      <name val="Arial"/>
      <family val="2"/>
    </font>
    <font>
      <sz val="11"/>
      <color indexed="17"/>
      <name val="Arial"/>
      <family val="2"/>
    </font>
    <font>
      <u/>
      <sz val="10"/>
      <color indexed="12"/>
      <name val="Arial"/>
      <family val="2"/>
    </font>
    <font>
      <u/>
      <sz val="8"/>
      <color indexed="12"/>
      <name val="Tahoma"/>
      <family val="2"/>
    </font>
    <font>
      <sz val="11"/>
      <color indexed="60"/>
      <name val="Arial"/>
      <family val="2"/>
    </font>
    <font>
      <sz val="11"/>
      <color indexed="20"/>
      <name val="Arial"/>
      <family val="2"/>
    </font>
    <font>
      <sz val="7.5"/>
      <name val="Arial"/>
      <family val="2"/>
    </font>
    <font>
      <b/>
      <sz val="18"/>
      <color indexed="56"/>
      <name val="Cambria"/>
      <family val="2"/>
    </font>
    <font>
      <b/>
      <sz val="15"/>
      <color indexed="56"/>
      <name val="Arial"/>
      <family val="2"/>
    </font>
    <font>
      <b/>
      <sz val="13"/>
      <color indexed="56"/>
      <name val="Arial"/>
      <family val="2"/>
    </font>
    <font>
      <b/>
      <sz val="11"/>
      <color indexed="56"/>
      <name val="Arial"/>
      <family val="2"/>
    </font>
    <font>
      <sz val="11"/>
      <color indexed="52"/>
      <name val="Arial"/>
      <family val="2"/>
    </font>
    <font>
      <sz val="11"/>
      <color indexed="10"/>
      <name val="Arial"/>
      <family val="2"/>
    </font>
    <font>
      <b/>
      <sz val="11"/>
      <color indexed="9"/>
      <name val="Arial"/>
      <family val="2"/>
    </font>
    <font>
      <sz val="11"/>
      <color theme="1"/>
      <name val="Arial"/>
      <family val="2"/>
    </font>
    <font>
      <u/>
      <sz val="11"/>
      <color theme="10"/>
      <name val="Arial"/>
      <family val="2"/>
    </font>
    <font>
      <u/>
      <sz val="10"/>
      <color theme="10"/>
      <name val="Arial"/>
      <family val="2"/>
    </font>
    <font>
      <sz val="11"/>
      <name val="NDSFrutiger 55 Roman"/>
    </font>
    <font>
      <sz val="9"/>
      <name val="NDSFrutiger 55 Roman"/>
    </font>
  </fonts>
  <fills count="26">
    <fill>
      <patternFill patternType="none"/>
    </fill>
    <fill>
      <patternFill patternType="gray125"/>
    </fill>
    <fill>
      <patternFill patternType="solid">
        <fgColor indexed="27"/>
      </patternFill>
    </fill>
    <fill>
      <patternFill patternType="solid">
        <fgColor indexed="47"/>
      </patternFill>
    </fill>
    <fill>
      <patternFill patternType="solid">
        <fgColor indexed="26"/>
      </patternFill>
    </fill>
    <fill>
      <patternFill patternType="solid">
        <fgColor indexed="31"/>
      </patternFill>
    </fill>
    <fill>
      <patternFill patternType="solid">
        <fgColor indexed="42"/>
      </patternFill>
    </fill>
    <fill>
      <patternFill patternType="solid">
        <fgColor indexed="45"/>
      </patternFill>
    </fill>
    <fill>
      <patternFill patternType="solid">
        <fgColor indexed="46"/>
      </patternFill>
    </fill>
    <fill>
      <patternFill patternType="solid">
        <fgColor indexed="44"/>
      </patternFill>
    </fill>
    <fill>
      <patternFill patternType="solid">
        <fgColor indexed="22"/>
      </patternFill>
    </fill>
    <fill>
      <patternFill patternType="solid">
        <fgColor indexed="43"/>
      </patternFill>
    </fill>
    <fill>
      <patternFill patternType="solid">
        <fgColor indexed="29"/>
      </patternFill>
    </fill>
    <fill>
      <patternFill patternType="solid">
        <fgColor indexed="11"/>
      </patternFill>
    </fill>
    <fill>
      <patternFill patternType="solid">
        <fgColor indexed="51"/>
      </patternFill>
    </fill>
    <fill>
      <patternFill patternType="solid">
        <fgColor indexed="49"/>
      </patternFill>
    </fill>
    <fill>
      <patternFill patternType="solid">
        <fgColor indexed="57"/>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9"/>
        <bgColor indexed="64"/>
      </patternFill>
    </fill>
    <fill>
      <patternFill patternType="solid">
        <fgColor indexed="55"/>
      </patternFill>
    </fill>
    <fill>
      <patternFill patternType="solid">
        <fgColor theme="5"/>
        <bgColor indexed="64"/>
      </patternFill>
    </fill>
  </fills>
  <borders count="34">
    <border>
      <left/>
      <right/>
      <top/>
      <bottom/>
      <diagonal/>
    </border>
    <border>
      <left/>
      <right/>
      <top/>
      <bottom style="thin">
        <color indexed="63"/>
      </bottom>
      <diagonal/>
    </border>
    <border>
      <left style="hair">
        <color indexed="22"/>
      </left>
      <right style="hair">
        <color indexed="22"/>
      </right>
      <top style="hair">
        <color indexed="22"/>
      </top>
      <bottom/>
      <diagonal/>
    </border>
    <border>
      <left/>
      <right style="hair">
        <color indexed="22"/>
      </right>
      <top style="hair">
        <color indexed="22"/>
      </top>
      <bottom/>
      <diagonal/>
    </border>
    <border>
      <left style="hair">
        <color indexed="22"/>
      </left>
      <right style="hair">
        <color indexed="22"/>
      </right>
      <top/>
      <bottom/>
      <diagonal/>
    </border>
    <border>
      <left style="hair">
        <color indexed="22"/>
      </left>
      <right style="hair">
        <color indexed="22"/>
      </right>
      <top style="hair">
        <color indexed="22"/>
      </top>
      <bottom style="hair">
        <color indexed="22"/>
      </bottom>
      <diagonal/>
    </border>
    <border>
      <left style="hair">
        <color indexed="22"/>
      </left>
      <right/>
      <top style="hair">
        <color indexed="22"/>
      </top>
      <bottom style="hair">
        <color indexed="22"/>
      </bottom>
      <diagonal/>
    </border>
    <border>
      <left/>
      <right style="hair">
        <color indexed="22"/>
      </right>
      <top style="hair">
        <color indexed="22"/>
      </top>
      <bottom style="hair">
        <color indexed="22"/>
      </bottom>
      <diagonal/>
    </border>
    <border>
      <left style="hair">
        <color indexed="22"/>
      </left>
      <right style="hair">
        <color indexed="22"/>
      </right>
      <top/>
      <bottom style="hair">
        <color indexed="22"/>
      </bottom>
      <diagonal/>
    </border>
    <border>
      <left style="hair">
        <color indexed="22"/>
      </left>
      <right/>
      <top style="hair">
        <color indexed="22"/>
      </top>
      <bottom/>
      <diagonal/>
    </border>
    <border>
      <left style="hair">
        <color indexed="22"/>
      </left>
      <right/>
      <top/>
      <bottom/>
      <diagonal/>
    </border>
    <border>
      <left/>
      <right/>
      <top style="hair">
        <color indexed="22"/>
      </top>
      <bottom/>
      <diagonal/>
    </border>
    <border>
      <left/>
      <right style="hair">
        <color indexed="22"/>
      </right>
      <top/>
      <bottom/>
      <diagonal/>
    </border>
    <border>
      <left style="hair">
        <color indexed="22"/>
      </left>
      <right/>
      <top/>
      <bottom style="hair">
        <color indexed="22"/>
      </bottom>
      <diagonal/>
    </border>
    <border>
      <left/>
      <right/>
      <top/>
      <bottom style="hair">
        <color indexed="22"/>
      </bottom>
      <diagonal/>
    </border>
    <border>
      <left/>
      <right style="hair">
        <color indexed="22"/>
      </right>
      <top/>
      <bottom style="hair">
        <color indexed="22"/>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n">
        <color rgb="FF404040"/>
      </bottom>
      <diagonal/>
    </border>
  </borders>
  <cellStyleXfs count="81">
    <xf numFmtId="0" fontId="0" fillId="0" borderId="0"/>
    <xf numFmtId="0" fontId="1" fillId="0" borderId="0"/>
    <xf numFmtId="0" fontId="3" fillId="0" borderId="0"/>
    <xf numFmtId="0" fontId="11" fillId="0" borderId="0"/>
    <xf numFmtId="169" fontId="2" fillId="0" borderId="0"/>
    <xf numFmtId="49" fontId="2" fillId="0" borderId="0"/>
    <xf numFmtId="170" fontId="3" fillId="0" borderId="0">
      <alignment horizontal="center"/>
    </xf>
    <xf numFmtId="171" fontId="2" fillId="0" borderId="0"/>
    <xf numFmtId="0" fontId="12" fillId="5"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8"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172" fontId="3" fillId="0" borderId="0"/>
    <xf numFmtId="173" fontId="3" fillId="0" borderId="0"/>
    <xf numFmtId="0" fontId="12" fillId="9"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4" borderId="0" applyNumberFormat="0" applyBorder="0" applyAlignment="0" applyProtection="0"/>
    <xf numFmtId="174" fontId="3" fillId="0" borderId="0"/>
    <xf numFmtId="0" fontId="13" fillId="17"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8" borderId="0" applyNumberFormat="0" applyBorder="0" applyAlignment="0" applyProtection="0"/>
    <xf numFmtId="0" fontId="13" fillId="15" borderId="0" applyNumberFormat="0" applyBorder="0" applyAlignment="0" applyProtection="0"/>
    <xf numFmtId="0" fontId="13" fillId="19" borderId="0" applyNumberFormat="0" applyBorder="0" applyAlignment="0" applyProtection="0"/>
    <xf numFmtId="175" fontId="3" fillId="0" borderId="0">
      <alignment horizontal="center"/>
    </xf>
    <xf numFmtId="176" fontId="3" fillId="0" borderId="0">
      <alignment horizontal="center"/>
    </xf>
    <xf numFmtId="177" fontId="3" fillId="0" borderId="0">
      <alignment horizontal="center"/>
    </xf>
    <xf numFmtId="178" fontId="3" fillId="0" borderId="0">
      <alignment horizontal="center"/>
    </xf>
    <xf numFmtId="179" fontId="3" fillId="0" borderId="0">
      <alignment horizontal="center"/>
    </xf>
    <xf numFmtId="0" fontId="13" fillId="20" borderId="0" applyNumberFormat="0" applyBorder="0" applyAlignment="0" applyProtection="0"/>
    <xf numFmtId="0" fontId="13" fillId="21"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5" borderId="0" applyNumberFormat="0" applyBorder="0" applyAlignment="0" applyProtection="0"/>
    <xf numFmtId="0" fontId="13" fillId="22" borderId="0" applyNumberFormat="0" applyBorder="0" applyAlignment="0" applyProtection="0"/>
    <xf numFmtId="0" fontId="14" fillId="10" borderId="23" applyNumberFormat="0" applyAlignment="0" applyProtection="0"/>
    <xf numFmtId="0" fontId="15" fillId="10" borderId="24" applyNumberFormat="0" applyAlignment="0" applyProtection="0"/>
    <xf numFmtId="41" fontId="3" fillId="0" borderId="0" applyFont="0" applyFill="0" applyBorder="0" applyAlignment="0" applyProtection="0"/>
    <xf numFmtId="0" fontId="16" fillId="3" borderId="24" applyNumberFormat="0" applyAlignment="0" applyProtection="0"/>
    <xf numFmtId="0" fontId="17" fillId="0" borderId="25" applyNumberFormat="0" applyFill="0" applyAlignment="0" applyProtection="0"/>
    <xf numFmtId="0" fontId="18" fillId="0" borderId="0" applyNumberFormat="0" applyFill="0" applyBorder="0" applyAlignment="0" applyProtection="0"/>
    <xf numFmtId="44" fontId="3" fillId="0" borderId="0" applyFont="0" applyFill="0" applyBorder="0" applyAlignment="0" applyProtection="0"/>
    <xf numFmtId="0" fontId="19" fillId="6" borderId="0" applyNumberFormat="0" applyBorder="0" applyAlignment="0" applyProtection="0"/>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22" fillId="11" borderId="0" applyNumberFormat="0" applyBorder="0" applyAlignment="0" applyProtection="0"/>
    <xf numFmtId="0" fontId="6" fillId="0" borderId="26" applyFont="0" applyBorder="0" applyAlignment="0"/>
    <xf numFmtId="1" fontId="4" fillId="23" borderId="22">
      <alignment horizontal="right"/>
    </xf>
    <xf numFmtId="0" fontId="12" fillId="4" borderId="27" applyNumberFormat="0" applyFont="0" applyAlignment="0" applyProtection="0"/>
    <xf numFmtId="9" fontId="3" fillId="0" borderId="0" applyFont="0" applyFill="0" applyBorder="0" applyAlignment="0" applyProtection="0"/>
    <xf numFmtId="0" fontId="23" fillId="7" borderId="0" applyNumberFormat="0" applyBorder="0" applyAlignment="0" applyProtection="0"/>
    <xf numFmtId="0" fontId="3" fillId="0" borderId="0"/>
    <xf numFmtId="0" fontId="3" fillId="0" borderId="0"/>
    <xf numFmtId="0" fontId="3" fillId="0" borderId="0"/>
    <xf numFmtId="0" fontId="3" fillId="0" borderId="0"/>
    <xf numFmtId="180" fontId="24" fillId="0" borderId="0">
      <alignment horizontal="center" vertical="center"/>
    </xf>
    <xf numFmtId="0" fontId="25" fillId="0" borderId="0" applyNumberFormat="0" applyFill="0" applyBorder="0" applyAlignment="0" applyProtection="0"/>
    <xf numFmtId="0" fontId="26" fillId="0" borderId="28" applyNumberFormat="0" applyFill="0" applyAlignment="0" applyProtection="0"/>
    <xf numFmtId="0" fontId="27" fillId="0" borderId="29" applyNumberFormat="0" applyFill="0" applyAlignment="0" applyProtection="0"/>
    <xf numFmtId="0" fontId="28" fillId="0" borderId="30" applyNumberFormat="0" applyFill="0" applyAlignment="0" applyProtection="0"/>
    <xf numFmtId="0" fontId="28" fillId="0" borderId="0" applyNumberFormat="0" applyFill="0" applyBorder="0" applyAlignment="0" applyProtection="0"/>
    <xf numFmtId="0" fontId="29" fillId="0" borderId="31" applyNumberFormat="0" applyFill="0" applyAlignment="0" applyProtection="0"/>
    <xf numFmtId="0" fontId="30" fillId="0" borderId="0" applyNumberFormat="0" applyFill="0" applyBorder="0" applyAlignment="0" applyProtection="0"/>
    <xf numFmtId="0" fontId="31" fillId="24" borderId="32" applyNumberFormat="0" applyAlignment="0" applyProtection="0"/>
    <xf numFmtId="0" fontId="32" fillId="0" borderId="0"/>
    <xf numFmtId="0" fontId="20" fillId="0" borderId="0" applyNumberFormat="0" applyFill="0" applyBorder="0" applyAlignment="0" applyProtection="0">
      <alignment vertical="top"/>
      <protection locked="0"/>
    </xf>
    <xf numFmtId="0" fontId="3" fillId="0" borderId="0"/>
    <xf numFmtId="0" fontId="33"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2" fillId="0" borderId="0"/>
    <xf numFmtId="0" fontId="33" fillId="0" borderId="0" applyNumberFormat="0" applyFill="0" applyBorder="0" applyAlignment="0" applyProtection="0"/>
    <xf numFmtId="0" fontId="33" fillId="0" borderId="0" applyNumberFormat="0" applyFill="0" applyBorder="0" applyAlignment="0" applyProtection="0"/>
    <xf numFmtId="0" fontId="32" fillId="0" borderId="0"/>
  </cellStyleXfs>
  <cellXfs count="170">
    <xf numFmtId="0" fontId="0" fillId="0" borderId="0" xfId="0"/>
    <xf numFmtId="0" fontId="2" fillId="0" borderId="1" xfId="1" applyFont="1" applyFill="1" applyBorder="1"/>
    <xf numFmtId="0" fontId="3" fillId="0" borderId="1" xfId="1" applyFont="1" applyFill="1" applyBorder="1" applyAlignment="1">
      <alignment horizontal="right" vertical="center"/>
    </xf>
    <xf numFmtId="0" fontId="2" fillId="0" borderId="0" xfId="1" applyFont="1" applyFill="1"/>
    <xf numFmtId="0" fontId="4" fillId="0" borderId="0" xfId="1" applyFont="1" applyFill="1" applyAlignment="1">
      <alignment horizontal="left" vertical="center"/>
    </xf>
    <xf numFmtId="0" fontId="2" fillId="0" borderId="0" xfId="1" applyFont="1" applyFill="1" applyAlignment="1">
      <alignment horizontal="left" vertical="center"/>
    </xf>
    <xf numFmtId="164" fontId="2" fillId="0" borderId="0" xfId="1" applyNumberFormat="1" applyFont="1" applyFill="1" applyAlignment="1">
      <alignment horizontal="left" vertical="center"/>
    </xf>
    <xf numFmtId="0" fontId="2" fillId="0" borderId="0" xfId="1" applyFont="1" applyFill="1" applyAlignment="1">
      <alignment vertical="top"/>
    </xf>
    <xf numFmtId="0" fontId="5" fillId="0" borderId="0" xfId="1" applyFont="1" applyFill="1" applyAlignment="1">
      <alignment vertical="top"/>
    </xf>
    <xf numFmtId="0" fontId="5" fillId="0" borderId="0" xfId="1" applyFont="1" applyFill="1" applyAlignment="1">
      <alignment horizontal="left" vertical="top" wrapText="1"/>
    </xf>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3" fontId="6" fillId="0" borderId="2" xfId="1" applyNumberFormat="1" applyFont="1" applyFill="1" applyBorder="1" applyAlignment="1">
      <alignment horizontal="center" vertical="center" wrapText="1"/>
    </xf>
    <xf numFmtId="3" fontId="6" fillId="0" borderId="9" xfId="1" applyNumberFormat="1" applyFont="1" applyFill="1" applyBorder="1" applyAlignment="1">
      <alignment horizontal="center" vertical="center" wrapText="1"/>
    </xf>
    <xf numFmtId="3" fontId="6" fillId="0" borderId="3" xfId="1" applyNumberFormat="1" applyFont="1" applyFill="1" applyBorder="1" applyAlignment="1">
      <alignment horizontal="center" vertical="center" wrapText="1"/>
    </xf>
    <xf numFmtId="3" fontId="2" fillId="0" borderId="0" xfId="1" applyNumberFormat="1" applyFont="1" applyFill="1"/>
    <xf numFmtId="0" fontId="2" fillId="0" borderId="4" xfId="1" applyFont="1" applyFill="1" applyBorder="1" applyAlignment="1">
      <alignment horizontal="left"/>
    </xf>
    <xf numFmtId="165" fontId="2" fillId="0" borderId="9" xfId="1" applyNumberFormat="1" applyFont="1" applyFill="1" applyBorder="1" applyAlignment="1">
      <alignment horizontal="right"/>
    </xf>
    <xf numFmtId="165" fontId="2" fillId="0" borderId="11" xfId="1" applyNumberFormat="1" applyFont="1" applyFill="1" applyBorder="1" applyAlignment="1">
      <alignment horizontal="right"/>
    </xf>
    <xf numFmtId="165" fontId="2" fillId="0" borderId="3" xfId="1" applyNumberFormat="1" applyFont="1" applyFill="1" applyBorder="1" applyAlignment="1">
      <alignment horizontal="right"/>
    </xf>
    <xf numFmtId="166" fontId="2" fillId="0" borderId="11" xfId="1" applyNumberFormat="1" applyFont="1" applyFill="1" applyBorder="1" applyAlignment="1">
      <alignment horizontal="right"/>
    </xf>
    <xf numFmtId="166" fontId="2" fillId="0" borderId="9" xfId="1" applyNumberFormat="1" applyFont="1" applyFill="1" applyBorder="1" applyAlignment="1">
      <alignment horizontal="right"/>
    </xf>
    <xf numFmtId="166" fontId="2" fillId="0" borderId="3" xfId="1" applyNumberFormat="1" applyFont="1" applyFill="1" applyBorder="1" applyAlignment="1">
      <alignment horizontal="right"/>
    </xf>
    <xf numFmtId="0" fontId="2" fillId="0" borderId="4" xfId="1" applyFont="1" applyFill="1" applyBorder="1" applyAlignment="1">
      <alignment horizontal="left" indent="1"/>
    </xf>
    <xf numFmtId="165" fontId="2" fillId="0" borderId="10" xfId="1" applyNumberFormat="1" applyFont="1" applyFill="1" applyBorder="1" applyAlignment="1">
      <alignment horizontal="right"/>
    </xf>
    <xf numFmtId="165" fontId="2" fillId="0" borderId="0" xfId="1" applyNumberFormat="1" applyFont="1" applyFill="1" applyBorder="1" applyAlignment="1">
      <alignment horizontal="right"/>
    </xf>
    <xf numFmtId="165" fontId="2" fillId="0" borderId="12" xfId="1" applyNumberFormat="1" applyFont="1" applyFill="1" applyBorder="1" applyAlignment="1">
      <alignment horizontal="right"/>
    </xf>
    <xf numFmtId="166" fontId="2" fillId="0" borderId="0" xfId="1" applyNumberFormat="1" applyFont="1" applyFill="1" applyBorder="1" applyAlignment="1">
      <alignment horizontal="right"/>
    </xf>
    <xf numFmtId="166" fontId="2" fillId="0" borderId="10" xfId="1" applyNumberFormat="1" applyFont="1" applyFill="1" applyBorder="1" applyAlignment="1">
      <alignment horizontal="right"/>
    </xf>
    <xf numFmtId="166" fontId="2" fillId="0" borderId="12" xfId="1" applyNumberFormat="1" applyFont="1" applyFill="1" applyBorder="1" applyAlignment="1">
      <alignment horizontal="right"/>
    </xf>
    <xf numFmtId="0" fontId="2" fillId="0" borderId="2" xfId="1" applyFont="1" applyFill="1" applyBorder="1" applyAlignment="1">
      <alignment horizontal="left"/>
    </xf>
    <xf numFmtId="165" fontId="2" fillId="0" borderId="13" xfId="1" applyNumberFormat="1" applyFont="1" applyFill="1" applyBorder="1" applyAlignment="1">
      <alignment horizontal="right"/>
    </xf>
    <xf numFmtId="165" fontId="2" fillId="0" borderId="14" xfId="1" applyNumberFormat="1" applyFont="1" applyFill="1" applyBorder="1" applyAlignment="1">
      <alignment horizontal="right"/>
    </xf>
    <xf numFmtId="165" fontId="2" fillId="0" borderId="15" xfId="1" applyNumberFormat="1" applyFont="1" applyFill="1" applyBorder="1" applyAlignment="1">
      <alignment horizontal="right"/>
    </xf>
    <xf numFmtId="0" fontId="7" fillId="0" borderId="11" xfId="1" applyNumberFormat="1" applyFont="1" applyFill="1" applyBorder="1" applyAlignment="1">
      <alignment horizontal="left" vertical="center"/>
    </xf>
    <xf numFmtId="0" fontId="2" fillId="0" borderId="11" xfId="1" applyFont="1" applyFill="1" applyBorder="1"/>
    <xf numFmtId="0" fontId="7" fillId="0" borderId="11" xfId="1" applyFont="1" applyFill="1" applyBorder="1" applyAlignment="1">
      <alignment horizontal="right" vertical="center"/>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8" fillId="0" borderId="0" xfId="0" applyFont="1" applyBorder="1" applyAlignment="1">
      <alignment horizontal="center" vertical="center" wrapText="1"/>
    </xf>
    <xf numFmtId="49" fontId="8" fillId="0" borderId="0" xfId="0" applyNumberFormat="1" applyFont="1" applyBorder="1" applyAlignment="1">
      <alignment vertical="top" wrapText="1"/>
    </xf>
    <xf numFmtId="167" fontId="10" fillId="0" borderId="0" xfId="2" applyNumberFormat="1" applyFont="1" applyAlignment="1">
      <alignment horizontal="right"/>
    </xf>
    <xf numFmtId="168" fontId="10" fillId="0" borderId="0" xfId="2" applyNumberFormat="1" applyFont="1"/>
    <xf numFmtId="167" fontId="10" fillId="0" borderId="0" xfId="0" applyNumberFormat="1" applyFont="1" applyAlignment="1">
      <alignment horizontal="right"/>
    </xf>
    <xf numFmtId="168" fontId="10" fillId="0" borderId="0" xfId="0" applyNumberFormat="1" applyFont="1"/>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0" fontId="2" fillId="0" borderId="1" xfId="60" applyFont="1" applyFill="1" applyBorder="1"/>
    <xf numFmtId="0" fontId="3" fillId="0" borderId="1" xfId="60" applyFont="1" applyFill="1" applyBorder="1" applyAlignment="1">
      <alignment horizontal="right" vertical="center"/>
    </xf>
    <xf numFmtId="0" fontId="2" fillId="0" borderId="0" xfId="60" applyFont="1" applyFill="1"/>
    <xf numFmtId="0" fontId="4" fillId="0" borderId="0" xfId="60" applyFont="1" applyFill="1" applyAlignment="1">
      <alignment horizontal="left" vertical="center"/>
    </xf>
    <xf numFmtId="0" fontId="2" fillId="0" borderId="0" xfId="60" applyFont="1" applyFill="1" applyAlignment="1">
      <alignment horizontal="left" vertical="center"/>
    </xf>
    <xf numFmtId="164" fontId="2" fillId="0" borderId="0" xfId="60" applyNumberFormat="1" applyFont="1" applyFill="1" applyAlignment="1">
      <alignment horizontal="left" vertical="center"/>
    </xf>
    <xf numFmtId="0" fontId="2" fillId="0" borderId="0" xfId="60" applyFont="1" applyFill="1" applyAlignment="1">
      <alignment vertical="top"/>
    </xf>
    <xf numFmtId="0" fontId="5" fillId="0" borderId="0" xfId="60" applyFont="1" applyFill="1" applyAlignment="1">
      <alignment vertical="top"/>
    </xf>
    <xf numFmtId="0" fontId="5" fillId="0" borderId="0" xfId="60" applyFont="1" applyFill="1" applyAlignment="1">
      <alignment horizontal="left" vertical="top" wrapText="1"/>
    </xf>
    <xf numFmtId="0" fontId="2" fillId="0" borderId="5" xfId="60" applyFont="1" applyFill="1" applyBorder="1" applyAlignment="1">
      <alignment horizontal="center" vertical="center" wrapText="1"/>
    </xf>
    <xf numFmtId="0" fontId="2" fillId="0" borderId="6" xfId="60" applyFont="1" applyFill="1" applyBorder="1" applyAlignment="1">
      <alignment horizontal="center" vertical="center" wrapText="1"/>
    </xf>
    <xf numFmtId="3" fontId="6" fillId="0" borderId="2" xfId="60" applyNumberFormat="1" applyFont="1" applyFill="1" applyBorder="1" applyAlignment="1">
      <alignment horizontal="center" vertical="center" wrapText="1"/>
    </xf>
    <xf numFmtId="3" fontId="6" fillId="0" borderId="9" xfId="60" applyNumberFormat="1" applyFont="1" applyFill="1" applyBorder="1" applyAlignment="1">
      <alignment horizontal="center" vertical="center" wrapText="1"/>
    </xf>
    <xf numFmtId="3" fontId="6" fillId="0" borderId="3" xfId="60" applyNumberFormat="1" applyFont="1" applyFill="1" applyBorder="1" applyAlignment="1">
      <alignment horizontal="center" vertical="center" wrapText="1"/>
    </xf>
    <xf numFmtId="3" fontId="2" fillId="0" borderId="0" xfId="60" applyNumberFormat="1" applyFont="1" applyFill="1"/>
    <xf numFmtId="0" fontId="2" fillId="0" borderId="4" xfId="60" applyFont="1" applyFill="1" applyBorder="1" applyAlignment="1">
      <alignment horizontal="left"/>
    </xf>
    <xf numFmtId="165" fontId="2" fillId="0" borderId="9" xfId="60" applyNumberFormat="1" applyFont="1" applyFill="1" applyBorder="1" applyAlignment="1">
      <alignment horizontal="right"/>
    </xf>
    <xf numFmtId="165" fontId="2" fillId="0" borderId="11" xfId="60" applyNumberFormat="1" applyFont="1" applyFill="1" applyBorder="1" applyAlignment="1">
      <alignment horizontal="right"/>
    </xf>
    <xf numFmtId="165" fontId="2" fillId="0" borderId="3" xfId="60" applyNumberFormat="1" applyFont="1" applyFill="1" applyBorder="1" applyAlignment="1">
      <alignment horizontal="right"/>
    </xf>
    <xf numFmtId="166" fontId="2" fillId="0" borderId="11" xfId="60" applyNumberFormat="1" applyFont="1" applyFill="1" applyBorder="1" applyAlignment="1">
      <alignment horizontal="right"/>
    </xf>
    <xf numFmtId="166" fontId="2" fillId="0" borderId="9" xfId="60" applyNumberFormat="1" applyFont="1" applyFill="1" applyBorder="1" applyAlignment="1">
      <alignment horizontal="right"/>
    </xf>
    <xf numFmtId="166" fontId="2" fillId="0" borderId="3" xfId="60" applyNumberFormat="1" applyFont="1" applyFill="1" applyBorder="1" applyAlignment="1">
      <alignment horizontal="right"/>
    </xf>
    <xf numFmtId="0" fontId="2" fillId="0" borderId="4" xfId="60" applyFont="1" applyFill="1" applyBorder="1" applyAlignment="1">
      <alignment horizontal="left" indent="1"/>
    </xf>
    <xf numFmtId="165" fontId="2" fillId="0" borderId="10" xfId="60" applyNumberFormat="1" applyFont="1" applyFill="1" applyBorder="1" applyAlignment="1">
      <alignment horizontal="right"/>
    </xf>
    <xf numFmtId="165" fontId="2" fillId="0" borderId="0" xfId="60" applyNumberFormat="1" applyFont="1" applyFill="1" applyBorder="1" applyAlignment="1">
      <alignment horizontal="right"/>
    </xf>
    <xf numFmtId="165" fontId="2" fillId="0" borderId="12" xfId="60" applyNumberFormat="1" applyFont="1" applyFill="1" applyBorder="1" applyAlignment="1">
      <alignment horizontal="right"/>
    </xf>
    <xf numFmtId="166" fontId="2" fillId="0" borderId="0" xfId="60" applyNumberFormat="1" applyFont="1" applyFill="1" applyBorder="1" applyAlignment="1">
      <alignment horizontal="right"/>
    </xf>
    <xf numFmtId="166" fontId="2" fillId="0" borderId="10" xfId="60" applyNumberFormat="1" applyFont="1" applyFill="1" applyBorder="1" applyAlignment="1">
      <alignment horizontal="right"/>
    </xf>
    <xf numFmtId="166" fontId="2" fillId="0" borderId="12" xfId="60" applyNumberFormat="1" applyFont="1" applyFill="1" applyBorder="1" applyAlignment="1">
      <alignment horizontal="right"/>
    </xf>
    <xf numFmtId="0" fontId="2" fillId="0" borderId="2" xfId="60" applyFont="1" applyFill="1" applyBorder="1" applyAlignment="1">
      <alignment horizontal="left"/>
    </xf>
    <xf numFmtId="165" fontId="2" fillId="0" borderId="13" xfId="60" applyNumberFormat="1" applyFont="1" applyFill="1" applyBorder="1" applyAlignment="1">
      <alignment horizontal="right"/>
    </xf>
    <xf numFmtId="165" fontId="2" fillId="0" borderId="14" xfId="60" applyNumberFormat="1" applyFont="1" applyFill="1" applyBorder="1" applyAlignment="1">
      <alignment horizontal="right"/>
    </xf>
    <xf numFmtId="165" fontId="2" fillId="0" borderId="15" xfId="60" applyNumberFormat="1" applyFont="1" applyFill="1" applyBorder="1" applyAlignment="1">
      <alignment horizontal="right"/>
    </xf>
    <xf numFmtId="0" fontId="7" fillId="0" borderId="11" xfId="60" applyNumberFormat="1" applyFont="1" applyFill="1" applyBorder="1" applyAlignment="1">
      <alignment horizontal="left" vertical="center"/>
    </xf>
    <xf numFmtId="0" fontId="2" fillId="0" borderId="11" xfId="60" applyFont="1" applyFill="1" applyBorder="1"/>
    <xf numFmtId="0" fontId="7" fillId="0" borderId="11" xfId="60" applyFont="1" applyFill="1" applyBorder="1" applyAlignment="1">
      <alignment horizontal="right" vertical="center"/>
    </xf>
    <xf numFmtId="0" fontId="2" fillId="0" borderId="33" xfId="1" applyFont="1" applyFill="1" applyBorder="1"/>
    <xf numFmtId="0" fontId="3" fillId="0" borderId="33" xfId="1" applyFont="1" applyFill="1" applyBorder="1" applyAlignment="1">
      <alignment horizontal="right" vertical="center"/>
    </xf>
    <xf numFmtId="3" fontId="6" fillId="0" borderId="5" xfId="1" applyNumberFormat="1" applyFont="1" applyFill="1" applyBorder="1" applyAlignment="1">
      <alignment horizontal="center" vertical="center" wrapText="1"/>
    </xf>
    <xf numFmtId="3" fontId="6" fillId="0" borderId="6" xfId="1" applyNumberFormat="1" applyFont="1" applyFill="1" applyBorder="1" applyAlignment="1">
      <alignment horizontal="center" vertical="center" wrapText="1"/>
    </xf>
    <xf numFmtId="164" fontId="2" fillId="0" borderId="4" xfId="1" applyNumberFormat="1" applyFont="1" applyFill="1" applyBorder="1" applyAlignment="1">
      <alignment horizontal="left" wrapText="1" shrinkToFit="1"/>
    </xf>
    <xf numFmtId="0" fontId="32" fillId="0" borderId="0" xfId="72"/>
    <xf numFmtId="0" fontId="2" fillId="0" borderId="33" xfId="72" applyFont="1" applyFill="1" applyBorder="1"/>
    <xf numFmtId="0" fontId="3" fillId="0" borderId="33" xfId="72" applyFont="1" applyFill="1" applyBorder="1" applyAlignment="1">
      <alignment horizontal="right" vertical="center"/>
    </xf>
    <xf numFmtId="0" fontId="36" fillId="0" borderId="0" xfId="0" applyFont="1" applyAlignment="1">
      <alignment wrapText="1"/>
    </xf>
    <xf numFmtId="49" fontId="8" fillId="25" borderId="0" xfId="0" applyNumberFormat="1" applyFont="1" applyFill="1" applyBorder="1" applyAlignment="1">
      <alignment vertical="top" wrapText="1"/>
    </xf>
    <xf numFmtId="167" fontId="10" fillId="25" borderId="0" xfId="0" applyNumberFormat="1" applyFont="1" applyFill="1" applyAlignment="1">
      <alignment horizontal="right"/>
    </xf>
    <xf numFmtId="168" fontId="10" fillId="25" borderId="0" xfId="0" applyNumberFormat="1" applyFont="1" applyFill="1"/>
    <xf numFmtId="167" fontId="10" fillId="25" borderId="0" xfId="2" applyNumberFormat="1" applyFont="1" applyFill="1" applyAlignment="1">
      <alignment horizontal="right"/>
    </xf>
    <xf numFmtId="168" fontId="10" fillId="25" borderId="0" xfId="2" applyNumberFormat="1" applyFont="1" applyFill="1"/>
    <xf numFmtId="49" fontId="0" fillId="0" borderId="0" xfId="0" applyNumberFormat="1"/>
    <xf numFmtId="0" fontId="36" fillId="0" borderId="0" xfId="0" applyFont="1"/>
    <xf numFmtId="0" fontId="32" fillId="0" borderId="0" xfId="80"/>
    <xf numFmtId="0" fontId="2" fillId="0" borderId="0" xfId="80" applyFont="1" applyFill="1"/>
    <xf numFmtId="3" fontId="6" fillId="0" borderId="5" xfId="80" applyNumberFormat="1" applyFont="1" applyFill="1" applyBorder="1" applyAlignment="1">
      <alignment horizontal="center" vertical="center" wrapText="1"/>
    </xf>
    <xf numFmtId="166" fontId="2" fillId="0" borderId="11" xfId="80" applyNumberFormat="1" applyFont="1" applyFill="1" applyBorder="1" applyAlignment="1">
      <alignment horizontal="right"/>
    </xf>
    <xf numFmtId="166" fontId="2" fillId="0" borderId="0" xfId="80" applyNumberFormat="1" applyFont="1" applyFill="1" applyBorder="1" applyAlignment="1">
      <alignment horizontal="right"/>
    </xf>
    <xf numFmtId="166" fontId="2" fillId="0" borderId="12" xfId="80" applyNumberFormat="1" applyFont="1" applyFill="1" applyBorder="1" applyAlignment="1">
      <alignment horizontal="right"/>
    </xf>
    <xf numFmtId="164" fontId="2" fillId="0" borderId="2" xfId="80" applyNumberFormat="1" applyFont="1" applyFill="1" applyBorder="1" applyAlignment="1">
      <alignment horizontal="left" wrapText="1" shrinkToFit="1"/>
    </xf>
    <xf numFmtId="164" fontId="2" fillId="0" borderId="4" xfId="80" applyNumberFormat="1" applyFont="1" applyFill="1" applyBorder="1" applyAlignment="1">
      <alignment horizontal="left" wrapText="1" shrinkToFit="1"/>
    </xf>
    <xf numFmtId="164" fontId="2" fillId="0" borderId="0" xfId="80" applyNumberFormat="1" applyFont="1" applyFill="1" applyAlignment="1">
      <alignment horizontal="left" vertical="center"/>
    </xf>
    <xf numFmtId="0" fontId="2" fillId="0" borderId="0" xfId="80" applyFont="1" applyFill="1" applyAlignment="1">
      <alignment horizontal="left" vertical="center"/>
    </xf>
    <xf numFmtId="0" fontId="2" fillId="0" borderId="5" xfId="80" applyFont="1" applyFill="1" applyBorder="1" applyAlignment="1">
      <alignment horizontal="center" vertical="center" wrapText="1"/>
    </xf>
    <xf numFmtId="166" fontId="2" fillId="0" borderId="9" xfId="80" applyNumberFormat="1" applyFont="1" applyFill="1" applyBorder="1" applyAlignment="1">
      <alignment horizontal="right"/>
    </xf>
    <xf numFmtId="166" fontId="2" fillId="0" borderId="3" xfId="80" applyNumberFormat="1" applyFont="1" applyFill="1" applyBorder="1" applyAlignment="1">
      <alignment horizontal="right"/>
    </xf>
    <xf numFmtId="166" fontId="2" fillId="0" borderId="10" xfId="80" applyNumberFormat="1" applyFont="1" applyFill="1" applyBorder="1" applyAlignment="1">
      <alignment horizontal="right"/>
    </xf>
    <xf numFmtId="166" fontId="2" fillId="0" borderId="13" xfId="80" applyNumberFormat="1" applyFont="1" applyFill="1" applyBorder="1" applyAlignment="1">
      <alignment horizontal="right"/>
    </xf>
    <xf numFmtId="166" fontId="2" fillId="0" borderId="14" xfId="80" applyNumberFormat="1" applyFont="1" applyFill="1" applyBorder="1" applyAlignment="1">
      <alignment horizontal="right"/>
    </xf>
    <xf numFmtId="166" fontId="2" fillId="0" borderId="15" xfId="80" applyNumberFormat="1" applyFont="1" applyFill="1" applyBorder="1" applyAlignment="1">
      <alignment horizontal="right"/>
    </xf>
    <xf numFmtId="0" fontId="0" fillId="0" borderId="0" xfId="0" applyAlignment="1"/>
    <xf numFmtId="0" fontId="36" fillId="0" borderId="0" xfId="0" applyFont="1" applyAlignment="1">
      <alignment vertical="center"/>
    </xf>
    <xf numFmtId="0" fontId="7" fillId="0" borderId="11" xfId="80" applyNumberFormat="1" applyFont="1" applyFill="1" applyBorder="1" applyAlignment="1">
      <alignment horizontal="left" vertical="center"/>
    </xf>
    <xf numFmtId="0" fontId="2" fillId="0" borderId="11" xfId="80" applyFont="1" applyFill="1" applyBorder="1"/>
    <xf numFmtId="0" fontId="7" fillId="0" borderId="11" xfId="80" applyFont="1" applyFill="1" applyBorder="1" applyAlignment="1">
      <alignment horizontal="right" vertical="center"/>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35" fillId="0" borderId="0" xfId="0" applyFont="1" applyAlignment="1" applyProtection="1">
      <alignment horizontal="left" vertical="center" wrapText="1"/>
      <protection locked="0"/>
    </xf>
    <xf numFmtId="0" fontId="36" fillId="0" borderId="0" xfId="0" applyFont="1" applyAlignment="1">
      <alignment horizontal="left" vertical="center" wrapText="1"/>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8" fillId="0" borderId="18" xfId="0" applyFont="1" applyBorder="1" applyAlignment="1">
      <alignment horizontal="center" vertical="center" wrapText="1"/>
    </xf>
    <xf numFmtId="0" fontId="8" fillId="0" borderId="19"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10" fillId="0" borderId="17" xfId="2" applyFont="1" applyBorder="1" applyAlignment="1">
      <alignment horizontal="center" vertical="center" wrapText="1"/>
    </xf>
    <xf numFmtId="0" fontId="10" fillId="0" borderId="22" xfId="2" applyFont="1" applyBorder="1" applyAlignment="1">
      <alignment horizontal="center" vertical="center" wrapText="1"/>
    </xf>
    <xf numFmtId="0" fontId="8" fillId="0" borderId="22" xfId="0" applyFont="1" applyBorder="1" applyAlignment="1">
      <alignment horizontal="center" vertical="center" wrapText="1"/>
    </xf>
    <xf numFmtId="0" fontId="8" fillId="0" borderId="17" xfId="0" applyFont="1" applyBorder="1" applyAlignment="1">
      <alignment horizontal="center" vertical="center" wrapText="1"/>
    </xf>
    <xf numFmtId="0" fontId="2" fillId="0" borderId="2" xfId="80" applyFont="1" applyFill="1" applyBorder="1" applyAlignment="1">
      <alignment horizontal="center" vertical="center" wrapText="1"/>
    </xf>
    <xf numFmtId="0" fontId="32" fillId="0" borderId="8" xfId="80" applyBorder="1" applyAlignment="1">
      <alignment horizontal="center" vertical="center" wrapText="1"/>
    </xf>
    <xf numFmtId="0" fontId="4" fillId="0" borderId="0" xfId="80" applyFont="1" applyFill="1" applyAlignment="1">
      <alignment horizontal="left" vertical="center" wrapText="1"/>
    </xf>
    <xf numFmtId="0" fontId="32" fillId="0" borderId="0" xfId="80" applyAlignment="1">
      <alignment horizontal="left" vertical="center" wrapText="1"/>
    </xf>
    <xf numFmtId="0" fontId="5" fillId="0" borderId="0" xfId="60" applyFont="1" applyFill="1" applyAlignment="1">
      <alignment horizontal="left" vertical="top" wrapText="1"/>
    </xf>
    <xf numFmtId="0" fontId="2" fillId="0" borderId="2" xfId="60" applyFont="1" applyFill="1" applyBorder="1" applyAlignment="1">
      <alignment horizontal="center" vertical="center" wrapText="1"/>
    </xf>
    <xf numFmtId="0" fontId="3" fillId="0" borderId="4" xfId="60" applyBorder="1" applyAlignment="1">
      <alignment horizontal="center" vertical="center" wrapText="1"/>
    </xf>
    <xf numFmtId="0" fontId="3" fillId="0" borderId="8" xfId="60" applyBorder="1" applyAlignment="1">
      <alignment horizontal="center" vertical="center" wrapText="1"/>
    </xf>
    <xf numFmtId="0" fontId="2" fillId="0" borderId="3" xfId="60" applyFont="1" applyFill="1" applyBorder="1" applyAlignment="1">
      <alignment horizontal="center" vertical="center" wrapText="1"/>
    </xf>
    <xf numFmtId="0" fontId="2" fillId="0" borderId="5" xfId="60" applyFont="1" applyFill="1" applyBorder="1" applyAlignment="1">
      <alignment horizontal="center" vertical="center" wrapText="1"/>
    </xf>
    <xf numFmtId="0" fontId="2" fillId="0" borderId="6" xfId="60" applyFont="1" applyFill="1" applyBorder="1" applyAlignment="1">
      <alignment horizontal="center" vertical="center" wrapText="1"/>
    </xf>
    <xf numFmtId="164" fontId="2" fillId="0" borderId="9" xfId="60" applyNumberFormat="1" applyFont="1" applyFill="1" applyBorder="1" applyAlignment="1">
      <alignment horizontal="left" vertical="center" wrapText="1" shrinkToFit="1"/>
    </xf>
    <xf numFmtId="0" fontId="2" fillId="0" borderId="10" xfId="60" applyFont="1" applyFill="1" applyBorder="1" applyAlignment="1">
      <alignment horizontal="left" vertical="center" wrapText="1" shrinkToFit="1"/>
    </xf>
    <xf numFmtId="0" fontId="2" fillId="0" borderId="7" xfId="60" applyFont="1" applyFill="1" applyBorder="1" applyAlignment="1">
      <alignment horizontal="center" vertical="center" wrapText="1"/>
    </xf>
    <xf numFmtId="164" fontId="2" fillId="0" borderId="10" xfId="60" applyNumberFormat="1" applyFont="1" applyFill="1" applyBorder="1" applyAlignment="1">
      <alignment horizontal="left" vertical="center" wrapText="1" shrinkToFit="1"/>
    </xf>
    <xf numFmtId="0" fontId="4" fillId="0" borderId="0" xfId="1" applyFont="1" applyFill="1" applyAlignment="1">
      <alignment horizontal="left" vertical="center" wrapText="1"/>
    </xf>
    <xf numFmtId="0" fontId="1" fillId="0" borderId="0" xfId="1" applyAlignment="1">
      <alignment horizontal="left" vertical="center" wrapText="1"/>
    </xf>
    <xf numFmtId="0" fontId="2" fillId="0" borderId="2" xfId="1" applyFont="1" applyFill="1" applyBorder="1" applyAlignment="1">
      <alignment horizontal="center" vertical="center" wrapText="1"/>
    </xf>
    <xf numFmtId="0" fontId="1" fillId="0" borderId="4" xfId="1" applyBorder="1" applyAlignment="1">
      <alignment horizontal="center" vertical="center" wrapText="1"/>
    </xf>
    <xf numFmtId="0" fontId="1" fillId="0" borderId="8" xfId="1" applyBorder="1" applyAlignment="1">
      <alignment horizontal="center" vertical="center" wrapText="1"/>
    </xf>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164" fontId="2" fillId="0" borderId="9" xfId="1" applyNumberFormat="1" applyFont="1" applyFill="1" applyBorder="1" applyAlignment="1">
      <alignment horizontal="left" vertical="center" wrapText="1" shrinkToFit="1"/>
    </xf>
    <xf numFmtId="0" fontId="2" fillId="0" borderId="10" xfId="1" applyFont="1" applyFill="1" applyBorder="1" applyAlignment="1">
      <alignment horizontal="left" vertical="center" wrapText="1" shrinkToFit="1"/>
    </xf>
    <xf numFmtId="0" fontId="2" fillId="0" borderId="7" xfId="1" applyFont="1" applyFill="1" applyBorder="1" applyAlignment="1">
      <alignment horizontal="center" vertical="center" wrapText="1"/>
    </xf>
    <xf numFmtId="164" fontId="2" fillId="0" borderId="10" xfId="1" applyNumberFormat="1" applyFont="1" applyFill="1" applyBorder="1" applyAlignment="1">
      <alignment horizontal="left" vertical="center" wrapText="1" shrinkToFit="1"/>
    </xf>
    <xf numFmtId="0" fontId="5" fillId="0" borderId="0" xfId="1" applyFont="1" applyFill="1" applyAlignment="1">
      <alignment horizontal="left" vertical="top" wrapText="1"/>
    </xf>
    <xf numFmtId="0" fontId="2" fillId="0" borderId="3" xfId="1" applyFont="1" applyFill="1" applyBorder="1" applyAlignment="1">
      <alignment horizontal="center" vertical="center" wrapText="1"/>
    </xf>
    <xf numFmtId="0" fontId="0" fillId="0" borderId="0" xfId="0" applyAlignment="1">
      <alignment vertical="center"/>
    </xf>
    <xf numFmtId="49" fontId="8" fillId="0" borderId="0" xfId="0" applyNumberFormat="1" applyFont="1" applyFill="1" applyBorder="1" applyAlignment="1">
      <alignment vertical="center" wrapText="1"/>
    </xf>
    <xf numFmtId="167" fontId="10" fillId="0" borderId="0" xfId="0" applyNumberFormat="1" applyFont="1" applyFill="1" applyAlignment="1">
      <alignment horizontal="right" vertical="center"/>
    </xf>
    <xf numFmtId="168" fontId="10" fillId="0" borderId="0" xfId="0" applyNumberFormat="1" applyFont="1" applyFill="1" applyAlignment="1">
      <alignment vertical="center"/>
    </xf>
    <xf numFmtId="167" fontId="10" fillId="0" borderId="0" xfId="2" applyNumberFormat="1" applyFont="1" applyFill="1" applyAlignment="1">
      <alignment horizontal="right" vertical="center"/>
    </xf>
    <xf numFmtId="168" fontId="10" fillId="0" borderId="0" xfId="2" applyNumberFormat="1" applyFont="1" applyFill="1" applyAlignment="1">
      <alignment vertical="center"/>
    </xf>
  </cellXfs>
  <cellStyles count="81">
    <cellStyle name="0mitP" xfId="4" xr:uid="{00000000-0005-0000-0000-000000000000}"/>
    <cellStyle name="0ohneP" xfId="5" xr:uid="{00000000-0005-0000-0000-000001000000}"/>
    <cellStyle name="10mitP" xfId="6" xr:uid="{00000000-0005-0000-0000-000002000000}"/>
    <cellStyle name="1mitP" xfId="7" xr:uid="{00000000-0005-0000-0000-000003000000}"/>
    <cellStyle name="20% - Akzent1" xfId="8" xr:uid="{00000000-0005-0000-0000-000004000000}"/>
    <cellStyle name="20% - Akzent2" xfId="9" xr:uid="{00000000-0005-0000-0000-000005000000}"/>
    <cellStyle name="20% - Akzent3" xfId="10" xr:uid="{00000000-0005-0000-0000-000006000000}"/>
    <cellStyle name="20% - Akzent4" xfId="11" xr:uid="{00000000-0005-0000-0000-000007000000}"/>
    <cellStyle name="20% - Akzent5" xfId="12" xr:uid="{00000000-0005-0000-0000-000008000000}"/>
    <cellStyle name="20% - Akzent6" xfId="13" xr:uid="{00000000-0005-0000-0000-000009000000}"/>
    <cellStyle name="3mitP" xfId="14" xr:uid="{00000000-0005-0000-0000-00000A000000}"/>
    <cellStyle name="3ohneP" xfId="15" xr:uid="{00000000-0005-0000-0000-00000B000000}"/>
    <cellStyle name="40% - Akzent1" xfId="16" xr:uid="{00000000-0005-0000-0000-00000C000000}"/>
    <cellStyle name="40% - Akzent2" xfId="17" xr:uid="{00000000-0005-0000-0000-00000D000000}"/>
    <cellStyle name="40% - Akzent3" xfId="18" xr:uid="{00000000-0005-0000-0000-00000E000000}"/>
    <cellStyle name="40% - Akzent4" xfId="19" xr:uid="{00000000-0005-0000-0000-00000F000000}"/>
    <cellStyle name="40% - Akzent5" xfId="20" xr:uid="{00000000-0005-0000-0000-000010000000}"/>
    <cellStyle name="40% - Akzent6" xfId="21" xr:uid="{00000000-0005-0000-0000-000011000000}"/>
    <cellStyle name="4mitP" xfId="22" xr:uid="{00000000-0005-0000-0000-000012000000}"/>
    <cellStyle name="60% - Akzent1" xfId="23" xr:uid="{00000000-0005-0000-0000-000013000000}"/>
    <cellStyle name="60% - Akzent2" xfId="24" xr:uid="{00000000-0005-0000-0000-000014000000}"/>
    <cellStyle name="60% - Akzent3" xfId="25" xr:uid="{00000000-0005-0000-0000-000015000000}"/>
    <cellStyle name="60% - Akzent4" xfId="26" xr:uid="{00000000-0005-0000-0000-000016000000}"/>
    <cellStyle name="60% - Akzent5" xfId="27" xr:uid="{00000000-0005-0000-0000-000017000000}"/>
    <cellStyle name="60% - Akzent6" xfId="28" xr:uid="{00000000-0005-0000-0000-000018000000}"/>
    <cellStyle name="6mitP" xfId="29" xr:uid="{00000000-0005-0000-0000-000019000000}"/>
    <cellStyle name="6ohneP" xfId="30" xr:uid="{00000000-0005-0000-0000-00001A000000}"/>
    <cellStyle name="7mitP" xfId="31" xr:uid="{00000000-0005-0000-0000-00001B000000}"/>
    <cellStyle name="9mitP" xfId="32" xr:uid="{00000000-0005-0000-0000-00001C000000}"/>
    <cellStyle name="9ohneP" xfId="33" xr:uid="{00000000-0005-0000-0000-00001D000000}"/>
    <cellStyle name="Akzent1 2" xfId="34" xr:uid="{00000000-0005-0000-0000-00001E000000}"/>
    <cellStyle name="Akzent2 2" xfId="35" xr:uid="{00000000-0005-0000-0000-00001F000000}"/>
    <cellStyle name="Akzent3 2" xfId="36" xr:uid="{00000000-0005-0000-0000-000020000000}"/>
    <cellStyle name="Akzent4 2" xfId="37" xr:uid="{00000000-0005-0000-0000-000021000000}"/>
    <cellStyle name="Akzent5 2" xfId="38" xr:uid="{00000000-0005-0000-0000-000022000000}"/>
    <cellStyle name="Akzent6 2" xfId="39" xr:uid="{00000000-0005-0000-0000-000023000000}"/>
    <cellStyle name="Ausgabe 2" xfId="40" xr:uid="{00000000-0005-0000-0000-000024000000}"/>
    <cellStyle name="Berechnung 2" xfId="41" xr:uid="{00000000-0005-0000-0000-000025000000}"/>
    <cellStyle name="Deźimal [0]" xfId="42" xr:uid="{00000000-0005-0000-0000-000026000000}"/>
    <cellStyle name="Eingabe 2" xfId="43" xr:uid="{00000000-0005-0000-0000-000027000000}"/>
    <cellStyle name="Ergebnis 2" xfId="44" xr:uid="{00000000-0005-0000-0000-000028000000}"/>
    <cellStyle name="Erklärender Text 2" xfId="45" xr:uid="{00000000-0005-0000-0000-000029000000}"/>
    <cellStyle name="Euro" xfId="46" xr:uid="{00000000-0005-0000-0000-00002A000000}"/>
    <cellStyle name="Gut 2" xfId="47" xr:uid="{00000000-0005-0000-0000-00002B000000}"/>
    <cellStyle name="Hyperlink 2" xfId="48" xr:uid="{00000000-0005-0000-0000-00002C000000}"/>
    <cellStyle name="Hyperlink 3" xfId="49" xr:uid="{00000000-0005-0000-0000-00002D000000}"/>
    <cellStyle name="Hyperlink 3 3" xfId="78" xr:uid="{00000000-0005-0000-0000-000000000000}"/>
    <cellStyle name="Hyperlink 4" xfId="50" xr:uid="{00000000-0005-0000-0000-00002E000000}"/>
    <cellStyle name="Hyperlink 5" xfId="51" xr:uid="{00000000-0005-0000-0000-00002F000000}"/>
    <cellStyle name="Hyperlũnk" xfId="52" xr:uid="{00000000-0005-0000-0000-000030000000}"/>
    <cellStyle name="Link 2" xfId="73" xr:uid="{00000000-0005-0000-0000-000002000000}"/>
    <cellStyle name="Link 2 2" xfId="75" xr:uid="{00000000-0005-0000-0000-000003000000}"/>
    <cellStyle name="Link 2 2 2" xfId="76" xr:uid="{00000000-0005-0000-0000-000004000000}"/>
    <cellStyle name="Link 3" xfId="79" xr:uid="{00000000-0005-0000-0000-000005000000}"/>
    <cellStyle name="Neutral 2" xfId="53" xr:uid="{00000000-0005-0000-0000-000031000000}"/>
    <cellStyle name="nf2" xfId="54" xr:uid="{00000000-0005-0000-0000-000032000000}"/>
    <cellStyle name="Normal_040831_KapaBedarf-AA_Hochfahrlogik_A2LL_KT" xfId="55" xr:uid="{00000000-0005-0000-0000-000033000000}"/>
    <cellStyle name="Notiz 2" xfId="56" xr:uid="{00000000-0005-0000-0000-000034000000}"/>
    <cellStyle name="Prozent 2" xfId="57" xr:uid="{00000000-0005-0000-0000-000035000000}"/>
    <cellStyle name="Schlecht 2" xfId="58" xr:uid="{00000000-0005-0000-0000-000036000000}"/>
    <cellStyle name="Standard" xfId="0" builtinId="0"/>
    <cellStyle name="Standard 2" xfId="1" xr:uid="{00000000-0005-0000-0000-000038000000}"/>
    <cellStyle name="Standard 2 2" xfId="60" xr:uid="{00000000-0005-0000-0000-000039000000}"/>
    <cellStyle name="Standard 2 2 2" xfId="74" xr:uid="{00000000-0005-0000-0000-000009000000}"/>
    <cellStyle name="Standard 2 3" xfId="59" xr:uid="{00000000-0005-0000-0000-00003A000000}"/>
    <cellStyle name="Standard 2 4" xfId="80" xr:uid="{00000000-0005-0000-0000-00000B000000}"/>
    <cellStyle name="Standard 24" xfId="77" xr:uid="{00000000-0005-0000-0000-00000C000000}"/>
    <cellStyle name="Standard 3" xfId="61" xr:uid="{00000000-0005-0000-0000-00003B000000}"/>
    <cellStyle name="Standard 4" xfId="62" xr:uid="{00000000-0005-0000-0000-00003C000000}"/>
    <cellStyle name="Standard 5" xfId="3" xr:uid="{00000000-0005-0000-0000-00003D000000}"/>
    <cellStyle name="Standard 6" xfId="72" xr:uid="{00000000-0005-0000-0000-00007C000000}"/>
    <cellStyle name="Standard_Tabelle_C_36_HT" xfId="2" xr:uid="{00000000-0005-0000-0000-00003E000000}"/>
    <cellStyle name="Tsd" xfId="63" xr:uid="{00000000-0005-0000-0000-00003F000000}"/>
    <cellStyle name="Überschrift 1 2" xfId="65" xr:uid="{00000000-0005-0000-0000-000040000000}"/>
    <cellStyle name="Überschrift 2 2" xfId="66" xr:uid="{00000000-0005-0000-0000-000041000000}"/>
    <cellStyle name="Überschrift 3 2" xfId="67" xr:uid="{00000000-0005-0000-0000-000042000000}"/>
    <cellStyle name="Überschrift 4 2" xfId="68" xr:uid="{00000000-0005-0000-0000-000043000000}"/>
    <cellStyle name="Überschrift 5" xfId="64" xr:uid="{00000000-0005-0000-0000-000044000000}"/>
    <cellStyle name="Verknüpfte Zelle 2" xfId="69" xr:uid="{00000000-0005-0000-0000-000045000000}"/>
    <cellStyle name="Warnender Text 2" xfId="70" xr:uid="{00000000-0005-0000-0000-000046000000}"/>
    <cellStyle name="Zelle überprüfen 2" xfId="71" xr:uid="{00000000-0005-0000-0000-00004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5"/>
  </sheetPr>
  <dimension ref="D2:V24"/>
  <sheetViews>
    <sheetView topLeftCell="D1" workbookViewId="0">
      <selection activeCell="G26" sqref="G26"/>
    </sheetView>
  </sheetViews>
  <sheetFormatPr baseColWidth="10" defaultRowHeight="15" x14ac:dyDescent="0.25"/>
  <cols>
    <col min="1" max="3" width="0" hidden="1" customWidth="1"/>
  </cols>
  <sheetData>
    <row r="2" spans="4:22" x14ac:dyDescent="0.25">
      <c r="D2" s="123" t="s">
        <v>67</v>
      </c>
      <c r="E2" s="123"/>
      <c r="F2" s="123"/>
      <c r="G2" s="123"/>
      <c r="H2" s="123"/>
      <c r="I2" s="123"/>
      <c r="J2" s="123"/>
      <c r="K2" s="123"/>
      <c r="L2" s="123"/>
    </row>
    <row r="3" spans="4:22" x14ac:dyDescent="0.25">
      <c r="D3" s="124" t="s">
        <v>68</v>
      </c>
      <c r="E3" s="124"/>
      <c r="F3" s="124"/>
      <c r="G3" s="124"/>
      <c r="H3" s="124"/>
      <c r="I3" s="124"/>
      <c r="J3" s="124"/>
      <c r="K3" s="124"/>
      <c r="L3" s="91"/>
    </row>
    <row r="5" spans="4:22" ht="15" customHeight="1" x14ac:dyDescent="0.25">
      <c r="D5" s="129" t="s">
        <v>28</v>
      </c>
      <c r="E5" s="132" t="s">
        <v>29</v>
      </c>
      <c r="F5" s="125"/>
      <c r="G5" s="125"/>
      <c r="H5" s="125" t="s">
        <v>30</v>
      </c>
      <c r="I5" s="125"/>
      <c r="J5" s="125"/>
      <c r="K5" s="125" t="s">
        <v>31</v>
      </c>
      <c r="L5" s="125"/>
      <c r="M5" s="126"/>
      <c r="N5" s="126" t="s">
        <v>47</v>
      </c>
      <c r="O5" s="133"/>
      <c r="P5" s="132"/>
      <c r="Q5" s="126" t="s">
        <v>46</v>
      </c>
      <c r="R5" s="133"/>
      <c r="S5" s="132"/>
      <c r="T5" s="125" t="s">
        <v>31</v>
      </c>
      <c r="U5" s="125"/>
      <c r="V5" s="126"/>
    </row>
    <row r="6" spans="4:22" ht="16.5" x14ac:dyDescent="0.25">
      <c r="D6" s="130"/>
      <c r="E6" s="37" t="s">
        <v>11</v>
      </c>
      <c r="F6" s="37" t="s">
        <v>32</v>
      </c>
      <c r="G6" s="37" t="s">
        <v>15</v>
      </c>
      <c r="H6" s="37" t="s">
        <v>11</v>
      </c>
      <c r="I6" s="37" t="s">
        <v>14</v>
      </c>
      <c r="J6" s="37" t="s">
        <v>15</v>
      </c>
      <c r="K6" s="37" t="s">
        <v>11</v>
      </c>
      <c r="L6" s="37" t="s">
        <v>32</v>
      </c>
      <c r="M6" s="38" t="s">
        <v>15</v>
      </c>
      <c r="N6" s="37" t="s">
        <v>11</v>
      </c>
      <c r="O6" s="37" t="s">
        <v>17</v>
      </c>
      <c r="P6" s="37" t="s">
        <v>18</v>
      </c>
      <c r="Q6" s="37" t="s">
        <v>11</v>
      </c>
      <c r="R6" s="37" t="s">
        <v>17</v>
      </c>
      <c r="S6" s="37" t="s">
        <v>18</v>
      </c>
      <c r="T6" s="37" t="s">
        <v>11</v>
      </c>
      <c r="U6" s="37" t="s">
        <v>17</v>
      </c>
      <c r="V6" s="37" t="s">
        <v>18</v>
      </c>
    </row>
    <row r="7" spans="4:22" x14ac:dyDescent="0.25">
      <c r="D7" s="131"/>
      <c r="E7" s="128" t="s">
        <v>33</v>
      </c>
      <c r="F7" s="134"/>
      <c r="G7" s="134"/>
      <c r="H7" s="134"/>
      <c r="I7" s="134"/>
      <c r="J7" s="134"/>
      <c r="K7" s="127" t="s">
        <v>34</v>
      </c>
      <c r="L7" s="127"/>
      <c r="M7" s="128"/>
      <c r="N7" s="128" t="s">
        <v>33</v>
      </c>
      <c r="O7" s="134"/>
      <c r="P7" s="134"/>
      <c r="Q7" s="134"/>
      <c r="R7" s="134"/>
      <c r="S7" s="135"/>
      <c r="T7" s="127" t="s">
        <v>34</v>
      </c>
      <c r="U7" s="127"/>
      <c r="V7" s="128"/>
    </row>
    <row r="8" spans="4:22" x14ac:dyDescent="0.25">
      <c r="D8" s="39">
        <v>1</v>
      </c>
      <c r="E8" s="39">
        <v>2</v>
      </c>
      <c r="F8" s="39">
        <v>3</v>
      </c>
      <c r="G8" s="39">
        <v>4</v>
      </c>
      <c r="H8" s="39">
        <v>5</v>
      </c>
      <c r="I8" s="39">
        <v>6</v>
      </c>
      <c r="J8" s="39">
        <v>7</v>
      </c>
      <c r="K8" s="39">
        <v>8</v>
      </c>
      <c r="L8" s="39">
        <v>9</v>
      </c>
      <c r="M8" s="39">
        <v>10</v>
      </c>
      <c r="N8" s="39">
        <v>11</v>
      </c>
      <c r="O8" s="39">
        <v>12</v>
      </c>
      <c r="P8" s="39">
        <v>13</v>
      </c>
      <c r="Q8" s="39">
        <v>14</v>
      </c>
      <c r="R8" s="39">
        <v>15</v>
      </c>
      <c r="S8" s="39">
        <v>16</v>
      </c>
    </row>
    <row r="9" spans="4:22" x14ac:dyDescent="0.25">
      <c r="D9" s="40" t="s">
        <v>35</v>
      </c>
      <c r="E9" s="93">
        <f>'2021_Rohdaten_BA'!B12</f>
        <v>8.5</v>
      </c>
      <c r="F9" s="93">
        <f>'2021_Rohdaten_BA'!C12</f>
        <v>7.8</v>
      </c>
      <c r="G9" s="93">
        <f>'2021_Rohdaten_BA'!D12</f>
        <v>9.1999999999999993</v>
      </c>
      <c r="H9" s="93">
        <f>'2021_Rohdaten_BA'!E12</f>
        <v>20.8</v>
      </c>
      <c r="I9" s="93">
        <f>'2021_Rohdaten_BA'!F12</f>
        <v>18.5</v>
      </c>
      <c r="J9" s="93">
        <f>'2021_Rohdaten_BA'!G12</f>
        <v>24.1</v>
      </c>
      <c r="K9" s="94">
        <f t="shared" ref="K9:K21" si="0">H9-E9</f>
        <v>12.3</v>
      </c>
      <c r="L9" s="94">
        <f t="shared" ref="L9:L21" si="1">I9-F9</f>
        <v>10.7</v>
      </c>
      <c r="M9" s="94">
        <f t="shared" ref="M9:M21" si="2">J9-G9</f>
        <v>14.900000000000002</v>
      </c>
      <c r="N9" s="95">
        <f>'2021_Rohdaten_BA'!H12</f>
        <v>7.9</v>
      </c>
      <c r="O9" s="95">
        <f>'2021_Rohdaten_BA'!I12</f>
        <v>4.7</v>
      </c>
      <c r="P9" s="95">
        <f>'2021_Rohdaten_BA'!J12</f>
        <v>9.3000000000000007</v>
      </c>
      <c r="Q9" s="95">
        <f>'2021_Rohdaten_BA'!K12</f>
        <v>14.9</v>
      </c>
      <c r="R9" s="95">
        <f>'2021_Rohdaten_BA'!L12</f>
        <v>13.7</v>
      </c>
      <c r="S9" s="95">
        <f>'2021_Rohdaten_BA'!M12</f>
        <v>15.3</v>
      </c>
      <c r="T9" s="96">
        <f t="shared" ref="T9:T21" si="3">Q9-N9</f>
        <v>7</v>
      </c>
      <c r="U9" s="96">
        <f t="shared" ref="U9:U21" si="4">R9-O9</f>
        <v>9</v>
      </c>
      <c r="V9" s="96">
        <f t="shared" ref="V9:V21" si="5">S9-P9</f>
        <v>6</v>
      </c>
    </row>
    <row r="10" spans="4:22" x14ac:dyDescent="0.25">
      <c r="D10" s="40" t="s">
        <v>36</v>
      </c>
      <c r="E10" s="93">
        <f>'2021_Rohdaten_BA'!B13</f>
        <v>7.4</v>
      </c>
      <c r="F10" s="93">
        <f>'2021_Rohdaten_BA'!C13</f>
        <v>6.9</v>
      </c>
      <c r="G10" s="93">
        <f>'2021_Rohdaten_BA'!D13</f>
        <v>7.9</v>
      </c>
      <c r="H10" s="93">
        <f>'2021_Rohdaten_BA'!E13</f>
        <v>19.7</v>
      </c>
      <c r="I10" s="93">
        <f>'2021_Rohdaten_BA'!F13</f>
        <v>17.2</v>
      </c>
      <c r="J10" s="93">
        <f>'2021_Rohdaten_BA'!G13</f>
        <v>23.3</v>
      </c>
      <c r="K10" s="94">
        <f t="shared" si="0"/>
        <v>12.299999999999999</v>
      </c>
      <c r="L10" s="94">
        <f t="shared" si="1"/>
        <v>10.299999999999999</v>
      </c>
      <c r="M10" s="94">
        <f t="shared" si="2"/>
        <v>15.4</v>
      </c>
      <c r="N10" s="95">
        <f>'2021_Rohdaten_BA'!H13</f>
        <v>6.3</v>
      </c>
      <c r="O10" s="95">
        <f>'2021_Rohdaten_BA'!I13</f>
        <v>3.5</v>
      </c>
      <c r="P10" s="95">
        <f>'2021_Rohdaten_BA'!J13</f>
        <v>7.5</v>
      </c>
      <c r="Q10" s="95">
        <f>'2021_Rohdaten_BA'!K13</f>
        <v>13.1</v>
      </c>
      <c r="R10" s="95">
        <f>'2021_Rohdaten_BA'!L13</f>
        <v>11.3</v>
      </c>
      <c r="S10" s="95">
        <f>'2021_Rohdaten_BA'!M13</f>
        <v>13.8</v>
      </c>
      <c r="T10" s="96">
        <f t="shared" si="3"/>
        <v>6.8</v>
      </c>
      <c r="U10" s="96">
        <f t="shared" si="4"/>
        <v>7.8000000000000007</v>
      </c>
      <c r="V10" s="96">
        <f t="shared" si="5"/>
        <v>6.3000000000000007</v>
      </c>
    </row>
    <row r="11" spans="4:22" x14ac:dyDescent="0.25">
      <c r="D11" s="40" t="s">
        <v>37</v>
      </c>
      <c r="E11" s="93">
        <f>'2021_Rohdaten_BA'!B14</f>
        <v>7.6</v>
      </c>
      <c r="F11" s="93">
        <f>'2021_Rohdaten_BA'!C14</f>
        <v>7.7</v>
      </c>
      <c r="G11" s="93">
        <f>'2021_Rohdaten_BA'!D14</f>
        <v>7.5</v>
      </c>
      <c r="H11" s="93">
        <f>'2021_Rohdaten_BA'!E14</f>
        <v>19.399999999999999</v>
      </c>
      <c r="I11" s="93">
        <f>'2021_Rohdaten_BA'!F14</f>
        <v>18</v>
      </c>
      <c r="J11" s="93">
        <f>'2021_Rohdaten_BA'!G14</f>
        <v>21.3</v>
      </c>
      <c r="K11" s="94">
        <f t="shared" si="0"/>
        <v>11.799999999999999</v>
      </c>
      <c r="L11" s="94">
        <f t="shared" si="1"/>
        <v>10.3</v>
      </c>
      <c r="M11" s="94">
        <f t="shared" si="2"/>
        <v>13.8</v>
      </c>
      <c r="N11" s="95">
        <f>'2021_Rohdaten_BA'!H14</f>
        <v>7.4</v>
      </c>
      <c r="O11" s="95">
        <f>'2021_Rohdaten_BA'!I14</f>
        <v>3.7</v>
      </c>
      <c r="P11" s="95">
        <f>'2021_Rohdaten_BA'!J14</f>
        <v>9</v>
      </c>
      <c r="Q11" s="95">
        <f>'2021_Rohdaten_BA'!K14</f>
        <v>13.6</v>
      </c>
      <c r="R11" s="95">
        <f>'2021_Rohdaten_BA'!L14</f>
        <v>10</v>
      </c>
      <c r="S11" s="95">
        <f>'2021_Rohdaten_BA'!M14</f>
        <v>14.8</v>
      </c>
      <c r="T11" s="96">
        <f t="shared" si="3"/>
        <v>6.1999999999999993</v>
      </c>
      <c r="U11" s="96">
        <f t="shared" si="4"/>
        <v>6.3</v>
      </c>
      <c r="V11" s="96">
        <f t="shared" si="5"/>
        <v>5.8000000000000007</v>
      </c>
    </row>
    <row r="12" spans="4:22" x14ac:dyDescent="0.25">
      <c r="D12" s="40" t="s">
        <v>38</v>
      </c>
      <c r="E12" s="93">
        <f>'2021_Rohdaten_BA'!B15</f>
        <v>7.3</v>
      </c>
      <c r="F12" s="93">
        <f>'2021_Rohdaten_BA'!C15</f>
        <v>7.3</v>
      </c>
      <c r="G12" s="93">
        <f>'2021_Rohdaten_BA'!D15</f>
        <v>7.3</v>
      </c>
      <c r="H12" s="93">
        <f>'2021_Rohdaten_BA'!E15</f>
        <v>18.2</v>
      </c>
      <c r="I12" s="93">
        <f>'2021_Rohdaten_BA'!F15</f>
        <v>16.600000000000001</v>
      </c>
      <c r="J12" s="93">
        <f>'2021_Rohdaten_BA'!G15</f>
        <v>20.3</v>
      </c>
      <c r="K12" s="94">
        <f t="shared" si="0"/>
        <v>10.899999999999999</v>
      </c>
      <c r="L12" s="94">
        <f t="shared" si="1"/>
        <v>9.3000000000000007</v>
      </c>
      <c r="M12" s="94">
        <f t="shared" si="2"/>
        <v>13</v>
      </c>
      <c r="N12" s="95">
        <f>'2021_Rohdaten_BA'!H15</f>
        <v>6.6</v>
      </c>
      <c r="O12" s="95">
        <f>'2021_Rohdaten_BA'!I15</f>
        <v>3.5</v>
      </c>
      <c r="P12" s="95">
        <f>'2021_Rohdaten_BA'!J15</f>
        <v>8</v>
      </c>
      <c r="Q12" s="95">
        <f>'2021_Rohdaten_BA'!K15</f>
        <v>12.6</v>
      </c>
      <c r="R12" s="95">
        <f>'2021_Rohdaten_BA'!L15</f>
        <v>9.9</v>
      </c>
      <c r="S12" s="95">
        <f>'2021_Rohdaten_BA'!M15</f>
        <v>13.5</v>
      </c>
      <c r="T12" s="96">
        <f t="shared" si="3"/>
        <v>6</v>
      </c>
      <c r="U12" s="96">
        <f t="shared" si="4"/>
        <v>6.4</v>
      </c>
      <c r="V12" s="96">
        <f t="shared" si="5"/>
        <v>5.5</v>
      </c>
    </row>
    <row r="13" spans="4:22" x14ac:dyDescent="0.25">
      <c r="D13" s="40" t="s">
        <v>39</v>
      </c>
      <c r="E13" s="93">
        <f>'2021_Rohdaten_BA'!B16</f>
        <v>6.7</v>
      </c>
      <c r="F13" s="93">
        <f>'2021_Rohdaten_BA'!C16</f>
        <v>6.5</v>
      </c>
      <c r="G13" s="93">
        <f>'2021_Rohdaten_BA'!D16</f>
        <v>6.9</v>
      </c>
      <c r="H13" s="93">
        <f>'2021_Rohdaten_BA'!E16</f>
        <v>17.2</v>
      </c>
      <c r="I13" s="93">
        <f>'2021_Rohdaten_BA'!F16</f>
        <v>15.5</v>
      </c>
      <c r="J13" s="93">
        <f>'2021_Rohdaten_BA'!G16</f>
        <v>19.5</v>
      </c>
      <c r="K13" s="94">
        <f t="shared" si="0"/>
        <v>10.5</v>
      </c>
      <c r="L13" s="94">
        <f t="shared" si="1"/>
        <v>9</v>
      </c>
      <c r="M13" s="94">
        <f t="shared" si="2"/>
        <v>12.6</v>
      </c>
      <c r="N13" s="95">
        <f>'2021_Rohdaten_BA'!H16</f>
        <v>5.4</v>
      </c>
      <c r="O13" s="95">
        <f>'2021_Rohdaten_BA'!I16</f>
        <v>2.9</v>
      </c>
      <c r="P13" s="95">
        <f>'2021_Rohdaten_BA'!J16</f>
        <v>6.5</v>
      </c>
      <c r="Q13" s="95">
        <f>'2021_Rohdaten_BA'!K16</f>
        <v>11.7</v>
      </c>
      <c r="R13" s="95">
        <f>'2021_Rohdaten_BA'!L16</f>
        <v>8.9</v>
      </c>
      <c r="S13" s="95">
        <f>'2021_Rohdaten_BA'!M16</f>
        <v>12.7</v>
      </c>
      <c r="T13" s="96">
        <f t="shared" si="3"/>
        <v>6.2999999999999989</v>
      </c>
      <c r="U13" s="96">
        <f t="shared" si="4"/>
        <v>6</v>
      </c>
      <c r="V13" s="96">
        <f t="shared" si="5"/>
        <v>6.1999999999999993</v>
      </c>
    </row>
    <row r="14" spans="4:22" x14ac:dyDescent="0.25">
      <c r="D14" s="40" t="s">
        <v>40</v>
      </c>
      <c r="E14" s="93">
        <f>'2021_Rohdaten_BA'!B17</f>
        <v>6.2</v>
      </c>
      <c r="F14" s="93">
        <f>'2021_Rohdaten_BA'!C17</f>
        <v>6.1</v>
      </c>
      <c r="G14" s="93">
        <f>'2021_Rohdaten_BA'!D17</f>
        <v>6.4</v>
      </c>
      <c r="H14" s="93">
        <f>'2021_Rohdaten_BA'!E17</f>
        <v>16</v>
      </c>
      <c r="I14" s="93">
        <f>'2021_Rohdaten_BA'!F17</f>
        <v>14.3</v>
      </c>
      <c r="J14" s="93">
        <f>'2021_Rohdaten_BA'!G17</f>
        <v>18.3</v>
      </c>
      <c r="K14" s="94">
        <f t="shared" si="0"/>
        <v>9.8000000000000007</v>
      </c>
      <c r="L14" s="94">
        <f t="shared" si="1"/>
        <v>8.2000000000000011</v>
      </c>
      <c r="M14" s="94">
        <f t="shared" si="2"/>
        <v>11.9</v>
      </c>
      <c r="N14" s="95">
        <f>'2021_Rohdaten_BA'!H17</f>
        <v>5.2</v>
      </c>
      <c r="O14" s="95">
        <f>'2021_Rohdaten_BA'!I17</f>
        <v>3</v>
      </c>
      <c r="P14" s="95">
        <f>'2021_Rohdaten_BA'!J17</f>
        <v>6.1</v>
      </c>
      <c r="Q14" s="95">
        <f>'2021_Rohdaten_BA'!K17</f>
        <v>10.9</v>
      </c>
      <c r="R14" s="95">
        <f>'2021_Rohdaten_BA'!L17</f>
        <v>8.1999999999999993</v>
      </c>
      <c r="S14" s="95">
        <f>'2021_Rohdaten_BA'!M17</f>
        <v>11.8</v>
      </c>
      <c r="T14" s="96">
        <f t="shared" si="3"/>
        <v>5.7</v>
      </c>
      <c r="U14" s="96">
        <f t="shared" si="4"/>
        <v>5.1999999999999993</v>
      </c>
      <c r="V14" s="96">
        <f t="shared" si="5"/>
        <v>5.7000000000000011</v>
      </c>
    </row>
    <row r="15" spans="4:22" x14ac:dyDescent="0.25">
      <c r="D15" s="40" t="s">
        <v>41</v>
      </c>
      <c r="E15" s="93">
        <f>'2021_Rohdaten_BA'!B18</f>
        <v>6.3</v>
      </c>
      <c r="F15" s="93">
        <f>'2021_Rohdaten_BA'!C18</f>
        <v>6.3</v>
      </c>
      <c r="G15" s="93">
        <f>'2021_Rohdaten_BA'!D18</f>
        <v>6.4</v>
      </c>
      <c r="H15" s="93">
        <f>'2021_Rohdaten_BA'!E18</f>
        <v>15.7</v>
      </c>
      <c r="I15" s="93">
        <f>'2021_Rohdaten_BA'!F18</f>
        <v>14.1</v>
      </c>
      <c r="J15" s="93">
        <f>'2021_Rohdaten_BA'!G18</f>
        <v>18</v>
      </c>
      <c r="K15" s="94">
        <f t="shared" si="0"/>
        <v>9.3999999999999986</v>
      </c>
      <c r="L15" s="94">
        <f t="shared" si="1"/>
        <v>7.8</v>
      </c>
      <c r="M15" s="94">
        <f t="shared" si="2"/>
        <v>11.6</v>
      </c>
      <c r="N15" s="95">
        <f>'2021_Rohdaten_BA'!H18</f>
        <v>5.7</v>
      </c>
      <c r="O15" s="95">
        <f>'2021_Rohdaten_BA'!I18</f>
        <v>3.1</v>
      </c>
      <c r="P15" s="95">
        <f>'2021_Rohdaten_BA'!J18</f>
        <v>6.7</v>
      </c>
      <c r="Q15" s="95">
        <f>'2021_Rohdaten_BA'!K18</f>
        <v>11</v>
      </c>
      <c r="R15" s="95">
        <f>'2021_Rohdaten_BA'!L18</f>
        <v>9.1999999999999993</v>
      </c>
      <c r="S15" s="95">
        <f>'2021_Rohdaten_BA'!M18</f>
        <v>11.5</v>
      </c>
      <c r="T15" s="96">
        <f t="shared" si="3"/>
        <v>5.3</v>
      </c>
      <c r="U15" s="96">
        <f t="shared" si="4"/>
        <v>6.1</v>
      </c>
      <c r="V15" s="96">
        <f t="shared" si="5"/>
        <v>4.8</v>
      </c>
    </row>
    <row r="16" spans="4:22" x14ac:dyDescent="0.25">
      <c r="D16" s="40" t="s">
        <v>42</v>
      </c>
      <c r="E16" s="93">
        <f>'2021_Rohdaten_BA'!B19</f>
        <v>6.3</v>
      </c>
      <c r="F16" s="93">
        <f>'2021_Rohdaten_BA'!C19</f>
        <v>6.3</v>
      </c>
      <c r="G16" s="93">
        <f>'2021_Rohdaten_BA'!D19</f>
        <v>6.3</v>
      </c>
      <c r="H16" s="93">
        <f>'2021_Rohdaten_BA'!E19</f>
        <v>16</v>
      </c>
      <c r="I16" s="93">
        <f>'2021_Rohdaten_BA'!F19</f>
        <v>14.1</v>
      </c>
      <c r="J16" s="93">
        <f>'2021_Rohdaten_BA'!G19</f>
        <v>18.5</v>
      </c>
      <c r="K16" s="94">
        <f t="shared" si="0"/>
        <v>9.6999999999999993</v>
      </c>
      <c r="L16" s="94">
        <f t="shared" si="1"/>
        <v>7.8</v>
      </c>
      <c r="M16" s="94">
        <f t="shared" si="2"/>
        <v>12.2</v>
      </c>
      <c r="N16" s="95">
        <f>'2021_Rohdaten_BA'!H19</f>
        <v>5.3</v>
      </c>
      <c r="O16" s="95">
        <f>'2021_Rohdaten_BA'!I19</f>
        <v>3</v>
      </c>
      <c r="P16" s="95">
        <f>'2021_Rohdaten_BA'!J19</f>
        <v>6.2</v>
      </c>
      <c r="Q16" s="95">
        <f>'2021_Rohdaten_BA'!K19</f>
        <v>11.7</v>
      </c>
      <c r="R16" s="95">
        <f>'2021_Rohdaten_BA'!L19</f>
        <v>10.3</v>
      </c>
      <c r="S16" s="95">
        <f>'2021_Rohdaten_BA'!M19</f>
        <v>12.1</v>
      </c>
      <c r="T16" s="96">
        <f t="shared" si="3"/>
        <v>6.3999999999999995</v>
      </c>
      <c r="U16" s="96">
        <f t="shared" si="4"/>
        <v>7.3000000000000007</v>
      </c>
      <c r="V16" s="96">
        <f t="shared" si="5"/>
        <v>5.8999999999999995</v>
      </c>
    </row>
    <row r="17" spans="4:22" x14ac:dyDescent="0.25">
      <c r="D17" s="40" t="s">
        <v>43</v>
      </c>
      <c r="E17" s="93">
        <f>'2021_Rohdaten_BA'!B20</f>
        <v>5.9</v>
      </c>
      <c r="F17" s="93">
        <f>'2021_Rohdaten_BA'!C20</f>
        <v>5.9</v>
      </c>
      <c r="G17" s="93">
        <f>'2021_Rohdaten_BA'!D20</f>
        <v>5.8</v>
      </c>
      <c r="H17" s="93">
        <f>'2021_Rohdaten_BA'!E20</f>
        <v>16.3</v>
      </c>
      <c r="I17" s="93">
        <f>'2021_Rohdaten_BA'!F20</f>
        <v>14.3</v>
      </c>
      <c r="J17" s="93">
        <f>'2021_Rohdaten_BA'!G20</f>
        <v>19.100000000000001</v>
      </c>
      <c r="K17" s="94">
        <f t="shared" si="0"/>
        <v>10.4</v>
      </c>
      <c r="L17" s="94">
        <f t="shared" si="1"/>
        <v>8.4</v>
      </c>
      <c r="M17" s="94">
        <f t="shared" si="2"/>
        <v>13.3</v>
      </c>
      <c r="N17" s="95">
        <f>'2021_Rohdaten_BA'!H20</f>
        <v>4.8</v>
      </c>
      <c r="O17" s="95">
        <f>'2021_Rohdaten_BA'!I20</f>
        <v>2.9</v>
      </c>
      <c r="P17" s="95">
        <f>'2021_Rohdaten_BA'!J20</f>
        <v>5.6</v>
      </c>
      <c r="Q17" s="95">
        <f>'2021_Rohdaten_BA'!K20</f>
        <v>12</v>
      </c>
      <c r="R17" s="95">
        <f>'2021_Rohdaten_BA'!L20</f>
        <v>11.5</v>
      </c>
      <c r="S17" s="95">
        <f>'2021_Rohdaten_BA'!M20</f>
        <v>12.1</v>
      </c>
      <c r="T17" s="96">
        <f t="shared" si="3"/>
        <v>7.2</v>
      </c>
      <c r="U17" s="96">
        <f t="shared" si="4"/>
        <v>8.6</v>
      </c>
      <c r="V17" s="96">
        <f t="shared" si="5"/>
        <v>6.5</v>
      </c>
    </row>
    <row r="18" spans="4:22" x14ac:dyDescent="0.25">
      <c r="D18" s="40" t="s">
        <v>44</v>
      </c>
      <c r="E18" s="93">
        <f>'2021_Rohdaten_BA'!B21</f>
        <v>5.8</v>
      </c>
      <c r="F18" s="93">
        <f>'2021_Rohdaten_BA'!C21</f>
        <v>6</v>
      </c>
      <c r="G18" s="93">
        <f>'2021_Rohdaten_BA'!D21</f>
        <v>5.6</v>
      </c>
      <c r="H18" s="93">
        <f>'2021_Rohdaten_BA'!E21</f>
        <v>18.100000000000001</v>
      </c>
      <c r="I18" s="93">
        <f>'2021_Rohdaten_BA'!F21</f>
        <v>17.3</v>
      </c>
      <c r="J18" s="93">
        <f>'2021_Rohdaten_BA'!G21</f>
        <v>19.3</v>
      </c>
      <c r="K18" s="94">
        <f t="shared" si="0"/>
        <v>12.3</v>
      </c>
      <c r="L18" s="94">
        <f t="shared" si="1"/>
        <v>11.3</v>
      </c>
      <c r="M18" s="94">
        <f t="shared" si="2"/>
        <v>13.700000000000001</v>
      </c>
      <c r="N18" s="95">
        <f>'2021_Rohdaten_BA'!H21</f>
        <v>5.6</v>
      </c>
      <c r="O18" s="95">
        <f>'2021_Rohdaten_BA'!I21</f>
        <v>3.4</v>
      </c>
      <c r="P18" s="95">
        <f>'2021_Rohdaten_BA'!J21</f>
        <v>6.6</v>
      </c>
      <c r="Q18" s="95">
        <f>'2021_Rohdaten_BA'!K21</f>
        <v>18.3</v>
      </c>
      <c r="R18" s="95">
        <f>'2021_Rohdaten_BA'!L21</f>
        <v>16.399999999999999</v>
      </c>
      <c r="S18" s="95">
        <f>'2021_Rohdaten_BA'!M21</f>
        <v>18.8</v>
      </c>
      <c r="T18" s="96">
        <f t="shared" si="3"/>
        <v>12.700000000000001</v>
      </c>
      <c r="U18" s="96">
        <f t="shared" si="4"/>
        <v>12.999999999999998</v>
      </c>
      <c r="V18" s="96">
        <f t="shared" si="5"/>
        <v>12.200000000000001</v>
      </c>
    </row>
    <row r="19" spans="4:22" x14ac:dyDescent="0.25">
      <c r="D19" s="40" t="s">
        <v>45</v>
      </c>
      <c r="E19" s="93">
        <f>'2021_Rohdaten_BA'!B22</f>
        <v>5.6</v>
      </c>
      <c r="F19" s="93">
        <f>'2021_Rohdaten_BA'!C22</f>
        <v>5.8</v>
      </c>
      <c r="G19" s="93">
        <f>'2021_Rohdaten_BA'!D22</f>
        <v>5.5</v>
      </c>
      <c r="H19" s="93">
        <f>'2021_Rohdaten_BA'!E22</f>
        <v>17.7</v>
      </c>
      <c r="I19" s="93">
        <f>'2021_Rohdaten_BA'!F22</f>
        <v>16.3</v>
      </c>
      <c r="J19" s="93">
        <f>'2021_Rohdaten_BA'!G22</f>
        <v>19.8</v>
      </c>
      <c r="K19" s="94">
        <f t="shared" si="0"/>
        <v>12.1</v>
      </c>
      <c r="L19" s="94">
        <f t="shared" si="1"/>
        <v>10.5</v>
      </c>
      <c r="M19" s="94">
        <f t="shared" si="2"/>
        <v>14.3</v>
      </c>
      <c r="N19" s="95">
        <f>'2021_Rohdaten_BA'!H22</f>
        <v>5.3</v>
      </c>
      <c r="O19" s="95">
        <f>'2021_Rohdaten_BA'!I22</f>
        <v>3.1</v>
      </c>
      <c r="P19" s="95">
        <f>'2021_Rohdaten_BA'!J22</f>
        <v>6.3</v>
      </c>
      <c r="Q19" s="95">
        <f>'2021_Rohdaten_BA'!K22</f>
        <v>16.399999999999999</v>
      </c>
      <c r="R19" s="95">
        <f>'2021_Rohdaten_BA'!L22</f>
        <v>13.4</v>
      </c>
      <c r="S19" s="95">
        <f>'2021_Rohdaten_BA'!M22</f>
        <v>17.2</v>
      </c>
      <c r="T19" s="96">
        <f t="shared" si="3"/>
        <v>11.099999999999998</v>
      </c>
      <c r="U19" s="96">
        <f t="shared" si="4"/>
        <v>10.3</v>
      </c>
      <c r="V19" s="96">
        <f t="shared" si="5"/>
        <v>10.899999999999999</v>
      </c>
    </row>
    <row r="20" spans="4:22" x14ac:dyDescent="0.25">
      <c r="D20" s="40" t="s">
        <v>48</v>
      </c>
      <c r="E20" s="93">
        <f>'2021_Rohdaten_BA'!B23</f>
        <v>5.0999999999999996</v>
      </c>
      <c r="F20" s="93">
        <f>'2021_Rohdaten_BA'!C23</f>
        <v>5.3</v>
      </c>
      <c r="G20" s="93">
        <f>'2021_Rohdaten_BA'!D23</f>
        <v>5</v>
      </c>
      <c r="H20" s="93">
        <f>'2021_Rohdaten_BA'!E23</f>
        <v>15.6</v>
      </c>
      <c r="I20" s="93">
        <f>'2021_Rohdaten_BA'!F23</f>
        <v>14.1</v>
      </c>
      <c r="J20" s="93">
        <f>'2021_Rohdaten_BA'!G23</f>
        <v>17.899999999999999</v>
      </c>
      <c r="K20" s="94">
        <f t="shared" si="0"/>
        <v>10.5</v>
      </c>
      <c r="L20" s="94">
        <f t="shared" si="1"/>
        <v>8.8000000000000007</v>
      </c>
      <c r="M20" s="94">
        <f t="shared" si="2"/>
        <v>12.899999999999999</v>
      </c>
      <c r="N20" s="95">
        <f>'2021_Rohdaten_BA'!H23</f>
        <v>4.7</v>
      </c>
      <c r="O20" s="95">
        <f>'2021_Rohdaten_BA'!I23</f>
        <v>2.9</v>
      </c>
      <c r="P20" s="95">
        <f>'2021_Rohdaten_BA'!J23</f>
        <v>5.5</v>
      </c>
      <c r="Q20" s="95">
        <f>'2021_Rohdaten_BA'!K23</f>
        <v>13.5</v>
      </c>
      <c r="R20" s="95">
        <f>'2021_Rohdaten_BA'!L23</f>
        <v>11.2</v>
      </c>
      <c r="S20" s="95">
        <f>'2021_Rohdaten_BA'!M23</f>
        <v>14.1</v>
      </c>
      <c r="T20" s="96">
        <f t="shared" si="3"/>
        <v>8.8000000000000007</v>
      </c>
      <c r="U20" s="96">
        <f t="shared" si="4"/>
        <v>8.2999999999999989</v>
      </c>
      <c r="V20" s="96">
        <f t="shared" si="5"/>
        <v>8.6</v>
      </c>
    </row>
    <row r="21" spans="4:22" x14ac:dyDescent="0.25">
      <c r="D21" s="40" t="s">
        <v>49</v>
      </c>
      <c r="E21" s="93">
        <f>'2021_Rohdaten_BA'!B24</f>
        <v>4.9000000000000004</v>
      </c>
      <c r="F21" s="93">
        <f>'2021_Rohdaten_BA'!C24</f>
        <v>5.0999999999999996</v>
      </c>
      <c r="G21" s="93">
        <f>'2021_Rohdaten_BA'!D24</f>
        <v>4.7</v>
      </c>
      <c r="H21" s="93">
        <f>'2021_Rohdaten_BA'!E24</f>
        <v>14.7</v>
      </c>
      <c r="I21" s="93">
        <f>'2021_Rohdaten_BA'!F24</f>
        <v>13.2</v>
      </c>
      <c r="J21" s="93">
        <f>'2021_Rohdaten_BA'!G24</f>
        <v>17.2</v>
      </c>
      <c r="K21" s="94">
        <f t="shared" si="0"/>
        <v>9.7999999999999989</v>
      </c>
      <c r="L21" s="94">
        <f t="shared" si="1"/>
        <v>8.1</v>
      </c>
      <c r="M21" s="94">
        <f t="shared" si="2"/>
        <v>12.5</v>
      </c>
      <c r="N21" s="95">
        <f>'2021_Rohdaten_BA'!H24</f>
        <v>4.4000000000000004</v>
      </c>
      <c r="O21" s="95">
        <f>'2021_Rohdaten_BA'!I24</f>
        <v>2.6</v>
      </c>
      <c r="P21" s="95">
        <f>'2021_Rohdaten_BA'!J24</f>
        <v>5.0999999999999996</v>
      </c>
      <c r="Q21" s="95">
        <f>'2021_Rohdaten_BA'!K24</f>
        <v>12.1</v>
      </c>
      <c r="R21" s="95">
        <f>'2021_Rohdaten_BA'!L24</f>
        <v>9.4</v>
      </c>
      <c r="S21" s="95">
        <f>'2021_Rohdaten_BA'!M24</f>
        <v>12.8</v>
      </c>
      <c r="T21" s="96">
        <f t="shared" si="3"/>
        <v>7.6999999999999993</v>
      </c>
      <c r="U21" s="96">
        <f t="shared" si="4"/>
        <v>6.8000000000000007</v>
      </c>
      <c r="V21" s="96">
        <f t="shared" si="5"/>
        <v>7.7000000000000011</v>
      </c>
    </row>
    <row r="22" spans="4:22" x14ac:dyDescent="0.25">
      <c r="D22" s="92" t="s">
        <v>66</v>
      </c>
      <c r="E22" s="93">
        <f>'2021_Rohdaten_BA'!B25</f>
        <v>6</v>
      </c>
      <c r="F22" s="93">
        <f>'2021_Rohdaten_BA'!C25</f>
        <v>6.4</v>
      </c>
      <c r="G22" s="93">
        <f>'2021_Rohdaten_BA'!D25</f>
        <v>5.7</v>
      </c>
      <c r="H22" s="93">
        <f>'2021_Rohdaten_BA'!E25</f>
        <v>17.8</v>
      </c>
      <c r="I22" s="93">
        <f>'2021_Rohdaten_BA'!F25</f>
        <v>16.3</v>
      </c>
      <c r="J22" s="93">
        <f>'2021_Rohdaten_BA'!G25</f>
        <v>20.399999999999999</v>
      </c>
      <c r="K22" s="94">
        <f>H22-E22</f>
        <v>11.8</v>
      </c>
      <c r="L22" s="94">
        <f t="shared" ref="L22:M22" si="6">I22-F22</f>
        <v>9.9</v>
      </c>
      <c r="M22" s="94">
        <f t="shared" si="6"/>
        <v>14.7</v>
      </c>
      <c r="N22" s="95">
        <f>'2021_Rohdaten_BA'!H25</f>
        <v>6</v>
      </c>
      <c r="O22" s="95">
        <f>'2021_Rohdaten_BA'!I25</f>
        <v>3.4</v>
      </c>
      <c r="P22" s="95">
        <f>'2021_Rohdaten_BA'!J25</f>
        <v>7.1</v>
      </c>
      <c r="Q22" s="95">
        <f>'2021_Rohdaten_BA'!K25</f>
        <v>14.9</v>
      </c>
      <c r="R22" s="95">
        <f>'2021_Rohdaten_BA'!L25</f>
        <v>11.1</v>
      </c>
      <c r="S22" s="95">
        <f>'2021_Rohdaten_BA'!M25</f>
        <v>15.8</v>
      </c>
      <c r="T22" s="96">
        <f>Q22-N22</f>
        <v>8.9</v>
      </c>
      <c r="U22" s="96">
        <f t="shared" ref="U22" si="7">R22-O22</f>
        <v>7.6999999999999993</v>
      </c>
      <c r="V22" s="96">
        <f t="shared" ref="V22" si="8">S22-P22</f>
        <v>8.7000000000000011</v>
      </c>
    </row>
    <row r="23" spans="4:22" x14ac:dyDescent="0.25">
      <c r="D23" s="92" t="s">
        <v>69</v>
      </c>
      <c r="E23" s="93">
        <f>'2021_Rohdaten_BA'!B26</f>
        <v>5.5</v>
      </c>
      <c r="F23" s="93">
        <f>'2021_Rohdaten_BA'!C26</f>
        <v>5.7</v>
      </c>
      <c r="G23" s="93">
        <f>'2021_Rohdaten_BA'!D26</f>
        <v>5.3</v>
      </c>
      <c r="H23" s="93">
        <f>'2021_Rohdaten_BA'!E26</f>
        <v>15.7</v>
      </c>
      <c r="I23" s="93">
        <f>'2021_Rohdaten_BA'!F26</f>
        <v>13.6</v>
      </c>
      <c r="J23" s="93">
        <f>'2021_Rohdaten_BA'!G26</f>
        <v>19</v>
      </c>
      <c r="K23" s="94">
        <f>H23-E23</f>
        <v>10.199999999999999</v>
      </c>
      <c r="L23" s="94">
        <f t="shared" ref="L23" si="9">I23-F23</f>
        <v>7.8999999999999995</v>
      </c>
      <c r="M23" s="94">
        <f t="shared" ref="M23" si="10">J23-G23</f>
        <v>13.7</v>
      </c>
      <c r="N23" s="95">
        <f>'2021_Rohdaten_BA'!H26</f>
        <v>4.7</v>
      </c>
      <c r="O23" s="95">
        <f>'2021_Rohdaten_BA'!I26</f>
        <v>2.7</v>
      </c>
      <c r="P23" s="95">
        <f>'2021_Rohdaten_BA'!J26</f>
        <v>5.4</v>
      </c>
      <c r="Q23" s="95">
        <f>'2021_Rohdaten_BA'!K26</f>
        <v>11.4</v>
      </c>
      <c r="R23" s="95">
        <f>'2021_Rohdaten_BA'!L26</f>
        <v>10.1</v>
      </c>
      <c r="S23" s="95">
        <f>'2021_Rohdaten_BA'!M26</f>
        <v>11.7</v>
      </c>
      <c r="T23" s="96">
        <f>Q23-N23</f>
        <v>6.7</v>
      </c>
      <c r="U23" s="96">
        <f t="shared" ref="U23" si="11">R23-O23</f>
        <v>7.3999999999999995</v>
      </c>
      <c r="V23" s="96">
        <f t="shared" ref="V23" si="12">S23-P23</f>
        <v>6.2999999999999989</v>
      </c>
    </row>
    <row r="24" spans="4:22" x14ac:dyDescent="0.25">
      <c r="N24" s="41"/>
      <c r="O24" s="41"/>
      <c r="P24" s="41"/>
      <c r="Q24" s="41"/>
      <c r="R24" s="41"/>
      <c r="S24" s="41"/>
    </row>
  </sheetData>
  <mergeCells count="13">
    <mergeCell ref="D2:L2"/>
    <mergeCell ref="D3:K3"/>
    <mergeCell ref="T5:V5"/>
    <mergeCell ref="T7:V7"/>
    <mergeCell ref="D5:D7"/>
    <mergeCell ref="E5:G5"/>
    <mergeCell ref="H5:J5"/>
    <mergeCell ref="K5:M5"/>
    <mergeCell ref="K7:M7"/>
    <mergeCell ref="N5:P5"/>
    <mergeCell ref="Q5:S5"/>
    <mergeCell ref="E7:J7"/>
    <mergeCell ref="N7:S7"/>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21E4-4E16-4F7D-A24B-4552ADC91829}">
  <sheetPr codeName="Tabelle6"/>
  <dimension ref="A1:M27"/>
  <sheetViews>
    <sheetView workbookViewId="0">
      <selection activeCell="A27" sqref="A27"/>
    </sheetView>
  </sheetViews>
  <sheetFormatPr baseColWidth="10" defaultRowHeight="15" x14ac:dyDescent="0.25"/>
  <sheetData>
    <row r="1" spans="1:13" x14ac:dyDescent="0.25">
      <c r="A1" s="89"/>
      <c r="B1" s="89"/>
      <c r="C1" s="89"/>
      <c r="D1" s="89"/>
      <c r="E1" s="89"/>
      <c r="F1" s="89"/>
      <c r="G1" s="89"/>
      <c r="H1" s="89"/>
      <c r="I1" s="89"/>
      <c r="J1" s="89"/>
      <c r="K1" s="89"/>
      <c r="L1" s="89"/>
      <c r="M1" s="90" t="s">
        <v>0</v>
      </c>
    </row>
    <row r="2" spans="1:13" x14ac:dyDescent="0.25">
      <c r="A2" s="88"/>
      <c r="B2" s="88"/>
      <c r="C2" s="88"/>
      <c r="D2" s="88"/>
      <c r="E2" s="88"/>
      <c r="F2" s="88"/>
      <c r="G2" s="88"/>
      <c r="H2" s="88"/>
      <c r="I2" s="88"/>
      <c r="J2" s="88"/>
      <c r="K2" s="88"/>
      <c r="L2" s="88"/>
      <c r="M2" s="88"/>
    </row>
    <row r="3" spans="1:13" ht="15" customHeight="1" x14ac:dyDescent="0.25">
      <c r="A3" s="138" t="s">
        <v>55</v>
      </c>
      <c r="B3" s="139"/>
      <c r="C3" s="139"/>
      <c r="D3" s="139"/>
      <c r="E3" s="139"/>
      <c r="F3" s="139"/>
      <c r="G3" s="139"/>
      <c r="H3" s="139"/>
      <c r="I3" s="139"/>
      <c r="J3" s="139"/>
      <c r="K3" s="139"/>
      <c r="L3" s="139"/>
      <c r="M3" s="139"/>
    </row>
    <row r="4" spans="1:13" x14ac:dyDescent="0.25">
      <c r="A4" s="108" t="s">
        <v>56</v>
      </c>
      <c r="B4" s="99"/>
      <c r="C4" s="99"/>
      <c r="D4" s="99"/>
      <c r="E4" s="99"/>
      <c r="F4" s="99"/>
      <c r="G4" s="99"/>
      <c r="H4" s="99"/>
      <c r="I4" s="99"/>
      <c r="J4" s="99"/>
      <c r="K4" s="99"/>
      <c r="L4" s="99"/>
      <c r="M4" s="99"/>
    </row>
    <row r="5" spans="1:13" x14ac:dyDescent="0.25">
      <c r="A5" s="107" t="s">
        <v>70</v>
      </c>
      <c r="B5" s="99"/>
      <c r="C5" s="99"/>
      <c r="D5" s="99"/>
      <c r="E5" s="99"/>
      <c r="F5" s="99"/>
      <c r="G5" s="99"/>
      <c r="H5" s="99"/>
      <c r="I5" s="99"/>
      <c r="J5" s="99"/>
      <c r="K5" s="99"/>
      <c r="L5" s="99"/>
      <c r="M5" s="99"/>
    </row>
    <row r="6" spans="1:13" x14ac:dyDescent="0.25">
      <c r="A6" s="99"/>
      <c r="B6" s="99"/>
      <c r="C6" s="99"/>
      <c r="D6" s="99"/>
      <c r="E6" s="99"/>
      <c r="F6" s="99"/>
      <c r="G6" s="99"/>
      <c r="H6" s="99"/>
      <c r="I6" s="99"/>
      <c r="J6" s="99"/>
      <c r="K6" s="99"/>
      <c r="L6" s="99"/>
      <c r="M6" s="99"/>
    </row>
    <row r="7" spans="1:13" x14ac:dyDescent="0.25">
      <c r="A7" s="100" t="s">
        <v>57</v>
      </c>
      <c r="B7" s="99"/>
      <c r="C7" s="99"/>
      <c r="D7" s="99"/>
      <c r="E7" s="99"/>
      <c r="F7" s="99"/>
      <c r="G7" s="99"/>
      <c r="H7" s="99"/>
      <c r="I7" s="99"/>
      <c r="J7" s="99"/>
      <c r="K7" s="99"/>
      <c r="L7" s="99"/>
      <c r="M7" s="99"/>
    </row>
    <row r="8" spans="1:13" x14ac:dyDescent="0.25">
      <c r="A8" s="100" t="s">
        <v>71</v>
      </c>
      <c r="B8" s="99"/>
      <c r="C8" s="99"/>
      <c r="D8" s="99"/>
      <c r="E8" s="99"/>
      <c r="F8" s="99"/>
      <c r="G8" s="99"/>
      <c r="H8" s="99"/>
      <c r="I8" s="99"/>
      <c r="J8" s="99"/>
      <c r="K8" s="99"/>
      <c r="L8" s="99"/>
      <c r="M8" s="99"/>
    </row>
    <row r="9" spans="1:13" x14ac:dyDescent="0.25">
      <c r="A9" s="99"/>
      <c r="B9" s="99"/>
      <c r="C9" s="99"/>
      <c r="D9" s="99"/>
      <c r="E9" s="99"/>
      <c r="F9" s="99"/>
      <c r="G9" s="99"/>
      <c r="H9" s="99"/>
      <c r="I9" s="99"/>
      <c r="J9" s="99"/>
      <c r="K9" s="99"/>
      <c r="L9" s="99"/>
      <c r="M9" s="99"/>
    </row>
    <row r="10" spans="1:13" ht="45" x14ac:dyDescent="0.25">
      <c r="A10" s="136" t="s">
        <v>52</v>
      </c>
      <c r="B10" s="109" t="s">
        <v>11</v>
      </c>
      <c r="C10" s="109" t="s">
        <v>32</v>
      </c>
      <c r="D10" s="109" t="s">
        <v>15</v>
      </c>
      <c r="E10" s="109" t="s">
        <v>58</v>
      </c>
      <c r="F10" s="109" t="s">
        <v>13</v>
      </c>
      <c r="G10" s="109" t="s">
        <v>59</v>
      </c>
      <c r="H10" s="109" t="s">
        <v>60</v>
      </c>
      <c r="I10" s="109" t="s">
        <v>61</v>
      </c>
      <c r="J10" s="109" t="s">
        <v>62</v>
      </c>
      <c r="K10" s="109" t="s">
        <v>63</v>
      </c>
      <c r="L10" s="109" t="s">
        <v>64</v>
      </c>
      <c r="M10" s="109" t="s">
        <v>65</v>
      </c>
    </row>
    <row r="11" spans="1:13" x14ac:dyDescent="0.25">
      <c r="A11" s="137"/>
      <c r="B11" s="101">
        <v>1</v>
      </c>
      <c r="C11" s="101">
        <v>2</v>
      </c>
      <c r="D11" s="101">
        <v>3</v>
      </c>
      <c r="E11" s="101">
        <v>4</v>
      </c>
      <c r="F11" s="101">
        <v>5</v>
      </c>
      <c r="G11" s="101">
        <v>6</v>
      </c>
      <c r="H11" s="101">
        <v>7</v>
      </c>
      <c r="I11" s="101">
        <v>8</v>
      </c>
      <c r="J11" s="101">
        <v>9</v>
      </c>
      <c r="K11" s="101">
        <v>10</v>
      </c>
      <c r="L11" s="101">
        <v>11</v>
      </c>
      <c r="M11" s="101">
        <v>12</v>
      </c>
    </row>
    <row r="12" spans="1:13" x14ac:dyDescent="0.25">
      <c r="A12" s="105">
        <v>39263</v>
      </c>
      <c r="B12" s="110">
        <v>8.5</v>
      </c>
      <c r="C12" s="102">
        <v>7.8</v>
      </c>
      <c r="D12" s="102">
        <v>9.1999999999999993</v>
      </c>
      <c r="E12" s="102">
        <v>20.8</v>
      </c>
      <c r="F12" s="102">
        <v>18.5</v>
      </c>
      <c r="G12" s="102">
        <v>24.1</v>
      </c>
      <c r="H12" s="102">
        <v>7.9</v>
      </c>
      <c r="I12" s="102">
        <v>4.7</v>
      </c>
      <c r="J12" s="102">
        <v>9.3000000000000007</v>
      </c>
      <c r="K12" s="102">
        <v>14.9</v>
      </c>
      <c r="L12" s="102">
        <v>13.7</v>
      </c>
      <c r="M12" s="111">
        <v>15.3</v>
      </c>
    </row>
    <row r="13" spans="1:13" x14ac:dyDescent="0.25">
      <c r="A13" s="106">
        <v>39629</v>
      </c>
      <c r="B13" s="112">
        <v>7.4</v>
      </c>
      <c r="C13" s="103">
        <v>6.9</v>
      </c>
      <c r="D13" s="103">
        <v>7.9</v>
      </c>
      <c r="E13" s="103">
        <v>19.7</v>
      </c>
      <c r="F13" s="103">
        <v>17.2</v>
      </c>
      <c r="G13" s="103">
        <v>23.3</v>
      </c>
      <c r="H13" s="103">
        <v>6.3</v>
      </c>
      <c r="I13" s="103">
        <v>3.5</v>
      </c>
      <c r="J13" s="103">
        <v>7.5</v>
      </c>
      <c r="K13" s="103">
        <v>13.1</v>
      </c>
      <c r="L13" s="103">
        <v>11.3</v>
      </c>
      <c r="M13" s="104">
        <v>13.8</v>
      </c>
    </row>
    <row r="14" spans="1:13" x14ac:dyDescent="0.25">
      <c r="A14" s="106">
        <v>39994</v>
      </c>
      <c r="B14" s="112">
        <v>7.6</v>
      </c>
      <c r="C14" s="103">
        <v>7.7</v>
      </c>
      <c r="D14" s="103">
        <v>7.5</v>
      </c>
      <c r="E14" s="103">
        <v>19.399999999999999</v>
      </c>
      <c r="F14" s="103">
        <v>18</v>
      </c>
      <c r="G14" s="103">
        <v>21.3</v>
      </c>
      <c r="H14" s="103">
        <v>7.4</v>
      </c>
      <c r="I14" s="103">
        <v>3.7</v>
      </c>
      <c r="J14" s="103">
        <v>9</v>
      </c>
      <c r="K14" s="103">
        <v>13.6</v>
      </c>
      <c r="L14" s="103">
        <v>10</v>
      </c>
      <c r="M14" s="104">
        <v>14.8</v>
      </c>
    </row>
    <row r="15" spans="1:13" x14ac:dyDescent="0.25">
      <c r="A15" s="106">
        <v>40359</v>
      </c>
      <c r="B15" s="112">
        <v>7.3</v>
      </c>
      <c r="C15" s="103">
        <v>7.3</v>
      </c>
      <c r="D15" s="103">
        <v>7.3</v>
      </c>
      <c r="E15" s="103">
        <v>18.2</v>
      </c>
      <c r="F15" s="103">
        <v>16.600000000000001</v>
      </c>
      <c r="G15" s="103">
        <v>20.3</v>
      </c>
      <c r="H15" s="103">
        <v>6.6</v>
      </c>
      <c r="I15" s="103">
        <v>3.5</v>
      </c>
      <c r="J15" s="103">
        <v>8</v>
      </c>
      <c r="K15" s="103">
        <v>12.6</v>
      </c>
      <c r="L15" s="103">
        <v>9.9</v>
      </c>
      <c r="M15" s="104">
        <v>13.5</v>
      </c>
    </row>
    <row r="16" spans="1:13" x14ac:dyDescent="0.25">
      <c r="A16" s="106">
        <v>40724</v>
      </c>
      <c r="B16" s="112">
        <v>6.7</v>
      </c>
      <c r="C16" s="103">
        <v>6.5</v>
      </c>
      <c r="D16" s="103">
        <v>6.9</v>
      </c>
      <c r="E16" s="103">
        <v>17.2</v>
      </c>
      <c r="F16" s="103">
        <v>15.5</v>
      </c>
      <c r="G16" s="103">
        <v>19.5</v>
      </c>
      <c r="H16" s="103">
        <v>5.4</v>
      </c>
      <c r="I16" s="103">
        <v>2.9</v>
      </c>
      <c r="J16" s="103">
        <v>6.5</v>
      </c>
      <c r="K16" s="103">
        <v>11.7</v>
      </c>
      <c r="L16" s="103">
        <v>8.9</v>
      </c>
      <c r="M16" s="104">
        <v>12.7</v>
      </c>
    </row>
    <row r="17" spans="1:13" x14ac:dyDescent="0.25">
      <c r="A17" s="106">
        <v>41090</v>
      </c>
      <c r="B17" s="112">
        <v>6.2</v>
      </c>
      <c r="C17" s="103">
        <v>6.1</v>
      </c>
      <c r="D17" s="103">
        <v>6.4</v>
      </c>
      <c r="E17" s="103">
        <v>16</v>
      </c>
      <c r="F17" s="103">
        <v>14.3</v>
      </c>
      <c r="G17" s="103">
        <v>18.3</v>
      </c>
      <c r="H17" s="103">
        <v>5.2</v>
      </c>
      <c r="I17" s="103">
        <v>3</v>
      </c>
      <c r="J17" s="103">
        <v>6.1</v>
      </c>
      <c r="K17" s="103">
        <v>10.9</v>
      </c>
      <c r="L17" s="103">
        <v>8.1999999999999993</v>
      </c>
      <c r="M17" s="104">
        <v>11.8</v>
      </c>
    </row>
    <row r="18" spans="1:13" x14ac:dyDescent="0.25">
      <c r="A18" s="106">
        <v>41455</v>
      </c>
      <c r="B18" s="112">
        <v>6.3</v>
      </c>
      <c r="C18" s="103">
        <v>6.3</v>
      </c>
      <c r="D18" s="103">
        <v>6.4</v>
      </c>
      <c r="E18" s="103">
        <v>15.7</v>
      </c>
      <c r="F18" s="103">
        <v>14.1</v>
      </c>
      <c r="G18" s="103">
        <v>18</v>
      </c>
      <c r="H18" s="103">
        <v>5.7</v>
      </c>
      <c r="I18" s="103">
        <v>3.1</v>
      </c>
      <c r="J18" s="103">
        <v>6.7</v>
      </c>
      <c r="K18" s="103">
        <v>11</v>
      </c>
      <c r="L18" s="103">
        <v>9.1999999999999993</v>
      </c>
      <c r="M18" s="104">
        <v>11.5</v>
      </c>
    </row>
    <row r="19" spans="1:13" x14ac:dyDescent="0.25">
      <c r="A19" s="106">
        <v>41820</v>
      </c>
      <c r="B19" s="112">
        <v>6.3</v>
      </c>
      <c r="C19" s="103">
        <v>6.3</v>
      </c>
      <c r="D19" s="103">
        <v>6.3</v>
      </c>
      <c r="E19" s="103">
        <v>16</v>
      </c>
      <c r="F19" s="103">
        <v>14.1</v>
      </c>
      <c r="G19" s="103">
        <v>18.5</v>
      </c>
      <c r="H19" s="103">
        <v>5.3</v>
      </c>
      <c r="I19" s="103">
        <v>3</v>
      </c>
      <c r="J19" s="103">
        <v>6.2</v>
      </c>
      <c r="K19" s="103">
        <v>11.7</v>
      </c>
      <c r="L19" s="103">
        <v>10.3</v>
      </c>
      <c r="M19" s="104">
        <v>12.1</v>
      </c>
    </row>
    <row r="20" spans="1:13" x14ac:dyDescent="0.25">
      <c r="A20" s="106">
        <v>42185</v>
      </c>
      <c r="B20" s="112">
        <v>5.9</v>
      </c>
      <c r="C20" s="103">
        <v>5.9</v>
      </c>
      <c r="D20" s="103">
        <v>5.8</v>
      </c>
      <c r="E20" s="103">
        <v>16.3</v>
      </c>
      <c r="F20" s="103">
        <v>14.3</v>
      </c>
      <c r="G20" s="103">
        <v>19.100000000000001</v>
      </c>
      <c r="H20" s="103">
        <v>4.8</v>
      </c>
      <c r="I20" s="103">
        <v>2.9</v>
      </c>
      <c r="J20" s="103">
        <v>5.6</v>
      </c>
      <c r="K20" s="103">
        <v>12</v>
      </c>
      <c r="L20" s="103">
        <v>11.5</v>
      </c>
      <c r="M20" s="104">
        <v>12.1</v>
      </c>
    </row>
    <row r="21" spans="1:13" x14ac:dyDescent="0.25">
      <c r="A21" s="106">
        <v>42551</v>
      </c>
      <c r="B21" s="112">
        <v>5.8</v>
      </c>
      <c r="C21" s="103">
        <v>6</v>
      </c>
      <c r="D21" s="103">
        <v>5.6</v>
      </c>
      <c r="E21" s="103">
        <v>18.100000000000001</v>
      </c>
      <c r="F21" s="103">
        <v>17.3</v>
      </c>
      <c r="G21" s="103">
        <v>19.3</v>
      </c>
      <c r="H21" s="103">
        <v>5.6</v>
      </c>
      <c r="I21" s="103">
        <v>3.4</v>
      </c>
      <c r="J21" s="103">
        <v>6.6</v>
      </c>
      <c r="K21" s="103">
        <v>18.3</v>
      </c>
      <c r="L21" s="103">
        <v>16.399999999999999</v>
      </c>
      <c r="M21" s="104">
        <v>18.8</v>
      </c>
    </row>
    <row r="22" spans="1:13" x14ac:dyDescent="0.25">
      <c r="A22" s="106">
        <v>42916</v>
      </c>
      <c r="B22" s="112">
        <v>5.6</v>
      </c>
      <c r="C22" s="103">
        <v>5.8</v>
      </c>
      <c r="D22" s="103">
        <v>5.5</v>
      </c>
      <c r="E22" s="103">
        <v>17.7</v>
      </c>
      <c r="F22" s="103">
        <v>16.3</v>
      </c>
      <c r="G22" s="103">
        <v>19.8</v>
      </c>
      <c r="H22" s="103">
        <v>5.3</v>
      </c>
      <c r="I22" s="103">
        <v>3.1</v>
      </c>
      <c r="J22" s="103">
        <v>6.3</v>
      </c>
      <c r="K22" s="103">
        <v>16.399999999999999</v>
      </c>
      <c r="L22" s="103">
        <v>13.4</v>
      </c>
      <c r="M22" s="104">
        <v>17.2</v>
      </c>
    </row>
    <row r="23" spans="1:13" x14ac:dyDescent="0.25">
      <c r="A23" s="106">
        <v>43281</v>
      </c>
      <c r="B23" s="112">
        <v>5.0999999999999996</v>
      </c>
      <c r="C23" s="103">
        <v>5.3</v>
      </c>
      <c r="D23" s="103">
        <v>5</v>
      </c>
      <c r="E23" s="103">
        <v>15.6</v>
      </c>
      <c r="F23" s="103">
        <v>14.1</v>
      </c>
      <c r="G23" s="103">
        <v>17.899999999999999</v>
      </c>
      <c r="H23" s="103">
        <v>4.7</v>
      </c>
      <c r="I23" s="103">
        <v>2.9</v>
      </c>
      <c r="J23" s="103">
        <v>5.5</v>
      </c>
      <c r="K23" s="103">
        <v>13.5</v>
      </c>
      <c r="L23" s="103">
        <v>11.2</v>
      </c>
      <c r="M23" s="104">
        <v>14.1</v>
      </c>
    </row>
    <row r="24" spans="1:13" x14ac:dyDescent="0.25">
      <c r="A24" s="106">
        <v>43646</v>
      </c>
      <c r="B24" s="112">
        <v>4.9000000000000004</v>
      </c>
      <c r="C24" s="103">
        <v>5.0999999999999996</v>
      </c>
      <c r="D24" s="103">
        <v>4.7</v>
      </c>
      <c r="E24" s="103">
        <v>14.7</v>
      </c>
      <c r="F24" s="103">
        <v>13.2</v>
      </c>
      <c r="G24" s="103">
        <v>17.2</v>
      </c>
      <c r="H24" s="103">
        <v>4.4000000000000004</v>
      </c>
      <c r="I24" s="103">
        <v>2.6</v>
      </c>
      <c r="J24" s="103">
        <v>5.0999999999999996</v>
      </c>
      <c r="K24" s="103">
        <v>12.1</v>
      </c>
      <c r="L24" s="103">
        <v>9.4</v>
      </c>
      <c r="M24" s="104">
        <v>12.8</v>
      </c>
    </row>
    <row r="25" spans="1:13" x14ac:dyDescent="0.25">
      <c r="A25" s="106">
        <v>44012</v>
      </c>
      <c r="B25" s="112">
        <v>6</v>
      </c>
      <c r="C25" s="103">
        <v>6.4</v>
      </c>
      <c r="D25" s="103">
        <v>5.7</v>
      </c>
      <c r="E25" s="103">
        <v>17.8</v>
      </c>
      <c r="F25" s="103">
        <v>16.3</v>
      </c>
      <c r="G25" s="103">
        <v>20.399999999999999</v>
      </c>
      <c r="H25" s="103">
        <v>6</v>
      </c>
      <c r="I25" s="103">
        <v>3.4</v>
      </c>
      <c r="J25" s="103">
        <v>7.1</v>
      </c>
      <c r="K25" s="103">
        <v>14.9</v>
      </c>
      <c r="L25" s="103">
        <v>11.1</v>
      </c>
      <c r="M25" s="104">
        <v>15.8</v>
      </c>
    </row>
    <row r="26" spans="1:13" x14ac:dyDescent="0.25">
      <c r="A26" s="106">
        <v>44377</v>
      </c>
      <c r="B26" s="113">
        <v>5.5</v>
      </c>
      <c r="C26" s="114">
        <v>5.7</v>
      </c>
      <c r="D26" s="114">
        <v>5.3</v>
      </c>
      <c r="E26" s="114">
        <v>15.7</v>
      </c>
      <c r="F26" s="114">
        <v>13.6</v>
      </c>
      <c r="G26" s="114">
        <v>19</v>
      </c>
      <c r="H26" s="114">
        <v>4.7</v>
      </c>
      <c r="I26" s="114">
        <v>2.7</v>
      </c>
      <c r="J26" s="114">
        <v>5.4</v>
      </c>
      <c r="K26" s="114">
        <v>11.4</v>
      </c>
      <c r="L26" s="114">
        <v>10.1</v>
      </c>
      <c r="M26" s="115">
        <v>11.7</v>
      </c>
    </row>
    <row r="27" spans="1:13" x14ac:dyDescent="0.25">
      <c r="A27" s="118" t="s">
        <v>72</v>
      </c>
      <c r="B27" s="119"/>
      <c r="C27" s="119"/>
      <c r="D27" s="119"/>
      <c r="E27" s="119"/>
      <c r="F27" s="119"/>
      <c r="G27" s="119"/>
      <c r="H27" s="119"/>
      <c r="I27" s="119"/>
      <c r="J27" s="119"/>
      <c r="K27" s="119"/>
      <c r="L27" s="119"/>
      <c r="M27" s="120" t="s">
        <v>26</v>
      </c>
    </row>
  </sheetData>
  <mergeCells count="2">
    <mergeCell ref="A10:A11"/>
    <mergeCell ref="A3:M3"/>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1E7F-49DA-4B54-83C5-7270CFDB820C}">
  <sheetPr codeName="Tabelle7"/>
  <dimension ref="B1:T25"/>
  <sheetViews>
    <sheetView tabSelected="1" zoomScale="235" zoomScaleNormal="235" workbookViewId="0">
      <selection sqref="A1:XFD1048576"/>
    </sheetView>
  </sheetViews>
  <sheetFormatPr baseColWidth="10" defaultColWidth="7.42578125" defaultRowHeight="15" x14ac:dyDescent="0.25"/>
  <cols>
    <col min="1" max="1" width="5.7109375" customWidth="1"/>
    <col min="2" max="2" width="8.5703125" customWidth="1"/>
  </cols>
  <sheetData>
    <row r="1" spans="2:20" ht="15" customHeight="1" x14ac:dyDescent="0.25">
      <c r="B1" s="98" t="s">
        <v>260</v>
      </c>
    </row>
    <row r="2" spans="2:20" ht="15" customHeight="1" x14ac:dyDescent="0.25"/>
    <row r="3" spans="2:20" ht="15" customHeight="1" x14ac:dyDescent="0.25">
      <c r="B3" s="123" t="s">
        <v>73</v>
      </c>
      <c r="C3" s="123"/>
      <c r="D3" s="123"/>
      <c r="E3" s="123"/>
      <c r="F3" s="123"/>
      <c r="G3" s="123"/>
      <c r="H3" s="123"/>
      <c r="I3" s="123"/>
      <c r="J3" s="123"/>
    </row>
    <row r="4" spans="2:20" ht="15" customHeight="1" x14ac:dyDescent="0.25">
      <c r="B4" s="117" t="s">
        <v>74</v>
      </c>
      <c r="C4" s="117"/>
      <c r="D4" s="117"/>
      <c r="E4" s="117"/>
      <c r="F4" s="117"/>
      <c r="G4" s="117"/>
      <c r="H4" s="117"/>
      <c r="I4" s="117"/>
      <c r="J4" s="91"/>
    </row>
    <row r="6" spans="2:20" ht="15" customHeight="1" x14ac:dyDescent="0.25">
      <c r="B6" s="129" t="s">
        <v>28</v>
      </c>
      <c r="C6" s="132" t="s">
        <v>29</v>
      </c>
      <c r="D6" s="125"/>
      <c r="E6" s="125"/>
      <c r="F6" s="125" t="s">
        <v>30</v>
      </c>
      <c r="G6" s="125"/>
      <c r="H6" s="125"/>
      <c r="I6" s="125" t="s">
        <v>31</v>
      </c>
      <c r="J6" s="125"/>
      <c r="K6" s="126"/>
      <c r="L6" s="126" t="s">
        <v>47</v>
      </c>
      <c r="M6" s="133"/>
      <c r="N6" s="132"/>
      <c r="O6" s="126" t="s">
        <v>46</v>
      </c>
      <c r="P6" s="133"/>
      <c r="Q6" s="132"/>
      <c r="R6" s="125" t="s">
        <v>83</v>
      </c>
      <c r="S6" s="125"/>
      <c r="T6" s="126"/>
    </row>
    <row r="7" spans="2:20" s="164" customFormat="1" ht="8.25" customHeight="1" x14ac:dyDescent="0.25">
      <c r="B7" s="130"/>
      <c r="C7" s="121" t="s">
        <v>11</v>
      </c>
      <c r="D7" s="121" t="s">
        <v>32</v>
      </c>
      <c r="E7" s="121" t="s">
        <v>15</v>
      </c>
      <c r="F7" s="121" t="s">
        <v>11</v>
      </c>
      <c r="G7" s="121" t="s">
        <v>14</v>
      </c>
      <c r="H7" s="121" t="s">
        <v>15</v>
      </c>
      <c r="I7" s="121" t="s">
        <v>11</v>
      </c>
      <c r="J7" s="121" t="s">
        <v>32</v>
      </c>
      <c r="K7" s="122" t="s">
        <v>15</v>
      </c>
      <c r="L7" s="121" t="s">
        <v>11</v>
      </c>
      <c r="M7" s="121" t="s">
        <v>17</v>
      </c>
      <c r="N7" s="121" t="s">
        <v>18</v>
      </c>
      <c r="O7" s="121" t="s">
        <v>11</v>
      </c>
      <c r="P7" s="121" t="s">
        <v>17</v>
      </c>
      <c r="Q7" s="121" t="s">
        <v>18</v>
      </c>
      <c r="R7" s="121" t="s">
        <v>11</v>
      </c>
      <c r="S7" s="121" t="s">
        <v>17</v>
      </c>
      <c r="T7" s="121" t="s">
        <v>18</v>
      </c>
    </row>
    <row r="8" spans="2:20" s="164" customFormat="1" ht="8.25" customHeight="1" x14ac:dyDescent="0.25">
      <c r="B8" s="131"/>
      <c r="C8" s="128" t="s">
        <v>33</v>
      </c>
      <c r="D8" s="134"/>
      <c r="E8" s="134"/>
      <c r="F8" s="134"/>
      <c r="G8" s="134"/>
      <c r="H8" s="134"/>
      <c r="I8" s="127" t="s">
        <v>34</v>
      </c>
      <c r="J8" s="127"/>
      <c r="K8" s="128"/>
      <c r="L8" s="128" t="s">
        <v>33</v>
      </c>
      <c r="M8" s="134"/>
      <c r="N8" s="134"/>
      <c r="O8" s="134"/>
      <c r="P8" s="134"/>
      <c r="Q8" s="135"/>
      <c r="R8" s="127" t="s">
        <v>34</v>
      </c>
      <c r="S8" s="127"/>
      <c r="T8" s="128"/>
    </row>
    <row r="9" spans="2:20" s="164" customFormat="1" ht="8.25" customHeight="1" x14ac:dyDescent="0.25">
      <c r="B9" s="39">
        <v>1</v>
      </c>
      <c r="C9" s="39">
        <v>2</v>
      </c>
      <c r="D9" s="39">
        <v>3</v>
      </c>
      <c r="E9" s="39">
        <v>4</v>
      </c>
      <c r="F9" s="39">
        <v>5</v>
      </c>
      <c r="G9" s="39">
        <v>6</v>
      </c>
      <c r="H9" s="39">
        <v>7</v>
      </c>
      <c r="I9" s="39">
        <v>8</v>
      </c>
      <c r="J9" s="39">
        <v>9</v>
      </c>
      <c r="K9" s="39">
        <v>10</v>
      </c>
      <c r="L9" s="39">
        <v>11</v>
      </c>
      <c r="M9" s="39">
        <v>12</v>
      </c>
      <c r="N9" s="39">
        <v>13</v>
      </c>
      <c r="O9" s="39">
        <v>14</v>
      </c>
      <c r="P9" s="39">
        <v>15</v>
      </c>
      <c r="Q9" s="39">
        <v>16</v>
      </c>
    </row>
    <row r="10" spans="2:20" s="164" customFormat="1" ht="8.25" customHeight="1" x14ac:dyDescent="0.25">
      <c r="B10" s="165" t="s">
        <v>35</v>
      </c>
      <c r="C10" s="166">
        <f>'2021_Rohdaten_BA'!B12</f>
        <v>8.5</v>
      </c>
      <c r="D10" s="166">
        <f>'2021_Rohdaten_BA'!C12</f>
        <v>7.8</v>
      </c>
      <c r="E10" s="166">
        <f>'2021_Rohdaten_BA'!D12</f>
        <v>9.1999999999999993</v>
      </c>
      <c r="F10" s="166">
        <f>'2021_Rohdaten_BA'!E12</f>
        <v>20.8</v>
      </c>
      <c r="G10" s="166">
        <f>'2021_Rohdaten_BA'!F12</f>
        <v>18.5</v>
      </c>
      <c r="H10" s="166">
        <f>'2021_Rohdaten_BA'!G12</f>
        <v>24.1</v>
      </c>
      <c r="I10" s="167">
        <f t="shared" ref="I10:K24" si="0">F10-C10</f>
        <v>12.3</v>
      </c>
      <c r="J10" s="167">
        <f t="shared" si="0"/>
        <v>10.7</v>
      </c>
      <c r="K10" s="167">
        <f t="shared" si="0"/>
        <v>14.900000000000002</v>
      </c>
      <c r="L10" s="168">
        <f>'2021_Rohdaten_BA'!H12</f>
        <v>7.9</v>
      </c>
      <c r="M10" s="168">
        <f>'2021_Rohdaten_BA'!I12</f>
        <v>4.7</v>
      </c>
      <c r="N10" s="168">
        <f>'2021_Rohdaten_BA'!J12</f>
        <v>9.3000000000000007</v>
      </c>
      <c r="O10" s="168">
        <f>'2021_Rohdaten_BA'!K12</f>
        <v>14.9</v>
      </c>
      <c r="P10" s="168">
        <f>'2021_Rohdaten_BA'!L12</f>
        <v>13.7</v>
      </c>
      <c r="Q10" s="168">
        <f>'2021_Rohdaten_BA'!M12</f>
        <v>15.3</v>
      </c>
      <c r="R10" s="169">
        <f t="shared" ref="R10:T24" si="1">O10-L10</f>
        <v>7</v>
      </c>
      <c r="S10" s="169">
        <f t="shared" si="1"/>
        <v>9</v>
      </c>
      <c r="T10" s="169">
        <f t="shared" si="1"/>
        <v>6</v>
      </c>
    </row>
    <row r="11" spans="2:20" s="164" customFormat="1" ht="8.25" customHeight="1" x14ac:dyDescent="0.25">
      <c r="B11" s="165" t="s">
        <v>36</v>
      </c>
      <c r="C11" s="166">
        <f>'2021_Rohdaten_BA'!B13</f>
        <v>7.4</v>
      </c>
      <c r="D11" s="166">
        <f>'2021_Rohdaten_BA'!C13</f>
        <v>6.9</v>
      </c>
      <c r="E11" s="166">
        <f>'2021_Rohdaten_BA'!D13</f>
        <v>7.9</v>
      </c>
      <c r="F11" s="166">
        <f>'2021_Rohdaten_BA'!E13</f>
        <v>19.7</v>
      </c>
      <c r="G11" s="166">
        <f>'2021_Rohdaten_BA'!F13</f>
        <v>17.2</v>
      </c>
      <c r="H11" s="166">
        <f>'2021_Rohdaten_BA'!G13</f>
        <v>23.3</v>
      </c>
      <c r="I11" s="167">
        <f t="shared" si="0"/>
        <v>12.299999999999999</v>
      </c>
      <c r="J11" s="167">
        <f t="shared" si="0"/>
        <v>10.299999999999999</v>
      </c>
      <c r="K11" s="167">
        <f t="shared" si="0"/>
        <v>15.4</v>
      </c>
      <c r="L11" s="168">
        <f>'2021_Rohdaten_BA'!H13</f>
        <v>6.3</v>
      </c>
      <c r="M11" s="168">
        <f>'2021_Rohdaten_BA'!I13</f>
        <v>3.5</v>
      </c>
      <c r="N11" s="168">
        <f>'2021_Rohdaten_BA'!J13</f>
        <v>7.5</v>
      </c>
      <c r="O11" s="168">
        <f>'2021_Rohdaten_BA'!K13</f>
        <v>13.1</v>
      </c>
      <c r="P11" s="168">
        <f>'2021_Rohdaten_BA'!L13</f>
        <v>11.3</v>
      </c>
      <c r="Q11" s="168">
        <f>'2021_Rohdaten_BA'!M13</f>
        <v>13.8</v>
      </c>
      <c r="R11" s="169">
        <f t="shared" si="1"/>
        <v>6.8</v>
      </c>
      <c r="S11" s="169">
        <f t="shared" si="1"/>
        <v>7.8000000000000007</v>
      </c>
      <c r="T11" s="169">
        <f t="shared" si="1"/>
        <v>6.3000000000000007</v>
      </c>
    </row>
    <row r="12" spans="2:20" s="164" customFormat="1" ht="8.25" customHeight="1" x14ac:dyDescent="0.25">
      <c r="B12" s="165" t="s">
        <v>37</v>
      </c>
      <c r="C12" s="166">
        <f>'2021_Rohdaten_BA'!B14</f>
        <v>7.6</v>
      </c>
      <c r="D12" s="166">
        <f>'2021_Rohdaten_BA'!C14</f>
        <v>7.7</v>
      </c>
      <c r="E12" s="166">
        <f>'2021_Rohdaten_BA'!D14</f>
        <v>7.5</v>
      </c>
      <c r="F12" s="166">
        <f>'2021_Rohdaten_BA'!E14</f>
        <v>19.399999999999999</v>
      </c>
      <c r="G12" s="166">
        <f>'2021_Rohdaten_BA'!F14</f>
        <v>18</v>
      </c>
      <c r="H12" s="166">
        <f>'2021_Rohdaten_BA'!G14</f>
        <v>21.3</v>
      </c>
      <c r="I12" s="167">
        <f t="shared" si="0"/>
        <v>11.799999999999999</v>
      </c>
      <c r="J12" s="167">
        <f t="shared" si="0"/>
        <v>10.3</v>
      </c>
      <c r="K12" s="167">
        <f t="shared" si="0"/>
        <v>13.8</v>
      </c>
      <c r="L12" s="168">
        <f>'2021_Rohdaten_BA'!H14</f>
        <v>7.4</v>
      </c>
      <c r="M12" s="168">
        <f>'2021_Rohdaten_BA'!I14</f>
        <v>3.7</v>
      </c>
      <c r="N12" s="168">
        <f>'2021_Rohdaten_BA'!J14</f>
        <v>9</v>
      </c>
      <c r="O12" s="168">
        <f>'2021_Rohdaten_BA'!K14</f>
        <v>13.6</v>
      </c>
      <c r="P12" s="168">
        <f>'2021_Rohdaten_BA'!L14</f>
        <v>10</v>
      </c>
      <c r="Q12" s="168">
        <f>'2021_Rohdaten_BA'!M14</f>
        <v>14.8</v>
      </c>
      <c r="R12" s="169">
        <f t="shared" si="1"/>
        <v>6.1999999999999993</v>
      </c>
      <c r="S12" s="169">
        <f t="shared" si="1"/>
        <v>6.3</v>
      </c>
      <c r="T12" s="169">
        <f t="shared" si="1"/>
        <v>5.8000000000000007</v>
      </c>
    </row>
    <row r="13" spans="2:20" s="164" customFormat="1" ht="8.25" customHeight="1" x14ac:dyDescent="0.25">
      <c r="B13" s="165" t="s">
        <v>38</v>
      </c>
      <c r="C13" s="166">
        <f>'2021_Rohdaten_BA'!B15</f>
        <v>7.3</v>
      </c>
      <c r="D13" s="166">
        <f>'2021_Rohdaten_BA'!C15</f>
        <v>7.3</v>
      </c>
      <c r="E13" s="166">
        <f>'2021_Rohdaten_BA'!D15</f>
        <v>7.3</v>
      </c>
      <c r="F13" s="166">
        <f>'2021_Rohdaten_BA'!E15</f>
        <v>18.2</v>
      </c>
      <c r="G13" s="166">
        <f>'2021_Rohdaten_BA'!F15</f>
        <v>16.600000000000001</v>
      </c>
      <c r="H13" s="166">
        <f>'2021_Rohdaten_BA'!G15</f>
        <v>20.3</v>
      </c>
      <c r="I13" s="167">
        <f t="shared" si="0"/>
        <v>10.899999999999999</v>
      </c>
      <c r="J13" s="167">
        <f t="shared" si="0"/>
        <v>9.3000000000000007</v>
      </c>
      <c r="K13" s="167">
        <f t="shared" si="0"/>
        <v>13</v>
      </c>
      <c r="L13" s="168">
        <f>'2021_Rohdaten_BA'!H15</f>
        <v>6.6</v>
      </c>
      <c r="M13" s="168">
        <f>'2021_Rohdaten_BA'!I15</f>
        <v>3.5</v>
      </c>
      <c r="N13" s="168">
        <f>'2021_Rohdaten_BA'!J15</f>
        <v>8</v>
      </c>
      <c r="O13" s="168">
        <f>'2021_Rohdaten_BA'!K15</f>
        <v>12.6</v>
      </c>
      <c r="P13" s="168">
        <f>'2021_Rohdaten_BA'!L15</f>
        <v>9.9</v>
      </c>
      <c r="Q13" s="168">
        <f>'2021_Rohdaten_BA'!M15</f>
        <v>13.5</v>
      </c>
      <c r="R13" s="169">
        <f t="shared" si="1"/>
        <v>6</v>
      </c>
      <c r="S13" s="169">
        <f t="shared" si="1"/>
        <v>6.4</v>
      </c>
      <c r="T13" s="169">
        <f t="shared" si="1"/>
        <v>5.5</v>
      </c>
    </row>
    <row r="14" spans="2:20" s="164" customFormat="1" ht="8.25" customHeight="1" x14ac:dyDescent="0.25">
      <c r="B14" s="165" t="s">
        <v>39</v>
      </c>
      <c r="C14" s="166">
        <f>'2021_Rohdaten_BA'!B16</f>
        <v>6.7</v>
      </c>
      <c r="D14" s="166">
        <f>'2021_Rohdaten_BA'!C16</f>
        <v>6.5</v>
      </c>
      <c r="E14" s="166">
        <f>'2021_Rohdaten_BA'!D16</f>
        <v>6.9</v>
      </c>
      <c r="F14" s="166">
        <f>'2021_Rohdaten_BA'!E16</f>
        <v>17.2</v>
      </c>
      <c r="G14" s="166">
        <f>'2021_Rohdaten_BA'!F16</f>
        <v>15.5</v>
      </c>
      <c r="H14" s="166">
        <f>'2021_Rohdaten_BA'!G16</f>
        <v>19.5</v>
      </c>
      <c r="I14" s="167">
        <f t="shared" si="0"/>
        <v>10.5</v>
      </c>
      <c r="J14" s="167">
        <f t="shared" si="0"/>
        <v>9</v>
      </c>
      <c r="K14" s="167">
        <f t="shared" si="0"/>
        <v>12.6</v>
      </c>
      <c r="L14" s="168">
        <f>'2021_Rohdaten_BA'!H16</f>
        <v>5.4</v>
      </c>
      <c r="M14" s="168">
        <f>'2021_Rohdaten_BA'!I16</f>
        <v>2.9</v>
      </c>
      <c r="N14" s="168">
        <f>'2021_Rohdaten_BA'!J16</f>
        <v>6.5</v>
      </c>
      <c r="O14" s="168">
        <f>'2021_Rohdaten_BA'!K16</f>
        <v>11.7</v>
      </c>
      <c r="P14" s="168">
        <f>'2021_Rohdaten_BA'!L16</f>
        <v>8.9</v>
      </c>
      <c r="Q14" s="168">
        <f>'2021_Rohdaten_BA'!M16</f>
        <v>12.7</v>
      </c>
      <c r="R14" s="169">
        <f t="shared" si="1"/>
        <v>6.2999999999999989</v>
      </c>
      <c r="S14" s="169">
        <f t="shared" si="1"/>
        <v>6</v>
      </c>
      <c r="T14" s="169">
        <f t="shared" si="1"/>
        <v>6.1999999999999993</v>
      </c>
    </row>
    <row r="15" spans="2:20" s="164" customFormat="1" ht="8.25" customHeight="1" x14ac:dyDescent="0.25">
      <c r="B15" s="165" t="s">
        <v>40</v>
      </c>
      <c r="C15" s="166">
        <f>'2021_Rohdaten_BA'!B17</f>
        <v>6.2</v>
      </c>
      <c r="D15" s="166">
        <f>'2021_Rohdaten_BA'!C17</f>
        <v>6.1</v>
      </c>
      <c r="E15" s="166">
        <f>'2021_Rohdaten_BA'!D17</f>
        <v>6.4</v>
      </c>
      <c r="F15" s="166">
        <f>'2021_Rohdaten_BA'!E17</f>
        <v>16</v>
      </c>
      <c r="G15" s="166">
        <f>'2021_Rohdaten_BA'!F17</f>
        <v>14.3</v>
      </c>
      <c r="H15" s="166">
        <f>'2021_Rohdaten_BA'!G17</f>
        <v>18.3</v>
      </c>
      <c r="I15" s="167">
        <f t="shared" si="0"/>
        <v>9.8000000000000007</v>
      </c>
      <c r="J15" s="167">
        <f t="shared" si="0"/>
        <v>8.2000000000000011</v>
      </c>
      <c r="K15" s="167">
        <f t="shared" si="0"/>
        <v>11.9</v>
      </c>
      <c r="L15" s="168">
        <f>'2021_Rohdaten_BA'!H17</f>
        <v>5.2</v>
      </c>
      <c r="M15" s="168">
        <f>'2021_Rohdaten_BA'!I17</f>
        <v>3</v>
      </c>
      <c r="N15" s="168">
        <f>'2021_Rohdaten_BA'!J17</f>
        <v>6.1</v>
      </c>
      <c r="O15" s="168">
        <f>'2021_Rohdaten_BA'!K17</f>
        <v>10.9</v>
      </c>
      <c r="P15" s="168">
        <f>'2021_Rohdaten_BA'!L17</f>
        <v>8.1999999999999993</v>
      </c>
      <c r="Q15" s="168">
        <f>'2021_Rohdaten_BA'!M17</f>
        <v>11.8</v>
      </c>
      <c r="R15" s="169">
        <f t="shared" si="1"/>
        <v>5.7</v>
      </c>
      <c r="S15" s="169">
        <f t="shared" si="1"/>
        <v>5.1999999999999993</v>
      </c>
      <c r="T15" s="169">
        <f t="shared" si="1"/>
        <v>5.7000000000000011</v>
      </c>
    </row>
    <row r="16" spans="2:20" s="164" customFormat="1" ht="8.25" customHeight="1" x14ac:dyDescent="0.25">
      <c r="B16" s="165" t="s">
        <v>41</v>
      </c>
      <c r="C16" s="166">
        <f>'2021_Rohdaten_BA'!B18</f>
        <v>6.3</v>
      </c>
      <c r="D16" s="166">
        <f>'2021_Rohdaten_BA'!C18</f>
        <v>6.3</v>
      </c>
      <c r="E16" s="166">
        <f>'2021_Rohdaten_BA'!D18</f>
        <v>6.4</v>
      </c>
      <c r="F16" s="166">
        <f>'2021_Rohdaten_BA'!E18</f>
        <v>15.7</v>
      </c>
      <c r="G16" s="166">
        <f>'2021_Rohdaten_BA'!F18</f>
        <v>14.1</v>
      </c>
      <c r="H16" s="166">
        <f>'2021_Rohdaten_BA'!G18</f>
        <v>18</v>
      </c>
      <c r="I16" s="167">
        <f t="shared" si="0"/>
        <v>9.3999999999999986</v>
      </c>
      <c r="J16" s="167">
        <f t="shared" si="0"/>
        <v>7.8</v>
      </c>
      <c r="K16" s="167">
        <f t="shared" si="0"/>
        <v>11.6</v>
      </c>
      <c r="L16" s="168">
        <f>'2021_Rohdaten_BA'!H18</f>
        <v>5.7</v>
      </c>
      <c r="M16" s="168">
        <f>'2021_Rohdaten_BA'!I18</f>
        <v>3.1</v>
      </c>
      <c r="N16" s="168">
        <f>'2021_Rohdaten_BA'!J18</f>
        <v>6.7</v>
      </c>
      <c r="O16" s="168">
        <f>'2021_Rohdaten_BA'!K18</f>
        <v>11</v>
      </c>
      <c r="P16" s="168">
        <f>'2021_Rohdaten_BA'!L18</f>
        <v>9.1999999999999993</v>
      </c>
      <c r="Q16" s="168">
        <f>'2021_Rohdaten_BA'!M18</f>
        <v>11.5</v>
      </c>
      <c r="R16" s="169">
        <f t="shared" si="1"/>
        <v>5.3</v>
      </c>
      <c r="S16" s="169">
        <f t="shared" si="1"/>
        <v>6.1</v>
      </c>
      <c r="T16" s="169">
        <f t="shared" si="1"/>
        <v>4.8</v>
      </c>
    </row>
    <row r="17" spans="2:20" s="164" customFormat="1" ht="8.25" customHeight="1" x14ac:dyDescent="0.25">
      <c r="B17" s="165" t="s">
        <v>42</v>
      </c>
      <c r="C17" s="166">
        <f>'2021_Rohdaten_BA'!B19</f>
        <v>6.3</v>
      </c>
      <c r="D17" s="166">
        <f>'2021_Rohdaten_BA'!C19</f>
        <v>6.3</v>
      </c>
      <c r="E17" s="166">
        <f>'2021_Rohdaten_BA'!D19</f>
        <v>6.3</v>
      </c>
      <c r="F17" s="166">
        <f>'2021_Rohdaten_BA'!E19</f>
        <v>16</v>
      </c>
      <c r="G17" s="166">
        <f>'2021_Rohdaten_BA'!F19</f>
        <v>14.1</v>
      </c>
      <c r="H17" s="166">
        <f>'2021_Rohdaten_BA'!G19</f>
        <v>18.5</v>
      </c>
      <c r="I17" s="167">
        <f t="shared" si="0"/>
        <v>9.6999999999999993</v>
      </c>
      <c r="J17" s="167">
        <f t="shared" si="0"/>
        <v>7.8</v>
      </c>
      <c r="K17" s="167">
        <f t="shared" si="0"/>
        <v>12.2</v>
      </c>
      <c r="L17" s="168">
        <f>'2021_Rohdaten_BA'!H19</f>
        <v>5.3</v>
      </c>
      <c r="M17" s="168">
        <f>'2021_Rohdaten_BA'!I19</f>
        <v>3</v>
      </c>
      <c r="N17" s="168">
        <f>'2021_Rohdaten_BA'!J19</f>
        <v>6.2</v>
      </c>
      <c r="O17" s="168">
        <f>'2021_Rohdaten_BA'!K19</f>
        <v>11.7</v>
      </c>
      <c r="P17" s="168">
        <f>'2021_Rohdaten_BA'!L19</f>
        <v>10.3</v>
      </c>
      <c r="Q17" s="168">
        <f>'2021_Rohdaten_BA'!M19</f>
        <v>12.1</v>
      </c>
      <c r="R17" s="169">
        <f t="shared" si="1"/>
        <v>6.3999999999999995</v>
      </c>
      <c r="S17" s="169">
        <f t="shared" si="1"/>
        <v>7.3000000000000007</v>
      </c>
      <c r="T17" s="169">
        <f t="shared" si="1"/>
        <v>5.8999999999999995</v>
      </c>
    </row>
    <row r="18" spans="2:20" s="164" customFormat="1" ht="8.25" customHeight="1" x14ac:dyDescent="0.25">
      <c r="B18" s="165" t="s">
        <v>43</v>
      </c>
      <c r="C18" s="166">
        <f>'2021_Rohdaten_BA'!B20</f>
        <v>5.9</v>
      </c>
      <c r="D18" s="166">
        <f>'2021_Rohdaten_BA'!C20</f>
        <v>5.9</v>
      </c>
      <c r="E18" s="166">
        <f>'2021_Rohdaten_BA'!D20</f>
        <v>5.8</v>
      </c>
      <c r="F18" s="166">
        <f>'2021_Rohdaten_BA'!E20</f>
        <v>16.3</v>
      </c>
      <c r="G18" s="166">
        <f>'2021_Rohdaten_BA'!F20</f>
        <v>14.3</v>
      </c>
      <c r="H18" s="166">
        <f>'2021_Rohdaten_BA'!G20</f>
        <v>19.100000000000001</v>
      </c>
      <c r="I18" s="167">
        <f t="shared" si="0"/>
        <v>10.4</v>
      </c>
      <c r="J18" s="167">
        <f t="shared" si="0"/>
        <v>8.4</v>
      </c>
      <c r="K18" s="167">
        <f t="shared" si="0"/>
        <v>13.3</v>
      </c>
      <c r="L18" s="168">
        <f>'2021_Rohdaten_BA'!H20</f>
        <v>4.8</v>
      </c>
      <c r="M18" s="168">
        <f>'2021_Rohdaten_BA'!I20</f>
        <v>2.9</v>
      </c>
      <c r="N18" s="168">
        <f>'2021_Rohdaten_BA'!J20</f>
        <v>5.6</v>
      </c>
      <c r="O18" s="168">
        <f>'2021_Rohdaten_BA'!K20</f>
        <v>12</v>
      </c>
      <c r="P18" s="168">
        <f>'2021_Rohdaten_BA'!L20</f>
        <v>11.5</v>
      </c>
      <c r="Q18" s="168">
        <f>'2021_Rohdaten_BA'!M20</f>
        <v>12.1</v>
      </c>
      <c r="R18" s="169">
        <f t="shared" si="1"/>
        <v>7.2</v>
      </c>
      <c r="S18" s="169">
        <f t="shared" si="1"/>
        <v>8.6</v>
      </c>
      <c r="T18" s="169">
        <f t="shared" si="1"/>
        <v>6.5</v>
      </c>
    </row>
    <row r="19" spans="2:20" s="164" customFormat="1" ht="8.25" customHeight="1" x14ac:dyDescent="0.25">
      <c r="B19" s="165" t="s">
        <v>44</v>
      </c>
      <c r="C19" s="166">
        <f>'2021_Rohdaten_BA'!B21</f>
        <v>5.8</v>
      </c>
      <c r="D19" s="166">
        <f>'2021_Rohdaten_BA'!C21</f>
        <v>6</v>
      </c>
      <c r="E19" s="166">
        <f>'2021_Rohdaten_BA'!D21</f>
        <v>5.6</v>
      </c>
      <c r="F19" s="166">
        <f>'2021_Rohdaten_BA'!E21</f>
        <v>18.100000000000001</v>
      </c>
      <c r="G19" s="166">
        <f>'2021_Rohdaten_BA'!F21</f>
        <v>17.3</v>
      </c>
      <c r="H19" s="166">
        <f>'2021_Rohdaten_BA'!G21</f>
        <v>19.3</v>
      </c>
      <c r="I19" s="167">
        <f t="shared" si="0"/>
        <v>12.3</v>
      </c>
      <c r="J19" s="167">
        <f t="shared" si="0"/>
        <v>11.3</v>
      </c>
      <c r="K19" s="167">
        <f t="shared" si="0"/>
        <v>13.700000000000001</v>
      </c>
      <c r="L19" s="168">
        <f>'2021_Rohdaten_BA'!H21</f>
        <v>5.6</v>
      </c>
      <c r="M19" s="168">
        <f>'2021_Rohdaten_BA'!I21</f>
        <v>3.4</v>
      </c>
      <c r="N19" s="168">
        <f>'2021_Rohdaten_BA'!J21</f>
        <v>6.6</v>
      </c>
      <c r="O19" s="168">
        <f>'2021_Rohdaten_BA'!K21</f>
        <v>18.3</v>
      </c>
      <c r="P19" s="168">
        <f>'2021_Rohdaten_BA'!L21</f>
        <v>16.399999999999999</v>
      </c>
      <c r="Q19" s="168">
        <f>'2021_Rohdaten_BA'!M21</f>
        <v>18.8</v>
      </c>
      <c r="R19" s="169">
        <f t="shared" si="1"/>
        <v>12.700000000000001</v>
      </c>
      <c r="S19" s="169">
        <f t="shared" si="1"/>
        <v>12.999999999999998</v>
      </c>
      <c r="T19" s="169">
        <f t="shared" si="1"/>
        <v>12.200000000000001</v>
      </c>
    </row>
    <row r="20" spans="2:20" s="164" customFormat="1" ht="8.25" customHeight="1" x14ac:dyDescent="0.25">
      <c r="B20" s="165" t="s">
        <v>45</v>
      </c>
      <c r="C20" s="166">
        <f>'2021_Rohdaten_BA'!B22</f>
        <v>5.6</v>
      </c>
      <c r="D20" s="166">
        <f>'2021_Rohdaten_BA'!C22</f>
        <v>5.8</v>
      </c>
      <c r="E20" s="166">
        <f>'2021_Rohdaten_BA'!D22</f>
        <v>5.5</v>
      </c>
      <c r="F20" s="166">
        <f>'2021_Rohdaten_BA'!E22</f>
        <v>17.7</v>
      </c>
      <c r="G20" s="166">
        <f>'2021_Rohdaten_BA'!F22</f>
        <v>16.3</v>
      </c>
      <c r="H20" s="166">
        <f>'2021_Rohdaten_BA'!G22</f>
        <v>19.8</v>
      </c>
      <c r="I20" s="167">
        <f t="shared" si="0"/>
        <v>12.1</v>
      </c>
      <c r="J20" s="167">
        <f t="shared" si="0"/>
        <v>10.5</v>
      </c>
      <c r="K20" s="167">
        <f t="shared" si="0"/>
        <v>14.3</v>
      </c>
      <c r="L20" s="168">
        <f>'2021_Rohdaten_BA'!H22</f>
        <v>5.3</v>
      </c>
      <c r="M20" s="168">
        <f>'2021_Rohdaten_BA'!I22</f>
        <v>3.1</v>
      </c>
      <c r="N20" s="168">
        <f>'2021_Rohdaten_BA'!J22</f>
        <v>6.3</v>
      </c>
      <c r="O20" s="168">
        <f>'2021_Rohdaten_BA'!K22</f>
        <v>16.399999999999999</v>
      </c>
      <c r="P20" s="168">
        <f>'2021_Rohdaten_BA'!L22</f>
        <v>13.4</v>
      </c>
      <c r="Q20" s="168">
        <f>'2021_Rohdaten_BA'!M22</f>
        <v>17.2</v>
      </c>
      <c r="R20" s="169">
        <f t="shared" si="1"/>
        <v>11.099999999999998</v>
      </c>
      <c r="S20" s="169">
        <f t="shared" si="1"/>
        <v>10.3</v>
      </c>
      <c r="T20" s="169">
        <f t="shared" si="1"/>
        <v>10.899999999999999</v>
      </c>
    </row>
    <row r="21" spans="2:20" s="164" customFormat="1" ht="8.25" customHeight="1" x14ac:dyDescent="0.25">
      <c r="B21" s="165" t="s">
        <v>48</v>
      </c>
      <c r="C21" s="166">
        <f>'2021_Rohdaten_BA'!B23</f>
        <v>5.0999999999999996</v>
      </c>
      <c r="D21" s="166">
        <f>'2021_Rohdaten_BA'!C23</f>
        <v>5.3</v>
      </c>
      <c r="E21" s="166">
        <f>'2021_Rohdaten_BA'!D23</f>
        <v>5</v>
      </c>
      <c r="F21" s="166">
        <f>'2021_Rohdaten_BA'!E23</f>
        <v>15.6</v>
      </c>
      <c r="G21" s="166">
        <f>'2021_Rohdaten_BA'!F23</f>
        <v>14.1</v>
      </c>
      <c r="H21" s="166">
        <f>'2021_Rohdaten_BA'!G23</f>
        <v>17.899999999999999</v>
      </c>
      <c r="I21" s="167">
        <f t="shared" si="0"/>
        <v>10.5</v>
      </c>
      <c r="J21" s="167">
        <f t="shared" si="0"/>
        <v>8.8000000000000007</v>
      </c>
      <c r="K21" s="167">
        <f t="shared" si="0"/>
        <v>12.899999999999999</v>
      </c>
      <c r="L21" s="168">
        <f>'2021_Rohdaten_BA'!H23</f>
        <v>4.7</v>
      </c>
      <c r="M21" s="168">
        <f>'2021_Rohdaten_BA'!I23</f>
        <v>2.9</v>
      </c>
      <c r="N21" s="168">
        <f>'2021_Rohdaten_BA'!J23</f>
        <v>5.5</v>
      </c>
      <c r="O21" s="168">
        <f>'2021_Rohdaten_BA'!K23</f>
        <v>13.5</v>
      </c>
      <c r="P21" s="168">
        <f>'2021_Rohdaten_BA'!L23</f>
        <v>11.2</v>
      </c>
      <c r="Q21" s="168">
        <f>'2021_Rohdaten_BA'!M23</f>
        <v>14.1</v>
      </c>
      <c r="R21" s="169">
        <f t="shared" si="1"/>
        <v>8.8000000000000007</v>
      </c>
      <c r="S21" s="169">
        <f t="shared" si="1"/>
        <v>8.2999999999999989</v>
      </c>
      <c r="T21" s="169">
        <f t="shared" si="1"/>
        <v>8.6</v>
      </c>
    </row>
    <row r="22" spans="2:20" s="164" customFormat="1" ht="8.25" customHeight="1" x14ac:dyDescent="0.25">
      <c r="B22" s="165" t="s">
        <v>49</v>
      </c>
      <c r="C22" s="166">
        <f>'2021_Rohdaten_BA'!B24</f>
        <v>4.9000000000000004</v>
      </c>
      <c r="D22" s="166">
        <f>'2021_Rohdaten_BA'!C24</f>
        <v>5.0999999999999996</v>
      </c>
      <c r="E22" s="166">
        <f>'2021_Rohdaten_BA'!D24</f>
        <v>4.7</v>
      </c>
      <c r="F22" s="166">
        <f>'2021_Rohdaten_BA'!E24</f>
        <v>14.7</v>
      </c>
      <c r="G22" s="166">
        <f>'2021_Rohdaten_BA'!F24</f>
        <v>13.2</v>
      </c>
      <c r="H22" s="166">
        <f>'2021_Rohdaten_BA'!G24</f>
        <v>17.2</v>
      </c>
      <c r="I22" s="167">
        <f t="shared" si="0"/>
        <v>9.7999999999999989</v>
      </c>
      <c r="J22" s="167">
        <f t="shared" si="0"/>
        <v>8.1</v>
      </c>
      <c r="K22" s="167">
        <f t="shared" si="0"/>
        <v>12.5</v>
      </c>
      <c r="L22" s="168">
        <f>'2021_Rohdaten_BA'!H24</f>
        <v>4.4000000000000004</v>
      </c>
      <c r="M22" s="168">
        <f>'2021_Rohdaten_BA'!I24</f>
        <v>2.6</v>
      </c>
      <c r="N22" s="168">
        <f>'2021_Rohdaten_BA'!J24</f>
        <v>5.0999999999999996</v>
      </c>
      <c r="O22" s="168">
        <f>'2021_Rohdaten_BA'!K24</f>
        <v>12.1</v>
      </c>
      <c r="P22" s="168">
        <f>'2021_Rohdaten_BA'!L24</f>
        <v>9.4</v>
      </c>
      <c r="Q22" s="168">
        <f>'2021_Rohdaten_BA'!M24</f>
        <v>12.8</v>
      </c>
      <c r="R22" s="169">
        <f t="shared" si="1"/>
        <v>7.6999999999999993</v>
      </c>
      <c r="S22" s="169">
        <f t="shared" si="1"/>
        <v>6.8000000000000007</v>
      </c>
      <c r="T22" s="169">
        <f t="shared" si="1"/>
        <v>7.7000000000000011</v>
      </c>
    </row>
    <row r="23" spans="2:20" s="164" customFormat="1" ht="8.25" customHeight="1" x14ac:dyDescent="0.25">
      <c r="B23" s="165" t="s">
        <v>66</v>
      </c>
      <c r="C23" s="166">
        <f>'2021_Rohdaten_BA'!B25</f>
        <v>6</v>
      </c>
      <c r="D23" s="166">
        <f>'2021_Rohdaten_BA'!C25</f>
        <v>6.4</v>
      </c>
      <c r="E23" s="166">
        <f>'2021_Rohdaten_BA'!D25</f>
        <v>5.7</v>
      </c>
      <c r="F23" s="166">
        <f>'2021_Rohdaten_BA'!E25</f>
        <v>17.8</v>
      </c>
      <c r="G23" s="166">
        <f>'2021_Rohdaten_BA'!F25</f>
        <v>16.3</v>
      </c>
      <c r="H23" s="166">
        <f>'2021_Rohdaten_BA'!G25</f>
        <v>20.399999999999999</v>
      </c>
      <c r="I23" s="167">
        <f>F23-C23</f>
        <v>11.8</v>
      </c>
      <c r="J23" s="167">
        <f t="shared" si="0"/>
        <v>9.9</v>
      </c>
      <c r="K23" s="167">
        <f t="shared" si="0"/>
        <v>14.7</v>
      </c>
      <c r="L23" s="168">
        <f>'2021_Rohdaten_BA'!H25</f>
        <v>6</v>
      </c>
      <c r="M23" s="168">
        <f>'2021_Rohdaten_BA'!I25</f>
        <v>3.4</v>
      </c>
      <c r="N23" s="168">
        <f>'2021_Rohdaten_BA'!J25</f>
        <v>7.1</v>
      </c>
      <c r="O23" s="168">
        <f>'2021_Rohdaten_BA'!K25</f>
        <v>14.9</v>
      </c>
      <c r="P23" s="168">
        <f>'2021_Rohdaten_BA'!L25</f>
        <v>11.1</v>
      </c>
      <c r="Q23" s="168">
        <f>'2021_Rohdaten_BA'!M25</f>
        <v>15.8</v>
      </c>
      <c r="R23" s="169">
        <f>O23-L23</f>
        <v>8.9</v>
      </c>
      <c r="S23" s="169">
        <f t="shared" si="1"/>
        <v>7.6999999999999993</v>
      </c>
      <c r="T23" s="169">
        <f t="shared" si="1"/>
        <v>8.7000000000000011</v>
      </c>
    </row>
    <row r="24" spans="2:20" s="164" customFormat="1" ht="8.25" customHeight="1" x14ac:dyDescent="0.25">
      <c r="B24" s="165" t="s">
        <v>69</v>
      </c>
      <c r="C24" s="166">
        <f>'2021_Rohdaten_BA'!B26</f>
        <v>5.5</v>
      </c>
      <c r="D24" s="166">
        <f>'2021_Rohdaten_BA'!C26</f>
        <v>5.7</v>
      </c>
      <c r="E24" s="166">
        <f>'2021_Rohdaten_BA'!D26</f>
        <v>5.3</v>
      </c>
      <c r="F24" s="166">
        <f>'2021_Rohdaten_BA'!E26</f>
        <v>15.7</v>
      </c>
      <c r="G24" s="166">
        <f>'2021_Rohdaten_BA'!F26</f>
        <v>13.6</v>
      </c>
      <c r="H24" s="166">
        <f>'2021_Rohdaten_BA'!G26</f>
        <v>19</v>
      </c>
      <c r="I24" s="167">
        <f>F24-C24</f>
        <v>10.199999999999999</v>
      </c>
      <c r="J24" s="167">
        <f t="shared" si="0"/>
        <v>7.8999999999999995</v>
      </c>
      <c r="K24" s="167">
        <f t="shared" si="0"/>
        <v>13.7</v>
      </c>
      <c r="L24" s="168">
        <f>'2021_Rohdaten_BA'!H26</f>
        <v>4.7</v>
      </c>
      <c r="M24" s="168">
        <f>'2021_Rohdaten_BA'!I26</f>
        <v>2.7</v>
      </c>
      <c r="N24" s="168">
        <f>'2021_Rohdaten_BA'!J26</f>
        <v>5.4</v>
      </c>
      <c r="O24" s="168">
        <f>'2021_Rohdaten_BA'!K26</f>
        <v>11.4</v>
      </c>
      <c r="P24" s="168">
        <f>'2021_Rohdaten_BA'!L26</f>
        <v>10.1</v>
      </c>
      <c r="Q24" s="168">
        <f>'2021_Rohdaten_BA'!M26</f>
        <v>11.7</v>
      </c>
      <c r="R24" s="169">
        <f>O24-L24</f>
        <v>6.7</v>
      </c>
      <c r="S24" s="169">
        <f t="shared" si="1"/>
        <v>7.3999999999999995</v>
      </c>
      <c r="T24" s="169">
        <f t="shared" si="1"/>
        <v>6.2999999999999989</v>
      </c>
    </row>
    <row r="25" spans="2:20" x14ac:dyDescent="0.25">
      <c r="L25" s="41"/>
      <c r="M25" s="41"/>
      <c r="N25" s="41"/>
      <c r="O25" s="41"/>
      <c r="P25" s="41"/>
      <c r="Q25" s="41"/>
    </row>
  </sheetData>
  <mergeCells count="12">
    <mergeCell ref="B3:J3"/>
    <mergeCell ref="B6:B8"/>
    <mergeCell ref="C6:E6"/>
    <mergeCell ref="F6:H6"/>
    <mergeCell ref="I6:K6"/>
    <mergeCell ref="L6:N6"/>
    <mergeCell ref="O6:Q6"/>
    <mergeCell ref="R6:T6"/>
    <mergeCell ref="C8:H8"/>
    <mergeCell ref="I8:K8"/>
    <mergeCell ref="L8:Q8"/>
    <mergeCell ref="R8:T8"/>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58E90-6C8B-4F66-9B5C-CB6DD595FE9C}">
  <sheetPr codeName="Tabelle8" filterMode="1"/>
  <dimension ref="A1:E273"/>
  <sheetViews>
    <sheetView topLeftCell="A92" workbookViewId="0">
      <selection activeCell="A92" sqref="A1:XFD1048576"/>
    </sheetView>
  </sheetViews>
  <sheetFormatPr baseColWidth="10" defaultRowHeight="15" x14ac:dyDescent="0.25"/>
  <cols>
    <col min="2" max="2" width="94" bestFit="1" customWidth="1"/>
  </cols>
  <sheetData>
    <row r="1" spans="1:5" x14ac:dyDescent="0.25">
      <c r="A1" t="s">
        <v>75</v>
      </c>
      <c r="B1" t="s">
        <v>76</v>
      </c>
      <c r="C1" t="s">
        <v>77</v>
      </c>
      <c r="D1" t="s">
        <v>78</v>
      </c>
      <c r="E1" t="s">
        <v>79</v>
      </c>
    </row>
    <row r="2" spans="1:5" hidden="1" x14ac:dyDescent="0.25">
      <c r="A2" s="97" t="str">
        <f>'2021_Downloadtabelle_5-3-2'!B10</f>
        <v>Juni 2007</v>
      </c>
      <c r="B2" s="116" t="s">
        <v>80</v>
      </c>
      <c r="C2" t="s">
        <v>11</v>
      </c>
      <c r="D2" t="s">
        <v>81</v>
      </c>
      <c r="E2">
        <f>'2021_Downloadtabelle_5-3-2'!C10</f>
        <v>8.5</v>
      </c>
    </row>
    <row r="3" spans="1:5" hidden="1" x14ac:dyDescent="0.25">
      <c r="A3" s="97" t="str">
        <f>'2021_Downloadtabelle_5-3-2'!B11</f>
        <v>Juni 2008</v>
      </c>
      <c r="B3" s="116" t="s">
        <v>80</v>
      </c>
      <c r="C3" t="s">
        <v>11</v>
      </c>
      <c r="D3" t="s">
        <v>81</v>
      </c>
      <c r="E3">
        <f>'2021_Downloadtabelle_5-3-2'!C11</f>
        <v>7.4</v>
      </c>
    </row>
    <row r="4" spans="1:5" hidden="1" x14ac:dyDescent="0.25">
      <c r="A4" s="97" t="str">
        <f>'2021_Downloadtabelle_5-3-2'!B12</f>
        <v>Juni 2009</v>
      </c>
      <c r="B4" s="116" t="s">
        <v>80</v>
      </c>
      <c r="C4" t="s">
        <v>11</v>
      </c>
      <c r="D4" t="s">
        <v>81</v>
      </c>
      <c r="E4">
        <f>'2021_Downloadtabelle_5-3-2'!C12</f>
        <v>7.6</v>
      </c>
    </row>
    <row r="5" spans="1:5" hidden="1" x14ac:dyDescent="0.25">
      <c r="A5" s="97" t="str">
        <f>'2021_Downloadtabelle_5-3-2'!B13</f>
        <v>Juni 2010</v>
      </c>
      <c r="B5" s="116" t="s">
        <v>80</v>
      </c>
      <c r="C5" t="s">
        <v>11</v>
      </c>
      <c r="D5" t="s">
        <v>81</v>
      </c>
      <c r="E5">
        <f>'2021_Downloadtabelle_5-3-2'!C13</f>
        <v>7.3</v>
      </c>
    </row>
    <row r="6" spans="1:5" hidden="1" x14ac:dyDescent="0.25">
      <c r="A6" s="97" t="str">
        <f>'2021_Downloadtabelle_5-3-2'!B14</f>
        <v>Juni 2011</v>
      </c>
      <c r="B6" s="116" t="s">
        <v>80</v>
      </c>
      <c r="C6" t="s">
        <v>11</v>
      </c>
      <c r="D6" t="s">
        <v>81</v>
      </c>
      <c r="E6">
        <f>'2021_Downloadtabelle_5-3-2'!C14</f>
        <v>6.7</v>
      </c>
    </row>
    <row r="7" spans="1:5" hidden="1" x14ac:dyDescent="0.25">
      <c r="A7" s="97" t="str">
        <f>'2021_Downloadtabelle_5-3-2'!B15</f>
        <v>Juni 2012</v>
      </c>
      <c r="B7" s="116" t="s">
        <v>80</v>
      </c>
      <c r="C7" t="s">
        <v>11</v>
      </c>
      <c r="D7" t="s">
        <v>81</v>
      </c>
      <c r="E7">
        <f>'2021_Downloadtabelle_5-3-2'!C15</f>
        <v>6.2</v>
      </c>
    </row>
    <row r="8" spans="1:5" hidden="1" x14ac:dyDescent="0.25">
      <c r="A8" s="97" t="str">
        <f>'2021_Downloadtabelle_5-3-2'!B16</f>
        <v>Juni 2013</v>
      </c>
      <c r="B8" s="116" t="s">
        <v>80</v>
      </c>
      <c r="C8" t="s">
        <v>11</v>
      </c>
      <c r="D8" t="s">
        <v>81</v>
      </c>
      <c r="E8">
        <f>'2021_Downloadtabelle_5-3-2'!C16</f>
        <v>6.3</v>
      </c>
    </row>
    <row r="9" spans="1:5" hidden="1" x14ac:dyDescent="0.25">
      <c r="A9" s="97" t="str">
        <f>'2021_Downloadtabelle_5-3-2'!B17</f>
        <v>Juni 2014</v>
      </c>
      <c r="B9" s="116" t="s">
        <v>80</v>
      </c>
      <c r="C9" t="s">
        <v>11</v>
      </c>
      <c r="D9" t="s">
        <v>81</v>
      </c>
      <c r="E9">
        <f>'2021_Downloadtabelle_5-3-2'!C17</f>
        <v>6.3</v>
      </c>
    </row>
    <row r="10" spans="1:5" hidden="1" x14ac:dyDescent="0.25">
      <c r="A10" s="97" t="str">
        <f>'2021_Downloadtabelle_5-3-2'!B18</f>
        <v>Juni 2015</v>
      </c>
      <c r="B10" s="116" t="s">
        <v>80</v>
      </c>
      <c r="C10" t="s">
        <v>11</v>
      </c>
      <c r="D10" t="s">
        <v>81</v>
      </c>
      <c r="E10">
        <f>'2021_Downloadtabelle_5-3-2'!C18</f>
        <v>5.9</v>
      </c>
    </row>
    <row r="11" spans="1:5" hidden="1" x14ac:dyDescent="0.25">
      <c r="A11" s="97" t="str">
        <f>'2021_Downloadtabelle_5-3-2'!B19</f>
        <v>Juni 2016</v>
      </c>
      <c r="B11" s="116" t="s">
        <v>80</v>
      </c>
      <c r="C11" t="s">
        <v>11</v>
      </c>
      <c r="D11" t="s">
        <v>81</v>
      </c>
      <c r="E11">
        <f>'2021_Downloadtabelle_5-3-2'!C19</f>
        <v>5.8</v>
      </c>
    </row>
    <row r="12" spans="1:5" hidden="1" x14ac:dyDescent="0.25">
      <c r="A12" s="97" t="str">
        <f>'2021_Downloadtabelle_5-3-2'!B20</f>
        <v>Juni 2017</v>
      </c>
      <c r="B12" s="116" t="s">
        <v>80</v>
      </c>
      <c r="C12" t="s">
        <v>11</v>
      </c>
      <c r="D12" t="s">
        <v>81</v>
      </c>
      <c r="E12">
        <f>'2021_Downloadtabelle_5-3-2'!C20</f>
        <v>5.6</v>
      </c>
    </row>
    <row r="13" spans="1:5" hidden="1" x14ac:dyDescent="0.25">
      <c r="A13" s="97" t="str">
        <f>'2021_Downloadtabelle_5-3-2'!B21</f>
        <v>Juni 2018</v>
      </c>
      <c r="B13" s="116" t="s">
        <v>80</v>
      </c>
      <c r="C13" t="s">
        <v>11</v>
      </c>
      <c r="D13" t="s">
        <v>81</v>
      </c>
      <c r="E13">
        <f>'2021_Downloadtabelle_5-3-2'!C21</f>
        <v>5.0999999999999996</v>
      </c>
    </row>
    <row r="14" spans="1:5" hidden="1" x14ac:dyDescent="0.25">
      <c r="A14" s="97" t="str">
        <f>'2021_Downloadtabelle_5-3-2'!B22</f>
        <v>Juni 2019</v>
      </c>
      <c r="B14" s="116" t="s">
        <v>80</v>
      </c>
      <c r="C14" t="s">
        <v>11</v>
      </c>
      <c r="D14" t="s">
        <v>81</v>
      </c>
      <c r="E14">
        <f>'2021_Downloadtabelle_5-3-2'!C22</f>
        <v>4.9000000000000004</v>
      </c>
    </row>
    <row r="15" spans="1:5" hidden="1" x14ac:dyDescent="0.25">
      <c r="A15" s="97" t="str">
        <f>'2021_Downloadtabelle_5-3-2'!B23</f>
        <v>Juni 2020</v>
      </c>
      <c r="B15" s="116" t="s">
        <v>80</v>
      </c>
      <c r="C15" t="s">
        <v>11</v>
      </c>
      <c r="D15" t="s">
        <v>81</v>
      </c>
      <c r="E15">
        <f>'2021_Downloadtabelle_5-3-2'!C23</f>
        <v>6</v>
      </c>
    </row>
    <row r="16" spans="1:5" hidden="1" x14ac:dyDescent="0.25">
      <c r="A16" s="97" t="str">
        <f>'2021_Downloadtabelle_5-3-2'!B24</f>
        <v>Juni 2021</v>
      </c>
      <c r="B16" s="116" t="s">
        <v>80</v>
      </c>
      <c r="C16" t="s">
        <v>11</v>
      </c>
      <c r="D16" t="s">
        <v>81</v>
      </c>
      <c r="E16">
        <f>'2021_Downloadtabelle_5-3-2'!C24</f>
        <v>5.5</v>
      </c>
    </row>
    <row r="17" spans="1:5" hidden="1" x14ac:dyDescent="0.25">
      <c r="A17" s="97" t="s">
        <v>35</v>
      </c>
      <c r="B17" s="116" t="s">
        <v>80</v>
      </c>
      <c r="C17" t="str">
        <f>'2021_Downloadtabelle_5-3-2'!$D$7</f>
        <v>Männer</v>
      </c>
      <c r="D17" t="s">
        <v>81</v>
      </c>
      <c r="E17">
        <f>'2021_Downloadtabelle_5-3-2'!D10</f>
        <v>7.8</v>
      </c>
    </row>
    <row r="18" spans="1:5" hidden="1" x14ac:dyDescent="0.25">
      <c r="A18" s="97" t="s">
        <v>36</v>
      </c>
      <c r="B18" s="116" t="s">
        <v>80</v>
      </c>
      <c r="C18" t="str">
        <f>'2021_Downloadtabelle_5-3-2'!$D$7</f>
        <v>Männer</v>
      </c>
      <c r="D18" t="s">
        <v>81</v>
      </c>
      <c r="E18">
        <f>'2021_Downloadtabelle_5-3-2'!D11</f>
        <v>6.9</v>
      </c>
    </row>
    <row r="19" spans="1:5" hidden="1" x14ac:dyDescent="0.25">
      <c r="A19" s="97" t="s">
        <v>37</v>
      </c>
      <c r="B19" s="116" t="s">
        <v>80</v>
      </c>
      <c r="C19" t="str">
        <f>'2021_Downloadtabelle_5-3-2'!$D$7</f>
        <v>Männer</v>
      </c>
      <c r="D19" t="s">
        <v>81</v>
      </c>
      <c r="E19">
        <f>'2021_Downloadtabelle_5-3-2'!D12</f>
        <v>7.7</v>
      </c>
    </row>
    <row r="20" spans="1:5" hidden="1" x14ac:dyDescent="0.25">
      <c r="A20" s="97" t="s">
        <v>38</v>
      </c>
      <c r="B20" s="116" t="s">
        <v>80</v>
      </c>
      <c r="C20" t="str">
        <f>'2021_Downloadtabelle_5-3-2'!$D$7</f>
        <v>Männer</v>
      </c>
      <c r="D20" t="s">
        <v>81</v>
      </c>
      <c r="E20">
        <f>'2021_Downloadtabelle_5-3-2'!D13</f>
        <v>7.3</v>
      </c>
    </row>
    <row r="21" spans="1:5" hidden="1" x14ac:dyDescent="0.25">
      <c r="A21" s="97" t="s">
        <v>39</v>
      </c>
      <c r="B21" s="116" t="s">
        <v>80</v>
      </c>
      <c r="C21" t="str">
        <f>'2021_Downloadtabelle_5-3-2'!$D$7</f>
        <v>Männer</v>
      </c>
      <c r="D21" t="s">
        <v>81</v>
      </c>
      <c r="E21">
        <f>'2021_Downloadtabelle_5-3-2'!D14</f>
        <v>6.5</v>
      </c>
    </row>
    <row r="22" spans="1:5" hidden="1" x14ac:dyDescent="0.25">
      <c r="A22" s="97" t="s">
        <v>40</v>
      </c>
      <c r="B22" s="116" t="s">
        <v>80</v>
      </c>
      <c r="C22" t="str">
        <f>'2021_Downloadtabelle_5-3-2'!$D$7</f>
        <v>Männer</v>
      </c>
      <c r="D22" t="s">
        <v>81</v>
      </c>
      <c r="E22">
        <f>'2021_Downloadtabelle_5-3-2'!D15</f>
        <v>6.1</v>
      </c>
    </row>
    <row r="23" spans="1:5" hidden="1" x14ac:dyDescent="0.25">
      <c r="A23" s="97" t="s">
        <v>41</v>
      </c>
      <c r="B23" s="116" t="s">
        <v>80</v>
      </c>
      <c r="C23" t="str">
        <f>'2021_Downloadtabelle_5-3-2'!$D$7</f>
        <v>Männer</v>
      </c>
      <c r="D23" t="s">
        <v>81</v>
      </c>
      <c r="E23">
        <f>'2021_Downloadtabelle_5-3-2'!D16</f>
        <v>6.3</v>
      </c>
    </row>
    <row r="24" spans="1:5" hidden="1" x14ac:dyDescent="0.25">
      <c r="A24" s="97" t="s">
        <v>42</v>
      </c>
      <c r="B24" s="116" t="s">
        <v>80</v>
      </c>
      <c r="C24" t="str">
        <f>'2021_Downloadtabelle_5-3-2'!$D$7</f>
        <v>Männer</v>
      </c>
      <c r="D24" t="s">
        <v>81</v>
      </c>
      <c r="E24">
        <f>'2021_Downloadtabelle_5-3-2'!D17</f>
        <v>6.3</v>
      </c>
    </row>
    <row r="25" spans="1:5" hidden="1" x14ac:dyDescent="0.25">
      <c r="A25" s="97" t="s">
        <v>43</v>
      </c>
      <c r="B25" s="116" t="s">
        <v>80</v>
      </c>
      <c r="C25" t="str">
        <f>'2021_Downloadtabelle_5-3-2'!$D$7</f>
        <v>Männer</v>
      </c>
      <c r="D25" t="s">
        <v>81</v>
      </c>
      <c r="E25">
        <f>'2021_Downloadtabelle_5-3-2'!D18</f>
        <v>5.9</v>
      </c>
    </row>
    <row r="26" spans="1:5" hidden="1" x14ac:dyDescent="0.25">
      <c r="A26" s="97" t="s">
        <v>44</v>
      </c>
      <c r="B26" s="116" t="s">
        <v>80</v>
      </c>
      <c r="C26" t="str">
        <f>'2021_Downloadtabelle_5-3-2'!$D$7</f>
        <v>Männer</v>
      </c>
      <c r="D26" t="s">
        <v>81</v>
      </c>
      <c r="E26">
        <f>'2021_Downloadtabelle_5-3-2'!D19</f>
        <v>6</v>
      </c>
    </row>
    <row r="27" spans="1:5" hidden="1" x14ac:dyDescent="0.25">
      <c r="A27" s="97" t="s">
        <v>45</v>
      </c>
      <c r="B27" s="116" t="s">
        <v>80</v>
      </c>
      <c r="C27" t="str">
        <f>'2021_Downloadtabelle_5-3-2'!$D$7</f>
        <v>Männer</v>
      </c>
      <c r="D27" t="s">
        <v>81</v>
      </c>
      <c r="E27">
        <f>'2021_Downloadtabelle_5-3-2'!D20</f>
        <v>5.8</v>
      </c>
    </row>
    <row r="28" spans="1:5" hidden="1" x14ac:dyDescent="0.25">
      <c r="A28" s="97" t="s">
        <v>48</v>
      </c>
      <c r="B28" s="116" t="s">
        <v>80</v>
      </c>
      <c r="C28" t="str">
        <f>'2021_Downloadtabelle_5-3-2'!$D$7</f>
        <v>Männer</v>
      </c>
      <c r="D28" t="s">
        <v>81</v>
      </c>
      <c r="E28">
        <f>'2021_Downloadtabelle_5-3-2'!D21</f>
        <v>5.3</v>
      </c>
    </row>
    <row r="29" spans="1:5" hidden="1" x14ac:dyDescent="0.25">
      <c r="A29" s="97" t="s">
        <v>49</v>
      </c>
      <c r="B29" s="116" t="s">
        <v>80</v>
      </c>
      <c r="C29" t="str">
        <f>'2021_Downloadtabelle_5-3-2'!$D$7</f>
        <v>Männer</v>
      </c>
      <c r="D29" t="s">
        <v>81</v>
      </c>
      <c r="E29">
        <f>'2021_Downloadtabelle_5-3-2'!D22</f>
        <v>5.0999999999999996</v>
      </c>
    </row>
    <row r="30" spans="1:5" hidden="1" x14ac:dyDescent="0.25">
      <c r="A30" s="97" t="s">
        <v>66</v>
      </c>
      <c r="B30" s="116" t="s">
        <v>80</v>
      </c>
      <c r="C30" t="str">
        <f>'2021_Downloadtabelle_5-3-2'!$D$7</f>
        <v>Männer</v>
      </c>
      <c r="D30" t="s">
        <v>81</v>
      </c>
      <c r="E30">
        <f>'2021_Downloadtabelle_5-3-2'!D23</f>
        <v>6.4</v>
      </c>
    </row>
    <row r="31" spans="1:5" hidden="1" x14ac:dyDescent="0.25">
      <c r="A31" s="97" t="s">
        <v>69</v>
      </c>
      <c r="B31" s="116" t="s">
        <v>80</v>
      </c>
      <c r="C31" t="str">
        <f>'2021_Downloadtabelle_5-3-2'!$D$7</f>
        <v>Männer</v>
      </c>
      <c r="D31" t="s">
        <v>81</v>
      </c>
      <c r="E31">
        <f>'2021_Downloadtabelle_5-3-2'!D24</f>
        <v>5.7</v>
      </c>
    </row>
    <row r="32" spans="1:5" hidden="1" x14ac:dyDescent="0.25">
      <c r="A32" s="97" t="s">
        <v>35</v>
      </c>
      <c r="B32" s="116" t="s">
        <v>80</v>
      </c>
      <c r="C32" t="str">
        <f>'2021_Downloadtabelle_5-3-2'!$E$7</f>
        <v>Frauen</v>
      </c>
      <c r="D32" t="s">
        <v>81</v>
      </c>
      <c r="E32">
        <f>'2021_Downloadtabelle_5-3-2'!E10</f>
        <v>9.1999999999999993</v>
      </c>
    </row>
    <row r="33" spans="1:5" hidden="1" x14ac:dyDescent="0.25">
      <c r="A33" s="97" t="s">
        <v>36</v>
      </c>
      <c r="B33" s="116" t="s">
        <v>80</v>
      </c>
      <c r="C33" t="str">
        <f>'2021_Downloadtabelle_5-3-2'!$E$7</f>
        <v>Frauen</v>
      </c>
      <c r="D33" t="s">
        <v>81</v>
      </c>
      <c r="E33">
        <f>'2021_Downloadtabelle_5-3-2'!E11</f>
        <v>7.9</v>
      </c>
    </row>
    <row r="34" spans="1:5" hidden="1" x14ac:dyDescent="0.25">
      <c r="A34" s="97" t="s">
        <v>37</v>
      </c>
      <c r="B34" s="116" t="s">
        <v>80</v>
      </c>
      <c r="C34" t="str">
        <f>'2021_Downloadtabelle_5-3-2'!$E$7</f>
        <v>Frauen</v>
      </c>
      <c r="D34" t="s">
        <v>81</v>
      </c>
      <c r="E34">
        <f>'2021_Downloadtabelle_5-3-2'!E12</f>
        <v>7.5</v>
      </c>
    </row>
    <row r="35" spans="1:5" hidden="1" x14ac:dyDescent="0.25">
      <c r="A35" s="97" t="s">
        <v>38</v>
      </c>
      <c r="B35" s="116" t="s">
        <v>80</v>
      </c>
      <c r="C35" t="str">
        <f>'2021_Downloadtabelle_5-3-2'!$E$7</f>
        <v>Frauen</v>
      </c>
      <c r="D35" t="s">
        <v>81</v>
      </c>
      <c r="E35">
        <f>'2021_Downloadtabelle_5-3-2'!E13</f>
        <v>7.3</v>
      </c>
    </row>
    <row r="36" spans="1:5" hidden="1" x14ac:dyDescent="0.25">
      <c r="A36" s="97" t="s">
        <v>39</v>
      </c>
      <c r="B36" s="116" t="s">
        <v>80</v>
      </c>
      <c r="C36" t="str">
        <f>'2021_Downloadtabelle_5-3-2'!$E$7</f>
        <v>Frauen</v>
      </c>
      <c r="D36" t="s">
        <v>81</v>
      </c>
      <c r="E36">
        <f>'2021_Downloadtabelle_5-3-2'!E14</f>
        <v>6.9</v>
      </c>
    </row>
    <row r="37" spans="1:5" hidden="1" x14ac:dyDescent="0.25">
      <c r="A37" s="97" t="s">
        <v>40</v>
      </c>
      <c r="B37" s="116" t="s">
        <v>80</v>
      </c>
      <c r="C37" t="str">
        <f>'2021_Downloadtabelle_5-3-2'!$E$7</f>
        <v>Frauen</v>
      </c>
      <c r="D37" t="s">
        <v>81</v>
      </c>
      <c r="E37">
        <f>'2021_Downloadtabelle_5-3-2'!E15</f>
        <v>6.4</v>
      </c>
    </row>
    <row r="38" spans="1:5" hidden="1" x14ac:dyDescent="0.25">
      <c r="A38" s="97" t="s">
        <v>41</v>
      </c>
      <c r="B38" s="116" t="s">
        <v>80</v>
      </c>
      <c r="C38" t="str">
        <f>'2021_Downloadtabelle_5-3-2'!$E$7</f>
        <v>Frauen</v>
      </c>
      <c r="D38" t="s">
        <v>81</v>
      </c>
      <c r="E38">
        <f>'2021_Downloadtabelle_5-3-2'!E16</f>
        <v>6.4</v>
      </c>
    </row>
    <row r="39" spans="1:5" hidden="1" x14ac:dyDescent="0.25">
      <c r="A39" s="97" t="s">
        <v>42</v>
      </c>
      <c r="B39" s="116" t="s">
        <v>80</v>
      </c>
      <c r="C39" t="str">
        <f>'2021_Downloadtabelle_5-3-2'!$E$7</f>
        <v>Frauen</v>
      </c>
      <c r="D39" t="s">
        <v>81</v>
      </c>
      <c r="E39">
        <f>'2021_Downloadtabelle_5-3-2'!E17</f>
        <v>6.3</v>
      </c>
    </row>
    <row r="40" spans="1:5" hidden="1" x14ac:dyDescent="0.25">
      <c r="A40" s="97" t="s">
        <v>43</v>
      </c>
      <c r="B40" s="116" t="s">
        <v>80</v>
      </c>
      <c r="C40" t="str">
        <f>'2021_Downloadtabelle_5-3-2'!$E$7</f>
        <v>Frauen</v>
      </c>
      <c r="D40" t="s">
        <v>81</v>
      </c>
      <c r="E40">
        <f>'2021_Downloadtabelle_5-3-2'!E18</f>
        <v>5.8</v>
      </c>
    </row>
    <row r="41" spans="1:5" hidden="1" x14ac:dyDescent="0.25">
      <c r="A41" s="97" t="s">
        <v>44</v>
      </c>
      <c r="B41" s="116" t="s">
        <v>80</v>
      </c>
      <c r="C41" t="str">
        <f>'2021_Downloadtabelle_5-3-2'!$E$7</f>
        <v>Frauen</v>
      </c>
      <c r="D41" t="s">
        <v>81</v>
      </c>
      <c r="E41">
        <f>'2021_Downloadtabelle_5-3-2'!E19</f>
        <v>5.6</v>
      </c>
    </row>
    <row r="42" spans="1:5" hidden="1" x14ac:dyDescent="0.25">
      <c r="A42" s="97" t="s">
        <v>45</v>
      </c>
      <c r="B42" s="116" t="s">
        <v>80</v>
      </c>
      <c r="C42" t="str">
        <f>'2021_Downloadtabelle_5-3-2'!$E$7</f>
        <v>Frauen</v>
      </c>
      <c r="D42" t="s">
        <v>81</v>
      </c>
      <c r="E42">
        <f>'2021_Downloadtabelle_5-3-2'!E20</f>
        <v>5.5</v>
      </c>
    </row>
    <row r="43" spans="1:5" hidden="1" x14ac:dyDescent="0.25">
      <c r="A43" s="97" t="s">
        <v>48</v>
      </c>
      <c r="B43" s="116" t="s">
        <v>80</v>
      </c>
      <c r="C43" t="str">
        <f>'2021_Downloadtabelle_5-3-2'!$E$7</f>
        <v>Frauen</v>
      </c>
      <c r="D43" t="s">
        <v>81</v>
      </c>
      <c r="E43">
        <f>'2021_Downloadtabelle_5-3-2'!E21</f>
        <v>5</v>
      </c>
    </row>
    <row r="44" spans="1:5" hidden="1" x14ac:dyDescent="0.25">
      <c r="A44" s="97" t="s">
        <v>49</v>
      </c>
      <c r="B44" s="116" t="s">
        <v>80</v>
      </c>
      <c r="C44" t="str">
        <f>'2021_Downloadtabelle_5-3-2'!$E$7</f>
        <v>Frauen</v>
      </c>
      <c r="D44" t="s">
        <v>81</v>
      </c>
      <c r="E44">
        <f>'2021_Downloadtabelle_5-3-2'!E22</f>
        <v>4.7</v>
      </c>
    </row>
    <row r="45" spans="1:5" hidden="1" x14ac:dyDescent="0.25">
      <c r="A45" s="97" t="s">
        <v>66</v>
      </c>
      <c r="B45" s="116" t="s">
        <v>80</v>
      </c>
      <c r="C45" t="str">
        <f>'2021_Downloadtabelle_5-3-2'!$E$7</f>
        <v>Frauen</v>
      </c>
      <c r="D45" t="s">
        <v>81</v>
      </c>
      <c r="E45">
        <f>'2021_Downloadtabelle_5-3-2'!E23</f>
        <v>5.7</v>
      </c>
    </row>
    <row r="46" spans="1:5" hidden="1" x14ac:dyDescent="0.25">
      <c r="A46" s="97" t="s">
        <v>69</v>
      </c>
      <c r="B46" s="116" t="s">
        <v>80</v>
      </c>
      <c r="C46" t="str">
        <f>'2021_Downloadtabelle_5-3-2'!$E$7</f>
        <v>Frauen</v>
      </c>
      <c r="D46" t="s">
        <v>81</v>
      </c>
      <c r="E46">
        <f>'2021_Downloadtabelle_5-3-2'!E24</f>
        <v>5.3</v>
      </c>
    </row>
    <row r="47" spans="1:5" hidden="1" x14ac:dyDescent="0.25">
      <c r="A47" s="97" t="s">
        <v>35</v>
      </c>
      <c r="B47" s="116" t="s">
        <v>30</v>
      </c>
      <c r="C47" t="str">
        <f>'2021_Downloadtabelle_5-3-2'!$C$7</f>
        <v>Insgesamt</v>
      </c>
      <c r="D47" t="s">
        <v>81</v>
      </c>
      <c r="E47">
        <f>'2021_Downloadtabelle_5-3-2'!F10</f>
        <v>20.8</v>
      </c>
    </row>
    <row r="48" spans="1:5" hidden="1" x14ac:dyDescent="0.25">
      <c r="A48" s="97" t="s">
        <v>36</v>
      </c>
      <c r="B48" s="116" t="s">
        <v>30</v>
      </c>
      <c r="C48" t="str">
        <f>'2021_Downloadtabelle_5-3-2'!$C$7</f>
        <v>Insgesamt</v>
      </c>
      <c r="D48" t="s">
        <v>81</v>
      </c>
      <c r="E48">
        <f>'2021_Downloadtabelle_5-3-2'!F11</f>
        <v>19.7</v>
      </c>
    </row>
    <row r="49" spans="1:5" hidden="1" x14ac:dyDescent="0.25">
      <c r="A49" s="97" t="s">
        <v>37</v>
      </c>
      <c r="B49" s="116" t="s">
        <v>30</v>
      </c>
      <c r="C49" t="str">
        <f>'2021_Downloadtabelle_5-3-2'!$C$7</f>
        <v>Insgesamt</v>
      </c>
      <c r="D49" t="s">
        <v>81</v>
      </c>
      <c r="E49">
        <f>'2021_Downloadtabelle_5-3-2'!F12</f>
        <v>19.399999999999999</v>
      </c>
    </row>
    <row r="50" spans="1:5" hidden="1" x14ac:dyDescent="0.25">
      <c r="A50" s="97" t="s">
        <v>38</v>
      </c>
      <c r="B50" s="116" t="s">
        <v>30</v>
      </c>
      <c r="C50" t="str">
        <f>'2021_Downloadtabelle_5-3-2'!$C$7</f>
        <v>Insgesamt</v>
      </c>
      <c r="D50" t="s">
        <v>81</v>
      </c>
      <c r="E50">
        <f>'2021_Downloadtabelle_5-3-2'!F13</f>
        <v>18.2</v>
      </c>
    </row>
    <row r="51" spans="1:5" hidden="1" x14ac:dyDescent="0.25">
      <c r="A51" s="97" t="s">
        <v>39</v>
      </c>
      <c r="B51" s="116" t="s">
        <v>30</v>
      </c>
      <c r="C51" t="str">
        <f>'2021_Downloadtabelle_5-3-2'!$C$7</f>
        <v>Insgesamt</v>
      </c>
      <c r="D51" t="s">
        <v>81</v>
      </c>
      <c r="E51">
        <f>'2021_Downloadtabelle_5-3-2'!F14</f>
        <v>17.2</v>
      </c>
    </row>
    <row r="52" spans="1:5" hidden="1" x14ac:dyDescent="0.25">
      <c r="A52" s="97" t="s">
        <v>40</v>
      </c>
      <c r="B52" s="116" t="s">
        <v>30</v>
      </c>
      <c r="C52" t="str">
        <f>'2021_Downloadtabelle_5-3-2'!$C$7</f>
        <v>Insgesamt</v>
      </c>
      <c r="D52" t="s">
        <v>81</v>
      </c>
      <c r="E52">
        <f>'2021_Downloadtabelle_5-3-2'!F15</f>
        <v>16</v>
      </c>
    </row>
    <row r="53" spans="1:5" hidden="1" x14ac:dyDescent="0.25">
      <c r="A53" s="97" t="s">
        <v>41</v>
      </c>
      <c r="B53" s="116" t="s">
        <v>30</v>
      </c>
      <c r="C53" t="str">
        <f>'2021_Downloadtabelle_5-3-2'!$C$7</f>
        <v>Insgesamt</v>
      </c>
      <c r="D53" t="s">
        <v>81</v>
      </c>
      <c r="E53">
        <f>'2021_Downloadtabelle_5-3-2'!F16</f>
        <v>15.7</v>
      </c>
    </row>
    <row r="54" spans="1:5" hidden="1" x14ac:dyDescent="0.25">
      <c r="A54" s="97" t="s">
        <v>42</v>
      </c>
      <c r="B54" s="116" t="s">
        <v>30</v>
      </c>
      <c r="C54" t="str">
        <f>'2021_Downloadtabelle_5-3-2'!$C$7</f>
        <v>Insgesamt</v>
      </c>
      <c r="D54" t="s">
        <v>81</v>
      </c>
      <c r="E54">
        <f>'2021_Downloadtabelle_5-3-2'!F17</f>
        <v>16</v>
      </c>
    </row>
    <row r="55" spans="1:5" hidden="1" x14ac:dyDescent="0.25">
      <c r="A55" s="97" t="s">
        <v>43</v>
      </c>
      <c r="B55" s="116" t="s">
        <v>30</v>
      </c>
      <c r="C55" t="str">
        <f>'2021_Downloadtabelle_5-3-2'!$C$7</f>
        <v>Insgesamt</v>
      </c>
      <c r="D55" t="s">
        <v>81</v>
      </c>
      <c r="E55">
        <f>'2021_Downloadtabelle_5-3-2'!F18</f>
        <v>16.3</v>
      </c>
    </row>
    <row r="56" spans="1:5" hidden="1" x14ac:dyDescent="0.25">
      <c r="A56" s="97" t="s">
        <v>44</v>
      </c>
      <c r="B56" s="116" t="s">
        <v>30</v>
      </c>
      <c r="C56" t="str">
        <f>'2021_Downloadtabelle_5-3-2'!$C$7</f>
        <v>Insgesamt</v>
      </c>
      <c r="D56" t="s">
        <v>81</v>
      </c>
      <c r="E56">
        <f>'2021_Downloadtabelle_5-3-2'!F19</f>
        <v>18.100000000000001</v>
      </c>
    </row>
    <row r="57" spans="1:5" hidden="1" x14ac:dyDescent="0.25">
      <c r="A57" s="97" t="s">
        <v>45</v>
      </c>
      <c r="B57" s="116" t="s">
        <v>30</v>
      </c>
      <c r="C57" t="str">
        <f>'2021_Downloadtabelle_5-3-2'!$C$7</f>
        <v>Insgesamt</v>
      </c>
      <c r="D57" t="s">
        <v>81</v>
      </c>
      <c r="E57">
        <f>'2021_Downloadtabelle_5-3-2'!F20</f>
        <v>17.7</v>
      </c>
    </row>
    <row r="58" spans="1:5" hidden="1" x14ac:dyDescent="0.25">
      <c r="A58" s="97" t="s">
        <v>48</v>
      </c>
      <c r="B58" s="116" t="s">
        <v>30</v>
      </c>
      <c r="C58" t="str">
        <f>'2021_Downloadtabelle_5-3-2'!$C$7</f>
        <v>Insgesamt</v>
      </c>
      <c r="D58" t="s">
        <v>81</v>
      </c>
      <c r="E58">
        <f>'2021_Downloadtabelle_5-3-2'!F21</f>
        <v>15.6</v>
      </c>
    </row>
    <row r="59" spans="1:5" hidden="1" x14ac:dyDescent="0.25">
      <c r="A59" s="97" t="s">
        <v>49</v>
      </c>
      <c r="B59" s="116" t="s">
        <v>30</v>
      </c>
      <c r="C59" t="str">
        <f>'2021_Downloadtabelle_5-3-2'!$C$7</f>
        <v>Insgesamt</v>
      </c>
      <c r="D59" t="s">
        <v>81</v>
      </c>
      <c r="E59">
        <f>'2021_Downloadtabelle_5-3-2'!F22</f>
        <v>14.7</v>
      </c>
    </row>
    <row r="60" spans="1:5" hidden="1" x14ac:dyDescent="0.25">
      <c r="A60" s="97" t="s">
        <v>66</v>
      </c>
      <c r="B60" s="116" t="s">
        <v>30</v>
      </c>
      <c r="C60" t="str">
        <f>'2021_Downloadtabelle_5-3-2'!$C$7</f>
        <v>Insgesamt</v>
      </c>
      <c r="D60" t="s">
        <v>81</v>
      </c>
      <c r="E60">
        <f>'2021_Downloadtabelle_5-3-2'!F23</f>
        <v>17.8</v>
      </c>
    </row>
    <row r="61" spans="1:5" hidden="1" x14ac:dyDescent="0.25">
      <c r="A61" s="97" t="s">
        <v>69</v>
      </c>
      <c r="B61" s="116" t="s">
        <v>30</v>
      </c>
      <c r="C61" t="str">
        <f>'2021_Downloadtabelle_5-3-2'!$C$7</f>
        <v>Insgesamt</v>
      </c>
      <c r="D61" t="s">
        <v>81</v>
      </c>
      <c r="E61">
        <f>'2021_Downloadtabelle_5-3-2'!F24</f>
        <v>15.7</v>
      </c>
    </row>
    <row r="62" spans="1:5" hidden="1" x14ac:dyDescent="0.25">
      <c r="A62" s="97" t="s">
        <v>35</v>
      </c>
      <c r="B62" s="116" t="s">
        <v>30</v>
      </c>
      <c r="C62" t="str">
        <f>'2021_Downloadtabelle_5-3-2'!$D$7</f>
        <v>Männer</v>
      </c>
      <c r="D62" t="s">
        <v>81</v>
      </c>
      <c r="E62">
        <f>'2021_Downloadtabelle_5-3-2'!G10</f>
        <v>18.5</v>
      </c>
    </row>
    <row r="63" spans="1:5" hidden="1" x14ac:dyDescent="0.25">
      <c r="A63" s="97" t="s">
        <v>36</v>
      </c>
      <c r="B63" s="116" t="s">
        <v>30</v>
      </c>
      <c r="C63" t="str">
        <f>'2021_Downloadtabelle_5-3-2'!$D$7</f>
        <v>Männer</v>
      </c>
      <c r="D63" t="s">
        <v>81</v>
      </c>
      <c r="E63">
        <f>'2021_Downloadtabelle_5-3-2'!G11</f>
        <v>17.2</v>
      </c>
    </row>
    <row r="64" spans="1:5" hidden="1" x14ac:dyDescent="0.25">
      <c r="A64" s="97" t="s">
        <v>37</v>
      </c>
      <c r="B64" s="116" t="s">
        <v>30</v>
      </c>
      <c r="C64" t="str">
        <f>'2021_Downloadtabelle_5-3-2'!$D$7</f>
        <v>Männer</v>
      </c>
      <c r="D64" t="s">
        <v>81</v>
      </c>
      <c r="E64">
        <f>'2021_Downloadtabelle_5-3-2'!G12</f>
        <v>18</v>
      </c>
    </row>
    <row r="65" spans="1:5" hidden="1" x14ac:dyDescent="0.25">
      <c r="A65" s="97" t="s">
        <v>38</v>
      </c>
      <c r="B65" s="116" t="s">
        <v>30</v>
      </c>
      <c r="C65" t="str">
        <f>'2021_Downloadtabelle_5-3-2'!$D$7</f>
        <v>Männer</v>
      </c>
      <c r="D65" t="s">
        <v>81</v>
      </c>
      <c r="E65">
        <f>'2021_Downloadtabelle_5-3-2'!G13</f>
        <v>16.600000000000001</v>
      </c>
    </row>
    <row r="66" spans="1:5" hidden="1" x14ac:dyDescent="0.25">
      <c r="A66" s="97" t="s">
        <v>39</v>
      </c>
      <c r="B66" s="116" t="s">
        <v>30</v>
      </c>
      <c r="C66" t="str">
        <f>'2021_Downloadtabelle_5-3-2'!$D$7</f>
        <v>Männer</v>
      </c>
      <c r="D66" t="s">
        <v>81</v>
      </c>
      <c r="E66">
        <f>'2021_Downloadtabelle_5-3-2'!G14</f>
        <v>15.5</v>
      </c>
    </row>
    <row r="67" spans="1:5" hidden="1" x14ac:dyDescent="0.25">
      <c r="A67" s="97" t="s">
        <v>40</v>
      </c>
      <c r="B67" s="116" t="s">
        <v>30</v>
      </c>
      <c r="C67" t="str">
        <f>'2021_Downloadtabelle_5-3-2'!$D$7</f>
        <v>Männer</v>
      </c>
      <c r="D67" t="s">
        <v>81</v>
      </c>
      <c r="E67">
        <f>'2021_Downloadtabelle_5-3-2'!G15</f>
        <v>14.3</v>
      </c>
    </row>
    <row r="68" spans="1:5" hidden="1" x14ac:dyDescent="0.25">
      <c r="A68" s="97" t="s">
        <v>41</v>
      </c>
      <c r="B68" s="116" t="s">
        <v>30</v>
      </c>
      <c r="C68" t="str">
        <f>'2021_Downloadtabelle_5-3-2'!$D$7</f>
        <v>Männer</v>
      </c>
      <c r="D68" t="s">
        <v>81</v>
      </c>
      <c r="E68">
        <f>'2021_Downloadtabelle_5-3-2'!G16</f>
        <v>14.1</v>
      </c>
    </row>
    <row r="69" spans="1:5" hidden="1" x14ac:dyDescent="0.25">
      <c r="A69" s="97" t="s">
        <v>42</v>
      </c>
      <c r="B69" s="116" t="s">
        <v>30</v>
      </c>
      <c r="C69" t="str">
        <f>'2021_Downloadtabelle_5-3-2'!$D$7</f>
        <v>Männer</v>
      </c>
      <c r="D69" t="s">
        <v>81</v>
      </c>
      <c r="E69">
        <f>'2021_Downloadtabelle_5-3-2'!G17</f>
        <v>14.1</v>
      </c>
    </row>
    <row r="70" spans="1:5" hidden="1" x14ac:dyDescent="0.25">
      <c r="A70" s="97" t="s">
        <v>43</v>
      </c>
      <c r="B70" s="116" t="s">
        <v>30</v>
      </c>
      <c r="C70" t="str">
        <f>'2021_Downloadtabelle_5-3-2'!$D$7</f>
        <v>Männer</v>
      </c>
      <c r="D70" t="s">
        <v>81</v>
      </c>
      <c r="E70">
        <f>'2021_Downloadtabelle_5-3-2'!G18</f>
        <v>14.3</v>
      </c>
    </row>
    <row r="71" spans="1:5" hidden="1" x14ac:dyDescent="0.25">
      <c r="A71" s="97" t="s">
        <v>44</v>
      </c>
      <c r="B71" s="116" t="s">
        <v>30</v>
      </c>
      <c r="C71" t="str">
        <f>'2021_Downloadtabelle_5-3-2'!$D$7</f>
        <v>Männer</v>
      </c>
      <c r="D71" t="s">
        <v>81</v>
      </c>
      <c r="E71">
        <f>'2021_Downloadtabelle_5-3-2'!G19</f>
        <v>17.3</v>
      </c>
    </row>
    <row r="72" spans="1:5" hidden="1" x14ac:dyDescent="0.25">
      <c r="A72" s="97" t="s">
        <v>45</v>
      </c>
      <c r="B72" s="116" t="s">
        <v>30</v>
      </c>
      <c r="C72" t="str">
        <f>'2021_Downloadtabelle_5-3-2'!$D$7</f>
        <v>Männer</v>
      </c>
      <c r="D72" t="s">
        <v>81</v>
      </c>
      <c r="E72">
        <f>'2021_Downloadtabelle_5-3-2'!G20</f>
        <v>16.3</v>
      </c>
    </row>
    <row r="73" spans="1:5" hidden="1" x14ac:dyDescent="0.25">
      <c r="A73" s="97" t="s">
        <v>48</v>
      </c>
      <c r="B73" s="116" t="s">
        <v>30</v>
      </c>
      <c r="C73" t="str">
        <f>'2021_Downloadtabelle_5-3-2'!$D$7</f>
        <v>Männer</v>
      </c>
      <c r="D73" t="s">
        <v>81</v>
      </c>
      <c r="E73">
        <f>'2021_Downloadtabelle_5-3-2'!G21</f>
        <v>14.1</v>
      </c>
    </row>
    <row r="74" spans="1:5" hidden="1" x14ac:dyDescent="0.25">
      <c r="A74" s="97" t="s">
        <v>49</v>
      </c>
      <c r="B74" s="116" t="s">
        <v>30</v>
      </c>
      <c r="C74" t="str">
        <f>'2021_Downloadtabelle_5-3-2'!$D$7</f>
        <v>Männer</v>
      </c>
      <c r="D74" t="s">
        <v>81</v>
      </c>
      <c r="E74">
        <f>'2021_Downloadtabelle_5-3-2'!G22</f>
        <v>13.2</v>
      </c>
    </row>
    <row r="75" spans="1:5" hidden="1" x14ac:dyDescent="0.25">
      <c r="A75" s="97" t="s">
        <v>66</v>
      </c>
      <c r="B75" s="116" t="s">
        <v>30</v>
      </c>
      <c r="C75" t="str">
        <f>'2021_Downloadtabelle_5-3-2'!$D$7</f>
        <v>Männer</v>
      </c>
      <c r="D75" t="s">
        <v>81</v>
      </c>
      <c r="E75">
        <f>'2021_Downloadtabelle_5-3-2'!G23</f>
        <v>16.3</v>
      </c>
    </row>
    <row r="76" spans="1:5" hidden="1" x14ac:dyDescent="0.25">
      <c r="A76" s="97" t="s">
        <v>69</v>
      </c>
      <c r="B76" s="116" t="s">
        <v>30</v>
      </c>
      <c r="C76" t="str">
        <f>'2021_Downloadtabelle_5-3-2'!$D$7</f>
        <v>Männer</v>
      </c>
      <c r="D76" t="s">
        <v>81</v>
      </c>
      <c r="E76">
        <f>'2021_Downloadtabelle_5-3-2'!G24</f>
        <v>13.6</v>
      </c>
    </row>
    <row r="77" spans="1:5" hidden="1" x14ac:dyDescent="0.25">
      <c r="A77" s="97" t="s">
        <v>35</v>
      </c>
      <c r="B77" s="116" t="s">
        <v>30</v>
      </c>
      <c r="C77" t="str">
        <f>'2021_Downloadtabelle_5-3-2'!$E$7</f>
        <v>Frauen</v>
      </c>
      <c r="D77" t="s">
        <v>81</v>
      </c>
      <c r="E77">
        <f>'2021_Downloadtabelle_5-3-2'!H10</f>
        <v>24.1</v>
      </c>
    </row>
    <row r="78" spans="1:5" hidden="1" x14ac:dyDescent="0.25">
      <c r="A78" s="97" t="s">
        <v>36</v>
      </c>
      <c r="B78" s="116" t="s">
        <v>30</v>
      </c>
      <c r="C78" t="str">
        <f>'2021_Downloadtabelle_5-3-2'!$E$7</f>
        <v>Frauen</v>
      </c>
      <c r="D78" t="s">
        <v>81</v>
      </c>
      <c r="E78">
        <f>'2021_Downloadtabelle_5-3-2'!H11</f>
        <v>23.3</v>
      </c>
    </row>
    <row r="79" spans="1:5" hidden="1" x14ac:dyDescent="0.25">
      <c r="A79" s="97" t="s">
        <v>37</v>
      </c>
      <c r="B79" s="116" t="s">
        <v>30</v>
      </c>
      <c r="C79" t="str">
        <f>'2021_Downloadtabelle_5-3-2'!$E$7</f>
        <v>Frauen</v>
      </c>
      <c r="D79" t="s">
        <v>81</v>
      </c>
      <c r="E79">
        <f>'2021_Downloadtabelle_5-3-2'!H12</f>
        <v>21.3</v>
      </c>
    </row>
    <row r="80" spans="1:5" hidden="1" x14ac:dyDescent="0.25">
      <c r="A80" s="97" t="s">
        <v>38</v>
      </c>
      <c r="B80" s="116" t="s">
        <v>30</v>
      </c>
      <c r="C80" t="str">
        <f>'2021_Downloadtabelle_5-3-2'!$E$7</f>
        <v>Frauen</v>
      </c>
      <c r="D80" t="s">
        <v>81</v>
      </c>
      <c r="E80">
        <f>'2021_Downloadtabelle_5-3-2'!H13</f>
        <v>20.3</v>
      </c>
    </row>
    <row r="81" spans="1:5" hidden="1" x14ac:dyDescent="0.25">
      <c r="A81" s="97" t="s">
        <v>39</v>
      </c>
      <c r="B81" s="116" t="s">
        <v>30</v>
      </c>
      <c r="C81" t="str">
        <f>'2021_Downloadtabelle_5-3-2'!$E$7</f>
        <v>Frauen</v>
      </c>
      <c r="D81" t="s">
        <v>81</v>
      </c>
      <c r="E81">
        <f>'2021_Downloadtabelle_5-3-2'!H14</f>
        <v>19.5</v>
      </c>
    </row>
    <row r="82" spans="1:5" hidden="1" x14ac:dyDescent="0.25">
      <c r="A82" s="97" t="s">
        <v>40</v>
      </c>
      <c r="B82" s="116" t="s">
        <v>30</v>
      </c>
      <c r="C82" t="str">
        <f>'2021_Downloadtabelle_5-3-2'!$E$7</f>
        <v>Frauen</v>
      </c>
      <c r="D82" t="s">
        <v>81</v>
      </c>
      <c r="E82">
        <f>'2021_Downloadtabelle_5-3-2'!H15</f>
        <v>18.3</v>
      </c>
    </row>
    <row r="83" spans="1:5" hidden="1" x14ac:dyDescent="0.25">
      <c r="A83" s="97" t="s">
        <v>41</v>
      </c>
      <c r="B83" s="116" t="s">
        <v>30</v>
      </c>
      <c r="C83" t="str">
        <f>'2021_Downloadtabelle_5-3-2'!$E$7</f>
        <v>Frauen</v>
      </c>
      <c r="D83" t="s">
        <v>81</v>
      </c>
      <c r="E83">
        <f>'2021_Downloadtabelle_5-3-2'!H16</f>
        <v>18</v>
      </c>
    </row>
    <row r="84" spans="1:5" hidden="1" x14ac:dyDescent="0.25">
      <c r="A84" s="97" t="s">
        <v>42</v>
      </c>
      <c r="B84" s="116" t="s">
        <v>30</v>
      </c>
      <c r="C84" t="str">
        <f>'2021_Downloadtabelle_5-3-2'!$E$7</f>
        <v>Frauen</v>
      </c>
      <c r="D84" t="s">
        <v>81</v>
      </c>
      <c r="E84">
        <f>'2021_Downloadtabelle_5-3-2'!H17</f>
        <v>18.5</v>
      </c>
    </row>
    <row r="85" spans="1:5" hidden="1" x14ac:dyDescent="0.25">
      <c r="A85" s="97" t="s">
        <v>43</v>
      </c>
      <c r="B85" s="116" t="s">
        <v>30</v>
      </c>
      <c r="C85" t="str">
        <f>'2021_Downloadtabelle_5-3-2'!$E$7</f>
        <v>Frauen</v>
      </c>
      <c r="D85" t="s">
        <v>81</v>
      </c>
      <c r="E85">
        <f>'2021_Downloadtabelle_5-3-2'!H18</f>
        <v>19.100000000000001</v>
      </c>
    </row>
    <row r="86" spans="1:5" hidden="1" x14ac:dyDescent="0.25">
      <c r="A86" s="97" t="s">
        <v>44</v>
      </c>
      <c r="B86" s="116" t="s">
        <v>30</v>
      </c>
      <c r="C86" t="str">
        <f>'2021_Downloadtabelle_5-3-2'!$E$7</f>
        <v>Frauen</v>
      </c>
      <c r="D86" t="s">
        <v>81</v>
      </c>
      <c r="E86">
        <f>'2021_Downloadtabelle_5-3-2'!H19</f>
        <v>19.3</v>
      </c>
    </row>
    <row r="87" spans="1:5" hidden="1" x14ac:dyDescent="0.25">
      <c r="A87" s="97" t="s">
        <v>45</v>
      </c>
      <c r="B87" s="116" t="s">
        <v>30</v>
      </c>
      <c r="C87" t="str">
        <f>'2021_Downloadtabelle_5-3-2'!$E$7</f>
        <v>Frauen</v>
      </c>
      <c r="D87" t="s">
        <v>81</v>
      </c>
      <c r="E87">
        <f>'2021_Downloadtabelle_5-3-2'!H20</f>
        <v>19.8</v>
      </c>
    </row>
    <row r="88" spans="1:5" hidden="1" x14ac:dyDescent="0.25">
      <c r="A88" s="97" t="s">
        <v>48</v>
      </c>
      <c r="B88" s="116" t="s">
        <v>30</v>
      </c>
      <c r="C88" t="str">
        <f>'2021_Downloadtabelle_5-3-2'!$E$7</f>
        <v>Frauen</v>
      </c>
      <c r="D88" t="s">
        <v>81</v>
      </c>
      <c r="E88">
        <f>'2021_Downloadtabelle_5-3-2'!H21</f>
        <v>17.899999999999999</v>
      </c>
    </row>
    <row r="89" spans="1:5" hidden="1" x14ac:dyDescent="0.25">
      <c r="A89" s="97" t="s">
        <v>49</v>
      </c>
      <c r="B89" s="116" t="s">
        <v>30</v>
      </c>
      <c r="C89" t="str">
        <f>'2021_Downloadtabelle_5-3-2'!$E$7</f>
        <v>Frauen</v>
      </c>
      <c r="D89" t="s">
        <v>81</v>
      </c>
      <c r="E89">
        <f>'2021_Downloadtabelle_5-3-2'!H22</f>
        <v>17.2</v>
      </c>
    </row>
    <row r="90" spans="1:5" hidden="1" x14ac:dyDescent="0.25">
      <c r="A90" s="97" t="s">
        <v>66</v>
      </c>
      <c r="B90" s="116" t="s">
        <v>30</v>
      </c>
      <c r="C90" t="str">
        <f>'2021_Downloadtabelle_5-3-2'!$E$7</f>
        <v>Frauen</v>
      </c>
      <c r="D90" t="s">
        <v>81</v>
      </c>
      <c r="E90">
        <f>'2021_Downloadtabelle_5-3-2'!H23</f>
        <v>20.399999999999999</v>
      </c>
    </row>
    <row r="91" spans="1:5" hidden="1" x14ac:dyDescent="0.25">
      <c r="A91" s="97" t="s">
        <v>69</v>
      </c>
      <c r="B91" s="116" t="s">
        <v>30</v>
      </c>
      <c r="C91" t="str">
        <f>'2021_Downloadtabelle_5-3-2'!$E$7</f>
        <v>Frauen</v>
      </c>
      <c r="D91" t="s">
        <v>81</v>
      </c>
      <c r="E91">
        <f>'2021_Downloadtabelle_5-3-2'!H24</f>
        <v>19</v>
      </c>
    </row>
    <row r="92" spans="1:5" x14ac:dyDescent="0.25">
      <c r="A92" s="97" t="s">
        <v>35</v>
      </c>
      <c r="B92" s="116" t="s">
        <v>31</v>
      </c>
      <c r="C92" t="str">
        <f>'2021_Downloadtabelle_5-3-2'!$C$7</f>
        <v>Insgesamt</v>
      </c>
      <c r="D92" t="s">
        <v>34</v>
      </c>
      <c r="E92" t="str">
        <f>"+"&amp;'2021_Downloadtabelle_5-3-2'!I10</f>
        <v>+12,3</v>
      </c>
    </row>
    <row r="93" spans="1:5" x14ac:dyDescent="0.25">
      <c r="A93" s="97" t="s">
        <v>36</v>
      </c>
      <c r="B93" s="116" t="s">
        <v>31</v>
      </c>
      <c r="C93" t="str">
        <f>'2021_Downloadtabelle_5-3-2'!$C$7</f>
        <v>Insgesamt</v>
      </c>
      <c r="D93" t="s">
        <v>34</v>
      </c>
      <c r="E93" t="str">
        <f>"+"&amp;'2021_Downloadtabelle_5-3-2'!I11</f>
        <v>+12,3</v>
      </c>
    </row>
    <row r="94" spans="1:5" x14ac:dyDescent="0.25">
      <c r="A94" s="97" t="s">
        <v>37</v>
      </c>
      <c r="B94" s="116" t="s">
        <v>31</v>
      </c>
      <c r="C94" t="str">
        <f>'2021_Downloadtabelle_5-3-2'!$C$7</f>
        <v>Insgesamt</v>
      </c>
      <c r="D94" t="s">
        <v>34</v>
      </c>
      <c r="E94" t="str">
        <f>"+"&amp;'2021_Downloadtabelle_5-3-2'!I12</f>
        <v>+11,8</v>
      </c>
    </row>
    <row r="95" spans="1:5" x14ac:dyDescent="0.25">
      <c r="A95" s="97" t="s">
        <v>38</v>
      </c>
      <c r="B95" s="116" t="s">
        <v>31</v>
      </c>
      <c r="C95" t="str">
        <f>'2021_Downloadtabelle_5-3-2'!$C$7</f>
        <v>Insgesamt</v>
      </c>
      <c r="D95" t="s">
        <v>34</v>
      </c>
      <c r="E95" t="str">
        <f>"+"&amp;'2021_Downloadtabelle_5-3-2'!I13</f>
        <v>+10,9</v>
      </c>
    </row>
    <row r="96" spans="1:5" x14ac:dyDescent="0.25">
      <c r="A96" s="97" t="s">
        <v>39</v>
      </c>
      <c r="B96" s="116" t="s">
        <v>31</v>
      </c>
      <c r="C96" t="str">
        <f>'2021_Downloadtabelle_5-3-2'!$C$7</f>
        <v>Insgesamt</v>
      </c>
      <c r="D96" t="s">
        <v>34</v>
      </c>
      <c r="E96" t="str">
        <f>"+"&amp;'2021_Downloadtabelle_5-3-2'!I14</f>
        <v>+10,5</v>
      </c>
    </row>
    <row r="97" spans="1:5" x14ac:dyDescent="0.25">
      <c r="A97" s="97" t="s">
        <v>40</v>
      </c>
      <c r="B97" s="116" t="s">
        <v>31</v>
      </c>
      <c r="C97" t="str">
        <f>'2021_Downloadtabelle_5-3-2'!$C$7</f>
        <v>Insgesamt</v>
      </c>
      <c r="D97" t="s">
        <v>34</v>
      </c>
      <c r="E97" t="str">
        <f>"+"&amp;'2021_Downloadtabelle_5-3-2'!I15</f>
        <v>+9,8</v>
      </c>
    </row>
    <row r="98" spans="1:5" x14ac:dyDescent="0.25">
      <c r="A98" s="97" t="s">
        <v>41</v>
      </c>
      <c r="B98" s="116" t="s">
        <v>31</v>
      </c>
      <c r="C98" t="str">
        <f>'2021_Downloadtabelle_5-3-2'!$C$7</f>
        <v>Insgesamt</v>
      </c>
      <c r="D98" t="s">
        <v>34</v>
      </c>
      <c r="E98" t="str">
        <f>"+"&amp;'2021_Downloadtabelle_5-3-2'!I16</f>
        <v>+9,4</v>
      </c>
    </row>
    <row r="99" spans="1:5" x14ac:dyDescent="0.25">
      <c r="A99" s="97" t="s">
        <v>42</v>
      </c>
      <c r="B99" s="116" t="s">
        <v>31</v>
      </c>
      <c r="C99" t="str">
        <f>'2021_Downloadtabelle_5-3-2'!$C$7</f>
        <v>Insgesamt</v>
      </c>
      <c r="D99" t="s">
        <v>34</v>
      </c>
      <c r="E99" t="str">
        <f>"+"&amp;'2021_Downloadtabelle_5-3-2'!I17</f>
        <v>+9,7</v>
      </c>
    </row>
    <row r="100" spans="1:5" x14ac:dyDescent="0.25">
      <c r="A100" s="97" t="s">
        <v>43</v>
      </c>
      <c r="B100" s="116" t="s">
        <v>31</v>
      </c>
      <c r="C100" t="str">
        <f>'2021_Downloadtabelle_5-3-2'!$C$7</f>
        <v>Insgesamt</v>
      </c>
      <c r="D100" t="s">
        <v>34</v>
      </c>
      <c r="E100" t="str">
        <f>"+"&amp;'2021_Downloadtabelle_5-3-2'!I18</f>
        <v>+10,4</v>
      </c>
    </row>
    <row r="101" spans="1:5" x14ac:dyDescent="0.25">
      <c r="A101" s="97" t="s">
        <v>44</v>
      </c>
      <c r="B101" s="116" t="s">
        <v>31</v>
      </c>
      <c r="C101" t="str">
        <f>'2021_Downloadtabelle_5-3-2'!$C$7</f>
        <v>Insgesamt</v>
      </c>
      <c r="D101" t="s">
        <v>34</v>
      </c>
      <c r="E101" t="str">
        <f>"+"&amp;'2021_Downloadtabelle_5-3-2'!I19</f>
        <v>+12,3</v>
      </c>
    </row>
    <row r="102" spans="1:5" x14ac:dyDescent="0.25">
      <c r="A102" s="97" t="s">
        <v>45</v>
      </c>
      <c r="B102" s="116" t="s">
        <v>31</v>
      </c>
      <c r="C102" t="str">
        <f>'2021_Downloadtabelle_5-3-2'!$C$7</f>
        <v>Insgesamt</v>
      </c>
      <c r="D102" t="s">
        <v>34</v>
      </c>
      <c r="E102" t="str">
        <f>"+"&amp;'2021_Downloadtabelle_5-3-2'!I20</f>
        <v>+12,1</v>
      </c>
    </row>
    <row r="103" spans="1:5" x14ac:dyDescent="0.25">
      <c r="A103" s="97" t="s">
        <v>48</v>
      </c>
      <c r="B103" s="116" t="s">
        <v>31</v>
      </c>
      <c r="C103" t="str">
        <f>'2021_Downloadtabelle_5-3-2'!$C$7</f>
        <v>Insgesamt</v>
      </c>
      <c r="D103" t="s">
        <v>34</v>
      </c>
      <c r="E103" t="str">
        <f>"+"&amp;'2021_Downloadtabelle_5-3-2'!I21</f>
        <v>+10,5</v>
      </c>
    </row>
    <row r="104" spans="1:5" x14ac:dyDescent="0.25">
      <c r="A104" s="97" t="s">
        <v>49</v>
      </c>
      <c r="B104" s="116" t="s">
        <v>31</v>
      </c>
      <c r="C104" t="str">
        <f>'2021_Downloadtabelle_5-3-2'!$C$7</f>
        <v>Insgesamt</v>
      </c>
      <c r="D104" t="s">
        <v>34</v>
      </c>
      <c r="E104" t="str">
        <f>"+"&amp;'2021_Downloadtabelle_5-3-2'!I22</f>
        <v>+9,8</v>
      </c>
    </row>
    <row r="105" spans="1:5" x14ac:dyDescent="0.25">
      <c r="A105" s="97" t="s">
        <v>66</v>
      </c>
      <c r="B105" s="116" t="s">
        <v>31</v>
      </c>
      <c r="C105" t="str">
        <f>'2021_Downloadtabelle_5-3-2'!$C$7</f>
        <v>Insgesamt</v>
      </c>
      <c r="D105" t="s">
        <v>34</v>
      </c>
      <c r="E105" t="str">
        <f>"+"&amp;'2021_Downloadtabelle_5-3-2'!I23</f>
        <v>+11,8</v>
      </c>
    </row>
    <row r="106" spans="1:5" x14ac:dyDescent="0.25">
      <c r="A106" s="97" t="s">
        <v>69</v>
      </c>
      <c r="B106" s="116" t="s">
        <v>31</v>
      </c>
      <c r="C106" t="str">
        <f>'2021_Downloadtabelle_5-3-2'!$C$7</f>
        <v>Insgesamt</v>
      </c>
      <c r="D106" t="s">
        <v>34</v>
      </c>
      <c r="E106" t="str">
        <f>"+"&amp;'2021_Downloadtabelle_5-3-2'!I24</f>
        <v>+10,2</v>
      </c>
    </row>
    <row r="107" spans="1:5" x14ac:dyDescent="0.25">
      <c r="A107" s="97" t="s">
        <v>35</v>
      </c>
      <c r="B107" s="116" t="s">
        <v>31</v>
      </c>
      <c r="C107" t="str">
        <f>'2021_Downloadtabelle_5-3-2'!$D$7</f>
        <v>Männer</v>
      </c>
      <c r="D107" t="s">
        <v>34</v>
      </c>
      <c r="E107" t="str">
        <f>"+"&amp;'2021_Downloadtabelle_5-3-2'!J10</f>
        <v>+10,7</v>
      </c>
    </row>
    <row r="108" spans="1:5" x14ac:dyDescent="0.25">
      <c r="A108" s="97" t="s">
        <v>36</v>
      </c>
      <c r="B108" s="116" t="s">
        <v>31</v>
      </c>
      <c r="C108" t="str">
        <f>'2021_Downloadtabelle_5-3-2'!$D$7</f>
        <v>Männer</v>
      </c>
      <c r="D108" t="s">
        <v>34</v>
      </c>
      <c r="E108" t="str">
        <f>"+"&amp;'2021_Downloadtabelle_5-3-2'!J11</f>
        <v>+10,3</v>
      </c>
    </row>
    <row r="109" spans="1:5" x14ac:dyDescent="0.25">
      <c r="A109" s="97" t="s">
        <v>37</v>
      </c>
      <c r="B109" s="116" t="s">
        <v>31</v>
      </c>
      <c r="C109" t="str">
        <f>'2021_Downloadtabelle_5-3-2'!$D$7</f>
        <v>Männer</v>
      </c>
      <c r="D109" t="s">
        <v>34</v>
      </c>
      <c r="E109" t="str">
        <f>"+"&amp;'2021_Downloadtabelle_5-3-2'!J12</f>
        <v>+10,3</v>
      </c>
    </row>
    <row r="110" spans="1:5" x14ac:dyDescent="0.25">
      <c r="A110" s="97" t="s">
        <v>38</v>
      </c>
      <c r="B110" s="116" t="s">
        <v>31</v>
      </c>
      <c r="C110" t="str">
        <f>'2021_Downloadtabelle_5-3-2'!$D$7</f>
        <v>Männer</v>
      </c>
      <c r="D110" t="s">
        <v>34</v>
      </c>
      <c r="E110" t="str">
        <f>"+"&amp;'2021_Downloadtabelle_5-3-2'!J13</f>
        <v>+9,3</v>
      </c>
    </row>
    <row r="111" spans="1:5" x14ac:dyDescent="0.25">
      <c r="A111" s="97" t="s">
        <v>39</v>
      </c>
      <c r="B111" s="116" t="s">
        <v>31</v>
      </c>
      <c r="C111" t="str">
        <f>'2021_Downloadtabelle_5-3-2'!$D$7</f>
        <v>Männer</v>
      </c>
      <c r="D111" t="s">
        <v>34</v>
      </c>
      <c r="E111" t="str">
        <f>"+"&amp;'2021_Downloadtabelle_5-3-2'!J14</f>
        <v>+9</v>
      </c>
    </row>
    <row r="112" spans="1:5" x14ac:dyDescent="0.25">
      <c r="A112" s="97" t="s">
        <v>40</v>
      </c>
      <c r="B112" s="116" t="s">
        <v>31</v>
      </c>
      <c r="C112" t="str">
        <f>'2021_Downloadtabelle_5-3-2'!$D$7</f>
        <v>Männer</v>
      </c>
      <c r="D112" t="s">
        <v>34</v>
      </c>
      <c r="E112" t="str">
        <f>"+"&amp;'2021_Downloadtabelle_5-3-2'!J15</f>
        <v>+8,2</v>
      </c>
    </row>
    <row r="113" spans="1:5" x14ac:dyDescent="0.25">
      <c r="A113" s="97" t="s">
        <v>41</v>
      </c>
      <c r="B113" s="116" t="s">
        <v>31</v>
      </c>
      <c r="C113" t="str">
        <f>'2021_Downloadtabelle_5-3-2'!$D$7</f>
        <v>Männer</v>
      </c>
      <c r="D113" t="s">
        <v>34</v>
      </c>
      <c r="E113" t="str">
        <f>"+"&amp;'2021_Downloadtabelle_5-3-2'!J16</f>
        <v>+7,8</v>
      </c>
    </row>
    <row r="114" spans="1:5" x14ac:dyDescent="0.25">
      <c r="A114" s="97" t="s">
        <v>42</v>
      </c>
      <c r="B114" s="116" t="s">
        <v>31</v>
      </c>
      <c r="C114" t="str">
        <f>'2021_Downloadtabelle_5-3-2'!$D$7</f>
        <v>Männer</v>
      </c>
      <c r="D114" t="s">
        <v>34</v>
      </c>
      <c r="E114" t="str">
        <f>"+"&amp;'2021_Downloadtabelle_5-3-2'!J17</f>
        <v>+7,8</v>
      </c>
    </row>
    <row r="115" spans="1:5" x14ac:dyDescent="0.25">
      <c r="A115" s="97" t="s">
        <v>43</v>
      </c>
      <c r="B115" s="116" t="s">
        <v>31</v>
      </c>
      <c r="C115" t="str">
        <f>'2021_Downloadtabelle_5-3-2'!$D$7</f>
        <v>Männer</v>
      </c>
      <c r="D115" t="s">
        <v>34</v>
      </c>
      <c r="E115" t="str">
        <f>"+"&amp;'2021_Downloadtabelle_5-3-2'!J18</f>
        <v>+8,4</v>
      </c>
    </row>
    <row r="116" spans="1:5" x14ac:dyDescent="0.25">
      <c r="A116" s="97" t="s">
        <v>44</v>
      </c>
      <c r="B116" s="116" t="s">
        <v>31</v>
      </c>
      <c r="C116" t="str">
        <f>'2021_Downloadtabelle_5-3-2'!$D$7</f>
        <v>Männer</v>
      </c>
      <c r="D116" t="s">
        <v>34</v>
      </c>
      <c r="E116" t="str">
        <f>"+"&amp;'2021_Downloadtabelle_5-3-2'!J19</f>
        <v>+11,3</v>
      </c>
    </row>
    <row r="117" spans="1:5" x14ac:dyDescent="0.25">
      <c r="A117" s="97" t="s">
        <v>45</v>
      </c>
      <c r="B117" s="116" t="s">
        <v>31</v>
      </c>
      <c r="C117" t="str">
        <f>'2021_Downloadtabelle_5-3-2'!$D$7</f>
        <v>Männer</v>
      </c>
      <c r="D117" t="s">
        <v>34</v>
      </c>
      <c r="E117" t="str">
        <f>"+"&amp;'2021_Downloadtabelle_5-3-2'!J20</f>
        <v>+10,5</v>
      </c>
    </row>
    <row r="118" spans="1:5" x14ac:dyDescent="0.25">
      <c r="A118" s="97" t="s">
        <v>48</v>
      </c>
      <c r="B118" s="116" t="s">
        <v>31</v>
      </c>
      <c r="C118" t="str">
        <f>'2021_Downloadtabelle_5-3-2'!$D$7</f>
        <v>Männer</v>
      </c>
      <c r="D118" t="s">
        <v>34</v>
      </c>
      <c r="E118" t="str">
        <f>"+"&amp;'2021_Downloadtabelle_5-3-2'!J21</f>
        <v>+8,8</v>
      </c>
    </row>
    <row r="119" spans="1:5" x14ac:dyDescent="0.25">
      <c r="A119" s="97" t="s">
        <v>49</v>
      </c>
      <c r="B119" s="116" t="s">
        <v>31</v>
      </c>
      <c r="C119" t="str">
        <f>'2021_Downloadtabelle_5-3-2'!$D$7</f>
        <v>Männer</v>
      </c>
      <c r="D119" t="s">
        <v>34</v>
      </c>
      <c r="E119" t="str">
        <f>"+"&amp;'2021_Downloadtabelle_5-3-2'!J22</f>
        <v>+8,1</v>
      </c>
    </row>
    <row r="120" spans="1:5" x14ac:dyDescent="0.25">
      <c r="A120" s="97" t="s">
        <v>66</v>
      </c>
      <c r="B120" s="116" t="s">
        <v>31</v>
      </c>
      <c r="C120" t="str">
        <f>'2021_Downloadtabelle_5-3-2'!$D$7</f>
        <v>Männer</v>
      </c>
      <c r="D120" t="s">
        <v>34</v>
      </c>
      <c r="E120" t="str">
        <f>"+"&amp;'2021_Downloadtabelle_5-3-2'!J23</f>
        <v>+9,9</v>
      </c>
    </row>
    <row r="121" spans="1:5" x14ac:dyDescent="0.25">
      <c r="A121" s="97" t="s">
        <v>69</v>
      </c>
      <c r="B121" s="116" t="s">
        <v>31</v>
      </c>
      <c r="C121" t="str">
        <f>'2021_Downloadtabelle_5-3-2'!$D$7</f>
        <v>Männer</v>
      </c>
      <c r="D121" t="s">
        <v>34</v>
      </c>
      <c r="E121" t="str">
        <f>"+"&amp;'2021_Downloadtabelle_5-3-2'!J24</f>
        <v>+7,9</v>
      </c>
    </row>
    <row r="122" spans="1:5" x14ac:dyDescent="0.25">
      <c r="A122" s="97" t="s">
        <v>35</v>
      </c>
      <c r="B122" s="116" t="s">
        <v>31</v>
      </c>
      <c r="C122" t="str">
        <f>'2021_Downloadtabelle_5-3-2'!$E$7</f>
        <v>Frauen</v>
      </c>
      <c r="D122" t="s">
        <v>34</v>
      </c>
      <c r="E122" t="str">
        <f>"+"&amp;'2021_Downloadtabelle_5-3-2'!K10</f>
        <v>+14,9</v>
      </c>
    </row>
    <row r="123" spans="1:5" x14ac:dyDescent="0.25">
      <c r="A123" s="97" t="s">
        <v>36</v>
      </c>
      <c r="B123" s="116" t="s">
        <v>31</v>
      </c>
      <c r="C123" t="str">
        <f>'2021_Downloadtabelle_5-3-2'!$E$7</f>
        <v>Frauen</v>
      </c>
      <c r="D123" t="s">
        <v>34</v>
      </c>
      <c r="E123" t="str">
        <f>"+"&amp;'2021_Downloadtabelle_5-3-2'!K11</f>
        <v>+15,4</v>
      </c>
    </row>
    <row r="124" spans="1:5" x14ac:dyDescent="0.25">
      <c r="A124" s="97" t="s">
        <v>37</v>
      </c>
      <c r="B124" s="116" t="s">
        <v>31</v>
      </c>
      <c r="C124" t="str">
        <f>'2021_Downloadtabelle_5-3-2'!$E$7</f>
        <v>Frauen</v>
      </c>
      <c r="D124" t="s">
        <v>34</v>
      </c>
      <c r="E124" t="str">
        <f>"+"&amp;'2021_Downloadtabelle_5-3-2'!K12</f>
        <v>+13,8</v>
      </c>
    </row>
    <row r="125" spans="1:5" x14ac:dyDescent="0.25">
      <c r="A125" s="97" t="s">
        <v>38</v>
      </c>
      <c r="B125" s="116" t="s">
        <v>31</v>
      </c>
      <c r="C125" t="str">
        <f>'2021_Downloadtabelle_5-3-2'!$E$7</f>
        <v>Frauen</v>
      </c>
      <c r="D125" t="s">
        <v>34</v>
      </c>
      <c r="E125" t="str">
        <f>"+"&amp;'2021_Downloadtabelle_5-3-2'!K13</f>
        <v>+13</v>
      </c>
    </row>
    <row r="126" spans="1:5" x14ac:dyDescent="0.25">
      <c r="A126" s="97" t="s">
        <v>39</v>
      </c>
      <c r="B126" s="116" t="s">
        <v>31</v>
      </c>
      <c r="C126" t="str">
        <f>'2021_Downloadtabelle_5-3-2'!$E$7</f>
        <v>Frauen</v>
      </c>
      <c r="D126" t="s">
        <v>34</v>
      </c>
      <c r="E126" t="str">
        <f>"+"&amp;'2021_Downloadtabelle_5-3-2'!K14</f>
        <v>+12,6</v>
      </c>
    </row>
    <row r="127" spans="1:5" x14ac:dyDescent="0.25">
      <c r="A127" s="97" t="s">
        <v>40</v>
      </c>
      <c r="B127" s="116" t="s">
        <v>31</v>
      </c>
      <c r="C127" t="str">
        <f>'2021_Downloadtabelle_5-3-2'!$E$7</f>
        <v>Frauen</v>
      </c>
      <c r="D127" t="s">
        <v>34</v>
      </c>
      <c r="E127" t="str">
        <f>"+"&amp;'2021_Downloadtabelle_5-3-2'!K15</f>
        <v>+11,9</v>
      </c>
    </row>
    <row r="128" spans="1:5" x14ac:dyDescent="0.25">
      <c r="A128" s="97" t="s">
        <v>41</v>
      </c>
      <c r="B128" s="116" t="s">
        <v>31</v>
      </c>
      <c r="C128" t="str">
        <f>'2021_Downloadtabelle_5-3-2'!$E$7</f>
        <v>Frauen</v>
      </c>
      <c r="D128" t="s">
        <v>34</v>
      </c>
      <c r="E128" t="str">
        <f>"+"&amp;'2021_Downloadtabelle_5-3-2'!K16</f>
        <v>+11,6</v>
      </c>
    </row>
    <row r="129" spans="1:5" x14ac:dyDescent="0.25">
      <c r="A129" s="97" t="s">
        <v>42</v>
      </c>
      <c r="B129" s="116" t="s">
        <v>31</v>
      </c>
      <c r="C129" t="str">
        <f>'2021_Downloadtabelle_5-3-2'!$E$7</f>
        <v>Frauen</v>
      </c>
      <c r="D129" t="s">
        <v>34</v>
      </c>
      <c r="E129" t="str">
        <f>"+"&amp;'2021_Downloadtabelle_5-3-2'!K17</f>
        <v>+12,2</v>
      </c>
    </row>
    <row r="130" spans="1:5" x14ac:dyDescent="0.25">
      <c r="A130" s="97" t="s">
        <v>43</v>
      </c>
      <c r="B130" s="116" t="s">
        <v>31</v>
      </c>
      <c r="C130" t="str">
        <f>'2021_Downloadtabelle_5-3-2'!$E$7</f>
        <v>Frauen</v>
      </c>
      <c r="D130" t="s">
        <v>34</v>
      </c>
      <c r="E130" t="str">
        <f>"+"&amp;'2021_Downloadtabelle_5-3-2'!K18</f>
        <v>+13,3</v>
      </c>
    </row>
    <row r="131" spans="1:5" x14ac:dyDescent="0.25">
      <c r="A131" s="97" t="s">
        <v>44</v>
      </c>
      <c r="B131" s="116" t="s">
        <v>31</v>
      </c>
      <c r="C131" t="str">
        <f>'2021_Downloadtabelle_5-3-2'!$E$7</f>
        <v>Frauen</v>
      </c>
      <c r="D131" t="s">
        <v>34</v>
      </c>
      <c r="E131" t="str">
        <f>"+"&amp;'2021_Downloadtabelle_5-3-2'!K19</f>
        <v>+13,7</v>
      </c>
    </row>
    <row r="132" spans="1:5" x14ac:dyDescent="0.25">
      <c r="A132" s="97" t="s">
        <v>45</v>
      </c>
      <c r="B132" s="116" t="s">
        <v>31</v>
      </c>
      <c r="C132" t="str">
        <f>'2021_Downloadtabelle_5-3-2'!$E$7</f>
        <v>Frauen</v>
      </c>
      <c r="D132" t="s">
        <v>34</v>
      </c>
      <c r="E132" t="str">
        <f>"+"&amp;'2021_Downloadtabelle_5-3-2'!K20</f>
        <v>+14,3</v>
      </c>
    </row>
    <row r="133" spans="1:5" x14ac:dyDescent="0.25">
      <c r="A133" s="97" t="s">
        <v>48</v>
      </c>
      <c r="B133" s="116" t="s">
        <v>31</v>
      </c>
      <c r="C133" t="str">
        <f>'2021_Downloadtabelle_5-3-2'!$E$7</f>
        <v>Frauen</v>
      </c>
      <c r="D133" t="s">
        <v>34</v>
      </c>
      <c r="E133" t="str">
        <f>"+"&amp;'2021_Downloadtabelle_5-3-2'!K21</f>
        <v>+12,9</v>
      </c>
    </row>
    <row r="134" spans="1:5" x14ac:dyDescent="0.25">
      <c r="A134" s="97" t="s">
        <v>49</v>
      </c>
      <c r="B134" s="116" t="s">
        <v>31</v>
      </c>
      <c r="C134" t="str">
        <f>'2021_Downloadtabelle_5-3-2'!$E$7</f>
        <v>Frauen</v>
      </c>
      <c r="D134" t="s">
        <v>34</v>
      </c>
      <c r="E134" t="str">
        <f>"+"&amp;'2021_Downloadtabelle_5-3-2'!K22</f>
        <v>+12,5</v>
      </c>
    </row>
    <row r="135" spans="1:5" x14ac:dyDescent="0.25">
      <c r="A135" s="97" t="s">
        <v>66</v>
      </c>
      <c r="B135" s="116" t="s">
        <v>31</v>
      </c>
      <c r="C135" t="str">
        <f>'2021_Downloadtabelle_5-3-2'!$E$7</f>
        <v>Frauen</v>
      </c>
      <c r="D135" t="s">
        <v>34</v>
      </c>
      <c r="E135" t="str">
        <f>"+"&amp;'2021_Downloadtabelle_5-3-2'!K23</f>
        <v>+14,7</v>
      </c>
    </row>
    <row r="136" spans="1:5" x14ac:dyDescent="0.25">
      <c r="A136" s="97" t="s">
        <v>69</v>
      </c>
      <c r="B136" s="116" t="s">
        <v>31</v>
      </c>
      <c r="C136" t="str">
        <f>'2021_Downloadtabelle_5-3-2'!$E$7</f>
        <v>Frauen</v>
      </c>
      <c r="D136" t="s">
        <v>34</v>
      </c>
      <c r="E136" t="str">
        <f>"+"&amp;'2021_Downloadtabelle_5-3-2'!K24</f>
        <v>+13,7</v>
      </c>
    </row>
    <row r="137" spans="1:5" hidden="1" x14ac:dyDescent="0.25">
      <c r="A137" s="97" t="s">
        <v>35</v>
      </c>
      <c r="B137" s="116" t="s">
        <v>47</v>
      </c>
      <c r="C137" t="str">
        <f>'2021_Downloadtabelle_5-3-2'!$C$7</f>
        <v>Insgesamt</v>
      </c>
      <c r="D137" t="s">
        <v>82</v>
      </c>
      <c r="E137">
        <f>'2021_Downloadtabelle_5-3-2'!L10</f>
        <v>7.9</v>
      </c>
    </row>
    <row r="138" spans="1:5" hidden="1" x14ac:dyDescent="0.25">
      <c r="A138" s="97" t="s">
        <v>36</v>
      </c>
      <c r="B138" s="116" t="s">
        <v>47</v>
      </c>
      <c r="C138" t="str">
        <f>'2021_Downloadtabelle_5-3-2'!$C$7</f>
        <v>Insgesamt</v>
      </c>
      <c r="D138" t="s">
        <v>82</v>
      </c>
      <c r="E138">
        <f>'2021_Downloadtabelle_5-3-2'!L11</f>
        <v>6.3</v>
      </c>
    </row>
    <row r="139" spans="1:5" hidden="1" x14ac:dyDescent="0.25">
      <c r="A139" s="97" t="s">
        <v>37</v>
      </c>
      <c r="B139" s="116" t="s">
        <v>47</v>
      </c>
      <c r="C139" t="str">
        <f>'2021_Downloadtabelle_5-3-2'!$C$7</f>
        <v>Insgesamt</v>
      </c>
      <c r="D139" t="s">
        <v>82</v>
      </c>
      <c r="E139">
        <f>'2021_Downloadtabelle_5-3-2'!L12</f>
        <v>7.4</v>
      </c>
    </row>
    <row r="140" spans="1:5" hidden="1" x14ac:dyDescent="0.25">
      <c r="A140" s="97" t="s">
        <v>38</v>
      </c>
      <c r="B140" s="116" t="s">
        <v>47</v>
      </c>
      <c r="C140" t="str">
        <f>'2021_Downloadtabelle_5-3-2'!$C$7</f>
        <v>Insgesamt</v>
      </c>
      <c r="D140" t="s">
        <v>82</v>
      </c>
      <c r="E140">
        <f>'2021_Downloadtabelle_5-3-2'!L13</f>
        <v>6.6</v>
      </c>
    </row>
    <row r="141" spans="1:5" hidden="1" x14ac:dyDescent="0.25">
      <c r="A141" s="97" t="s">
        <v>39</v>
      </c>
      <c r="B141" s="116" t="s">
        <v>47</v>
      </c>
      <c r="C141" t="str">
        <f>'2021_Downloadtabelle_5-3-2'!$C$7</f>
        <v>Insgesamt</v>
      </c>
      <c r="D141" t="s">
        <v>82</v>
      </c>
      <c r="E141">
        <f>'2021_Downloadtabelle_5-3-2'!L14</f>
        <v>5.4</v>
      </c>
    </row>
    <row r="142" spans="1:5" hidden="1" x14ac:dyDescent="0.25">
      <c r="A142" s="97" t="s">
        <v>40</v>
      </c>
      <c r="B142" s="116" t="s">
        <v>47</v>
      </c>
      <c r="C142" t="str">
        <f>'2021_Downloadtabelle_5-3-2'!$C$7</f>
        <v>Insgesamt</v>
      </c>
      <c r="D142" t="s">
        <v>82</v>
      </c>
      <c r="E142">
        <f>'2021_Downloadtabelle_5-3-2'!L15</f>
        <v>5.2</v>
      </c>
    </row>
    <row r="143" spans="1:5" hidden="1" x14ac:dyDescent="0.25">
      <c r="A143" s="97" t="s">
        <v>41</v>
      </c>
      <c r="B143" s="116" t="s">
        <v>47</v>
      </c>
      <c r="C143" t="str">
        <f>'2021_Downloadtabelle_5-3-2'!$C$7</f>
        <v>Insgesamt</v>
      </c>
      <c r="D143" t="s">
        <v>82</v>
      </c>
      <c r="E143">
        <f>'2021_Downloadtabelle_5-3-2'!L16</f>
        <v>5.7</v>
      </c>
    </row>
    <row r="144" spans="1:5" hidden="1" x14ac:dyDescent="0.25">
      <c r="A144" s="97" t="s">
        <v>42</v>
      </c>
      <c r="B144" s="116" t="s">
        <v>47</v>
      </c>
      <c r="C144" t="str">
        <f>'2021_Downloadtabelle_5-3-2'!$C$7</f>
        <v>Insgesamt</v>
      </c>
      <c r="D144" t="s">
        <v>82</v>
      </c>
      <c r="E144">
        <f>'2021_Downloadtabelle_5-3-2'!L17</f>
        <v>5.3</v>
      </c>
    </row>
    <row r="145" spans="1:5" hidden="1" x14ac:dyDescent="0.25">
      <c r="A145" s="97" t="s">
        <v>43</v>
      </c>
      <c r="B145" s="116" t="s">
        <v>47</v>
      </c>
      <c r="C145" t="str">
        <f>'2021_Downloadtabelle_5-3-2'!$C$7</f>
        <v>Insgesamt</v>
      </c>
      <c r="D145" t="s">
        <v>82</v>
      </c>
      <c r="E145">
        <f>'2021_Downloadtabelle_5-3-2'!L18</f>
        <v>4.8</v>
      </c>
    </row>
    <row r="146" spans="1:5" hidden="1" x14ac:dyDescent="0.25">
      <c r="A146" s="97" t="s">
        <v>44</v>
      </c>
      <c r="B146" s="116" t="s">
        <v>47</v>
      </c>
      <c r="C146" t="str">
        <f>'2021_Downloadtabelle_5-3-2'!$C$7</f>
        <v>Insgesamt</v>
      </c>
      <c r="D146" t="s">
        <v>82</v>
      </c>
      <c r="E146">
        <f>'2021_Downloadtabelle_5-3-2'!L19</f>
        <v>5.6</v>
      </c>
    </row>
    <row r="147" spans="1:5" hidden="1" x14ac:dyDescent="0.25">
      <c r="A147" s="97" t="s">
        <v>45</v>
      </c>
      <c r="B147" s="116" t="s">
        <v>47</v>
      </c>
      <c r="C147" t="str">
        <f>'2021_Downloadtabelle_5-3-2'!$C$7</f>
        <v>Insgesamt</v>
      </c>
      <c r="D147" t="s">
        <v>82</v>
      </c>
      <c r="E147">
        <f>'2021_Downloadtabelle_5-3-2'!L20</f>
        <v>5.3</v>
      </c>
    </row>
    <row r="148" spans="1:5" hidden="1" x14ac:dyDescent="0.25">
      <c r="A148" s="97" t="s">
        <v>48</v>
      </c>
      <c r="B148" s="116" t="s">
        <v>47</v>
      </c>
      <c r="C148" t="str">
        <f>'2021_Downloadtabelle_5-3-2'!$C$7</f>
        <v>Insgesamt</v>
      </c>
      <c r="D148" t="s">
        <v>82</v>
      </c>
      <c r="E148">
        <f>'2021_Downloadtabelle_5-3-2'!L21</f>
        <v>4.7</v>
      </c>
    </row>
    <row r="149" spans="1:5" hidden="1" x14ac:dyDescent="0.25">
      <c r="A149" s="97" t="s">
        <v>49</v>
      </c>
      <c r="B149" s="116" t="s">
        <v>47</v>
      </c>
      <c r="C149" t="str">
        <f>'2021_Downloadtabelle_5-3-2'!$C$7</f>
        <v>Insgesamt</v>
      </c>
      <c r="D149" t="s">
        <v>82</v>
      </c>
      <c r="E149">
        <f>'2021_Downloadtabelle_5-3-2'!L22</f>
        <v>4.4000000000000004</v>
      </c>
    </row>
    <row r="150" spans="1:5" hidden="1" x14ac:dyDescent="0.25">
      <c r="A150" s="97" t="s">
        <v>66</v>
      </c>
      <c r="B150" s="116" t="s">
        <v>47</v>
      </c>
      <c r="C150" t="str">
        <f>'2021_Downloadtabelle_5-3-2'!$C$7</f>
        <v>Insgesamt</v>
      </c>
      <c r="D150" t="s">
        <v>82</v>
      </c>
      <c r="E150">
        <f>'2021_Downloadtabelle_5-3-2'!L23</f>
        <v>6</v>
      </c>
    </row>
    <row r="151" spans="1:5" hidden="1" x14ac:dyDescent="0.25">
      <c r="A151" s="97" t="s">
        <v>69</v>
      </c>
      <c r="B151" s="116" t="s">
        <v>47</v>
      </c>
      <c r="C151" t="str">
        <f>'2021_Downloadtabelle_5-3-2'!$C$7</f>
        <v>Insgesamt</v>
      </c>
      <c r="D151" t="s">
        <v>82</v>
      </c>
      <c r="E151">
        <f>'2021_Downloadtabelle_5-3-2'!L24</f>
        <v>4.7</v>
      </c>
    </row>
    <row r="152" spans="1:5" hidden="1" x14ac:dyDescent="0.25">
      <c r="A152" s="97" t="s">
        <v>35</v>
      </c>
      <c r="B152" s="116" t="s">
        <v>47</v>
      </c>
      <c r="C152" t="str">
        <f>'2021_Downloadtabelle_5-3-2'!$M$7</f>
        <v>15 bis unter 20 Jahre</v>
      </c>
      <c r="D152" t="s">
        <v>82</v>
      </c>
      <c r="E152">
        <f>'2021_Downloadtabelle_5-3-2'!M10</f>
        <v>4.7</v>
      </c>
    </row>
    <row r="153" spans="1:5" hidden="1" x14ac:dyDescent="0.25">
      <c r="A153" s="97" t="s">
        <v>36</v>
      </c>
      <c r="B153" s="116" t="s">
        <v>47</v>
      </c>
      <c r="C153" t="str">
        <f>'2021_Downloadtabelle_5-3-2'!$M$7</f>
        <v>15 bis unter 20 Jahre</v>
      </c>
      <c r="D153" t="s">
        <v>82</v>
      </c>
      <c r="E153">
        <f>'2021_Downloadtabelle_5-3-2'!M11</f>
        <v>3.5</v>
      </c>
    </row>
    <row r="154" spans="1:5" hidden="1" x14ac:dyDescent="0.25">
      <c r="A154" s="97" t="s">
        <v>37</v>
      </c>
      <c r="B154" s="116" t="s">
        <v>47</v>
      </c>
      <c r="C154" t="str">
        <f>'2021_Downloadtabelle_5-3-2'!$M$7</f>
        <v>15 bis unter 20 Jahre</v>
      </c>
      <c r="D154" t="s">
        <v>82</v>
      </c>
      <c r="E154">
        <f>'2021_Downloadtabelle_5-3-2'!M12</f>
        <v>3.7</v>
      </c>
    </row>
    <row r="155" spans="1:5" hidden="1" x14ac:dyDescent="0.25">
      <c r="A155" s="97" t="s">
        <v>38</v>
      </c>
      <c r="B155" s="116" t="s">
        <v>47</v>
      </c>
      <c r="C155" t="str">
        <f>'2021_Downloadtabelle_5-3-2'!$M$7</f>
        <v>15 bis unter 20 Jahre</v>
      </c>
      <c r="D155" t="s">
        <v>82</v>
      </c>
      <c r="E155">
        <f>'2021_Downloadtabelle_5-3-2'!M13</f>
        <v>3.5</v>
      </c>
    </row>
    <row r="156" spans="1:5" hidden="1" x14ac:dyDescent="0.25">
      <c r="A156" s="97" t="s">
        <v>39</v>
      </c>
      <c r="B156" s="116" t="s">
        <v>47</v>
      </c>
      <c r="C156" t="str">
        <f>'2021_Downloadtabelle_5-3-2'!$M$7</f>
        <v>15 bis unter 20 Jahre</v>
      </c>
      <c r="D156" t="s">
        <v>82</v>
      </c>
      <c r="E156">
        <f>'2021_Downloadtabelle_5-3-2'!M14</f>
        <v>2.9</v>
      </c>
    </row>
    <row r="157" spans="1:5" hidden="1" x14ac:dyDescent="0.25">
      <c r="A157" s="97" t="s">
        <v>40</v>
      </c>
      <c r="B157" s="116" t="s">
        <v>47</v>
      </c>
      <c r="C157" t="str">
        <f>'2021_Downloadtabelle_5-3-2'!$M$7</f>
        <v>15 bis unter 20 Jahre</v>
      </c>
      <c r="D157" t="s">
        <v>82</v>
      </c>
      <c r="E157">
        <f>'2021_Downloadtabelle_5-3-2'!M15</f>
        <v>3</v>
      </c>
    </row>
    <row r="158" spans="1:5" hidden="1" x14ac:dyDescent="0.25">
      <c r="A158" s="97" t="s">
        <v>41</v>
      </c>
      <c r="B158" s="116" t="s">
        <v>47</v>
      </c>
      <c r="C158" t="str">
        <f>'2021_Downloadtabelle_5-3-2'!$M$7</f>
        <v>15 bis unter 20 Jahre</v>
      </c>
      <c r="D158" t="s">
        <v>82</v>
      </c>
      <c r="E158">
        <f>'2021_Downloadtabelle_5-3-2'!M16</f>
        <v>3.1</v>
      </c>
    </row>
    <row r="159" spans="1:5" hidden="1" x14ac:dyDescent="0.25">
      <c r="A159" s="97" t="s">
        <v>42</v>
      </c>
      <c r="B159" s="116" t="s">
        <v>47</v>
      </c>
      <c r="C159" t="str">
        <f>'2021_Downloadtabelle_5-3-2'!$M$7</f>
        <v>15 bis unter 20 Jahre</v>
      </c>
      <c r="D159" t="s">
        <v>82</v>
      </c>
      <c r="E159">
        <f>'2021_Downloadtabelle_5-3-2'!M17</f>
        <v>3</v>
      </c>
    </row>
    <row r="160" spans="1:5" hidden="1" x14ac:dyDescent="0.25">
      <c r="A160" s="97" t="s">
        <v>43</v>
      </c>
      <c r="B160" s="116" t="s">
        <v>47</v>
      </c>
      <c r="C160" t="str">
        <f>'2021_Downloadtabelle_5-3-2'!$M$7</f>
        <v>15 bis unter 20 Jahre</v>
      </c>
      <c r="D160" t="s">
        <v>82</v>
      </c>
      <c r="E160">
        <f>'2021_Downloadtabelle_5-3-2'!M18</f>
        <v>2.9</v>
      </c>
    </row>
    <row r="161" spans="1:5" hidden="1" x14ac:dyDescent="0.25">
      <c r="A161" s="97" t="s">
        <v>44</v>
      </c>
      <c r="B161" s="116" t="s">
        <v>47</v>
      </c>
      <c r="C161" t="str">
        <f>'2021_Downloadtabelle_5-3-2'!$M$7</f>
        <v>15 bis unter 20 Jahre</v>
      </c>
      <c r="D161" t="s">
        <v>82</v>
      </c>
      <c r="E161">
        <f>'2021_Downloadtabelle_5-3-2'!M19</f>
        <v>3.4</v>
      </c>
    </row>
    <row r="162" spans="1:5" hidden="1" x14ac:dyDescent="0.25">
      <c r="A162" s="97" t="s">
        <v>45</v>
      </c>
      <c r="B162" s="116" t="s">
        <v>47</v>
      </c>
      <c r="C162" t="str">
        <f>'2021_Downloadtabelle_5-3-2'!$M$7</f>
        <v>15 bis unter 20 Jahre</v>
      </c>
      <c r="D162" t="s">
        <v>82</v>
      </c>
      <c r="E162">
        <f>'2021_Downloadtabelle_5-3-2'!M20</f>
        <v>3.1</v>
      </c>
    </row>
    <row r="163" spans="1:5" hidden="1" x14ac:dyDescent="0.25">
      <c r="A163" s="97" t="s">
        <v>48</v>
      </c>
      <c r="B163" s="116" t="s">
        <v>47</v>
      </c>
      <c r="C163" t="str">
        <f>'2021_Downloadtabelle_5-3-2'!$M$7</f>
        <v>15 bis unter 20 Jahre</v>
      </c>
      <c r="D163" t="s">
        <v>82</v>
      </c>
      <c r="E163">
        <f>'2021_Downloadtabelle_5-3-2'!M21</f>
        <v>2.9</v>
      </c>
    </row>
    <row r="164" spans="1:5" hidden="1" x14ac:dyDescent="0.25">
      <c r="A164" s="97" t="s">
        <v>49</v>
      </c>
      <c r="B164" s="116" t="s">
        <v>47</v>
      </c>
      <c r="C164" t="str">
        <f>'2021_Downloadtabelle_5-3-2'!$M$7</f>
        <v>15 bis unter 20 Jahre</v>
      </c>
      <c r="D164" t="s">
        <v>82</v>
      </c>
      <c r="E164">
        <f>'2021_Downloadtabelle_5-3-2'!M22</f>
        <v>2.6</v>
      </c>
    </row>
    <row r="165" spans="1:5" hidden="1" x14ac:dyDescent="0.25">
      <c r="A165" s="97" t="s">
        <v>66</v>
      </c>
      <c r="B165" s="116" t="s">
        <v>47</v>
      </c>
      <c r="C165" t="str">
        <f>'2021_Downloadtabelle_5-3-2'!$M$7</f>
        <v>15 bis unter 20 Jahre</v>
      </c>
      <c r="D165" t="s">
        <v>82</v>
      </c>
      <c r="E165">
        <f>'2021_Downloadtabelle_5-3-2'!M23</f>
        <v>3.4</v>
      </c>
    </row>
    <row r="166" spans="1:5" hidden="1" x14ac:dyDescent="0.25">
      <c r="A166" s="97" t="s">
        <v>69</v>
      </c>
      <c r="B166" s="116" t="s">
        <v>47</v>
      </c>
      <c r="C166" t="str">
        <f>'2021_Downloadtabelle_5-3-2'!$M$7</f>
        <v>15 bis unter 20 Jahre</v>
      </c>
      <c r="D166" t="s">
        <v>82</v>
      </c>
      <c r="E166">
        <f>'2021_Downloadtabelle_5-3-2'!M24</f>
        <v>2.7</v>
      </c>
    </row>
    <row r="167" spans="1:5" hidden="1" x14ac:dyDescent="0.25">
      <c r="A167" s="97" t="s">
        <v>35</v>
      </c>
      <c r="B167" s="116" t="s">
        <v>47</v>
      </c>
      <c r="C167" t="str">
        <f>'2021_Downloadtabelle_5-3-2'!$N$7</f>
        <v>20 bis unter 25 Jahre</v>
      </c>
      <c r="D167" t="s">
        <v>82</v>
      </c>
      <c r="E167">
        <f>'2021_Downloadtabelle_5-3-2'!N10</f>
        <v>9.3000000000000007</v>
      </c>
    </row>
    <row r="168" spans="1:5" hidden="1" x14ac:dyDescent="0.25">
      <c r="A168" s="97" t="s">
        <v>36</v>
      </c>
      <c r="B168" s="116" t="s">
        <v>47</v>
      </c>
      <c r="C168" t="str">
        <f>'2021_Downloadtabelle_5-3-2'!$N$7</f>
        <v>20 bis unter 25 Jahre</v>
      </c>
      <c r="D168" t="s">
        <v>82</v>
      </c>
      <c r="E168">
        <f>'2021_Downloadtabelle_5-3-2'!N11</f>
        <v>7.5</v>
      </c>
    </row>
    <row r="169" spans="1:5" hidden="1" x14ac:dyDescent="0.25">
      <c r="A169" s="97" t="s">
        <v>37</v>
      </c>
      <c r="B169" s="116" t="s">
        <v>47</v>
      </c>
      <c r="C169" t="str">
        <f>'2021_Downloadtabelle_5-3-2'!$N$7</f>
        <v>20 bis unter 25 Jahre</v>
      </c>
      <c r="D169" t="s">
        <v>82</v>
      </c>
      <c r="E169">
        <f>'2021_Downloadtabelle_5-3-2'!N12</f>
        <v>9</v>
      </c>
    </row>
    <row r="170" spans="1:5" hidden="1" x14ac:dyDescent="0.25">
      <c r="A170" s="97" t="s">
        <v>38</v>
      </c>
      <c r="B170" s="116" t="s">
        <v>47</v>
      </c>
      <c r="C170" t="str">
        <f>'2021_Downloadtabelle_5-3-2'!$N$7</f>
        <v>20 bis unter 25 Jahre</v>
      </c>
      <c r="D170" t="s">
        <v>82</v>
      </c>
      <c r="E170">
        <f>'2021_Downloadtabelle_5-3-2'!N13</f>
        <v>8</v>
      </c>
    </row>
    <row r="171" spans="1:5" hidden="1" x14ac:dyDescent="0.25">
      <c r="A171" s="97" t="s">
        <v>39</v>
      </c>
      <c r="B171" s="116" t="s">
        <v>47</v>
      </c>
      <c r="C171" t="str">
        <f>'2021_Downloadtabelle_5-3-2'!$N$7</f>
        <v>20 bis unter 25 Jahre</v>
      </c>
      <c r="D171" t="s">
        <v>82</v>
      </c>
      <c r="E171">
        <f>'2021_Downloadtabelle_5-3-2'!N14</f>
        <v>6.5</v>
      </c>
    </row>
    <row r="172" spans="1:5" hidden="1" x14ac:dyDescent="0.25">
      <c r="A172" s="97" t="s">
        <v>40</v>
      </c>
      <c r="B172" s="116" t="s">
        <v>47</v>
      </c>
      <c r="C172" t="str">
        <f>'2021_Downloadtabelle_5-3-2'!$N$7</f>
        <v>20 bis unter 25 Jahre</v>
      </c>
      <c r="D172" t="s">
        <v>82</v>
      </c>
      <c r="E172">
        <f>'2021_Downloadtabelle_5-3-2'!N15</f>
        <v>6.1</v>
      </c>
    </row>
    <row r="173" spans="1:5" hidden="1" x14ac:dyDescent="0.25">
      <c r="A173" s="97" t="s">
        <v>41</v>
      </c>
      <c r="B173" s="116" t="s">
        <v>47</v>
      </c>
      <c r="C173" t="str">
        <f>'2021_Downloadtabelle_5-3-2'!$N$7</f>
        <v>20 bis unter 25 Jahre</v>
      </c>
      <c r="D173" t="s">
        <v>82</v>
      </c>
      <c r="E173">
        <f>'2021_Downloadtabelle_5-3-2'!N16</f>
        <v>6.7</v>
      </c>
    </row>
    <row r="174" spans="1:5" hidden="1" x14ac:dyDescent="0.25">
      <c r="A174" s="97" t="s">
        <v>42</v>
      </c>
      <c r="B174" s="116" t="s">
        <v>47</v>
      </c>
      <c r="C174" t="str">
        <f>'2021_Downloadtabelle_5-3-2'!$N$7</f>
        <v>20 bis unter 25 Jahre</v>
      </c>
      <c r="D174" t="s">
        <v>82</v>
      </c>
      <c r="E174">
        <f>'2021_Downloadtabelle_5-3-2'!N17</f>
        <v>6.2</v>
      </c>
    </row>
    <row r="175" spans="1:5" hidden="1" x14ac:dyDescent="0.25">
      <c r="A175" s="97" t="s">
        <v>43</v>
      </c>
      <c r="B175" s="116" t="s">
        <v>47</v>
      </c>
      <c r="C175" t="str">
        <f>'2021_Downloadtabelle_5-3-2'!$N$7</f>
        <v>20 bis unter 25 Jahre</v>
      </c>
      <c r="D175" t="s">
        <v>82</v>
      </c>
      <c r="E175">
        <f>'2021_Downloadtabelle_5-3-2'!N18</f>
        <v>5.6</v>
      </c>
    </row>
    <row r="176" spans="1:5" hidden="1" x14ac:dyDescent="0.25">
      <c r="A176" s="97" t="s">
        <v>44</v>
      </c>
      <c r="B176" s="116" t="s">
        <v>47</v>
      </c>
      <c r="C176" t="str">
        <f>'2021_Downloadtabelle_5-3-2'!$N$7</f>
        <v>20 bis unter 25 Jahre</v>
      </c>
      <c r="D176" t="s">
        <v>82</v>
      </c>
      <c r="E176">
        <f>'2021_Downloadtabelle_5-3-2'!N19</f>
        <v>6.6</v>
      </c>
    </row>
    <row r="177" spans="1:5" hidden="1" x14ac:dyDescent="0.25">
      <c r="A177" s="97" t="s">
        <v>45</v>
      </c>
      <c r="B177" s="116" t="s">
        <v>47</v>
      </c>
      <c r="C177" t="str">
        <f>'2021_Downloadtabelle_5-3-2'!$N$7</f>
        <v>20 bis unter 25 Jahre</v>
      </c>
      <c r="D177" t="s">
        <v>82</v>
      </c>
      <c r="E177">
        <f>'2021_Downloadtabelle_5-3-2'!N20</f>
        <v>6.3</v>
      </c>
    </row>
    <row r="178" spans="1:5" hidden="1" x14ac:dyDescent="0.25">
      <c r="A178" s="97" t="s">
        <v>48</v>
      </c>
      <c r="B178" s="116" t="s">
        <v>47</v>
      </c>
      <c r="C178" t="str">
        <f>'2021_Downloadtabelle_5-3-2'!$N$7</f>
        <v>20 bis unter 25 Jahre</v>
      </c>
      <c r="D178" t="s">
        <v>82</v>
      </c>
      <c r="E178">
        <f>'2021_Downloadtabelle_5-3-2'!N21</f>
        <v>5.5</v>
      </c>
    </row>
    <row r="179" spans="1:5" hidden="1" x14ac:dyDescent="0.25">
      <c r="A179" s="97" t="s">
        <v>49</v>
      </c>
      <c r="B179" s="116" t="s">
        <v>47</v>
      </c>
      <c r="C179" t="str">
        <f>'2021_Downloadtabelle_5-3-2'!$N$7</f>
        <v>20 bis unter 25 Jahre</v>
      </c>
      <c r="D179" t="s">
        <v>82</v>
      </c>
      <c r="E179">
        <f>'2021_Downloadtabelle_5-3-2'!N22</f>
        <v>5.0999999999999996</v>
      </c>
    </row>
    <row r="180" spans="1:5" hidden="1" x14ac:dyDescent="0.25">
      <c r="A180" s="97" t="s">
        <v>66</v>
      </c>
      <c r="B180" s="116" t="s">
        <v>47</v>
      </c>
      <c r="C180" t="str">
        <f>'2021_Downloadtabelle_5-3-2'!$N$7</f>
        <v>20 bis unter 25 Jahre</v>
      </c>
      <c r="D180" t="s">
        <v>82</v>
      </c>
      <c r="E180">
        <f>'2021_Downloadtabelle_5-3-2'!N23</f>
        <v>7.1</v>
      </c>
    </row>
    <row r="181" spans="1:5" hidden="1" x14ac:dyDescent="0.25">
      <c r="A181" s="97" t="s">
        <v>69</v>
      </c>
      <c r="B181" s="116" t="s">
        <v>47</v>
      </c>
      <c r="C181" t="str">
        <f>'2021_Downloadtabelle_5-3-2'!$N$7</f>
        <v>20 bis unter 25 Jahre</v>
      </c>
      <c r="D181" t="s">
        <v>82</v>
      </c>
      <c r="E181">
        <f>'2021_Downloadtabelle_5-3-2'!N24</f>
        <v>5.4</v>
      </c>
    </row>
    <row r="182" spans="1:5" hidden="1" x14ac:dyDescent="0.25">
      <c r="A182" s="97" t="s">
        <v>35</v>
      </c>
      <c r="B182" s="116" t="s">
        <v>46</v>
      </c>
      <c r="C182" t="str">
        <f>'2021_Downloadtabelle_5-3-2'!$C$7</f>
        <v>Insgesamt</v>
      </c>
      <c r="D182" t="s">
        <v>82</v>
      </c>
      <c r="E182">
        <f>'2021_Downloadtabelle_5-3-2'!O10</f>
        <v>14.9</v>
      </c>
    </row>
    <row r="183" spans="1:5" hidden="1" x14ac:dyDescent="0.25">
      <c r="A183" s="97" t="s">
        <v>36</v>
      </c>
      <c r="B183" s="116" t="s">
        <v>46</v>
      </c>
      <c r="C183" t="str">
        <f>'2021_Downloadtabelle_5-3-2'!$C$7</f>
        <v>Insgesamt</v>
      </c>
      <c r="D183" t="s">
        <v>82</v>
      </c>
      <c r="E183">
        <f>'2021_Downloadtabelle_5-3-2'!O11</f>
        <v>13.1</v>
      </c>
    </row>
    <row r="184" spans="1:5" hidden="1" x14ac:dyDescent="0.25">
      <c r="A184" s="97" t="s">
        <v>37</v>
      </c>
      <c r="B184" s="116" t="s">
        <v>46</v>
      </c>
      <c r="C184" t="str">
        <f>'2021_Downloadtabelle_5-3-2'!$C$7</f>
        <v>Insgesamt</v>
      </c>
      <c r="D184" t="s">
        <v>82</v>
      </c>
      <c r="E184">
        <f>'2021_Downloadtabelle_5-3-2'!O12</f>
        <v>13.6</v>
      </c>
    </row>
    <row r="185" spans="1:5" hidden="1" x14ac:dyDescent="0.25">
      <c r="A185" s="97" t="s">
        <v>38</v>
      </c>
      <c r="B185" s="116" t="s">
        <v>46</v>
      </c>
      <c r="C185" t="str">
        <f>'2021_Downloadtabelle_5-3-2'!$C$7</f>
        <v>Insgesamt</v>
      </c>
      <c r="D185" t="s">
        <v>82</v>
      </c>
      <c r="E185">
        <f>'2021_Downloadtabelle_5-3-2'!O13</f>
        <v>12.6</v>
      </c>
    </row>
    <row r="186" spans="1:5" hidden="1" x14ac:dyDescent="0.25">
      <c r="A186" s="97" t="s">
        <v>39</v>
      </c>
      <c r="B186" s="116" t="s">
        <v>46</v>
      </c>
      <c r="C186" t="str">
        <f>'2021_Downloadtabelle_5-3-2'!$C$7</f>
        <v>Insgesamt</v>
      </c>
      <c r="D186" t="s">
        <v>82</v>
      </c>
      <c r="E186">
        <f>'2021_Downloadtabelle_5-3-2'!O14</f>
        <v>11.7</v>
      </c>
    </row>
    <row r="187" spans="1:5" hidden="1" x14ac:dyDescent="0.25">
      <c r="A187" s="97" t="s">
        <v>40</v>
      </c>
      <c r="B187" s="116" t="s">
        <v>46</v>
      </c>
      <c r="C187" t="str">
        <f>'2021_Downloadtabelle_5-3-2'!$C$7</f>
        <v>Insgesamt</v>
      </c>
      <c r="D187" t="s">
        <v>82</v>
      </c>
      <c r="E187">
        <f>'2021_Downloadtabelle_5-3-2'!O15</f>
        <v>10.9</v>
      </c>
    </row>
    <row r="188" spans="1:5" hidden="1" x14ac:dyDescent="0.25">
      <c r="A188" s="97" t="s">
        <v>41</v>
      </c>
      <c r="B188" s="116" t="s">
        <v>46</v>
      </c>
      <c r="C188" t="str">
        <f>'2021_Downloadtabelle_5-3-2'!$C$7</f>
        <v>Insgesamt</v>
      </c>
      <c r="D188" t="s">
        <v>82</v>
      </c>
      <c r="E188">
        <f>'2021_Downloadtabelle_5-3-2'!O16</f>
        <v>11</v>
      </c>
    </row>
    <row r="189" spans="1:5" hidden="1" x14ac:dyDescent="0.25">
      <c r="A189" s="97" t="s">
        <v>42</v>
      </c>
      <c r="B189" s="116" t="s">
        <v>46</v>
      </c>
      <c r="C189" t="str">
        <f>'2021_Downloadtabelle_5-3-2'!$C$7</f>
        <v>Insgesamt</v>
      </c>
      <c r="D189" t="s">
        <v>82</v>
      </c>
      <c r="E189">
        <f>'2021_Downloadtabelle_5-3-2'!O17</f>
        <v>11.7</v>
      </c>
    </row>
    <row r="190" spans="1:5" hidden="1" x14ac:dyDescent="0.25">
      <c r="A190" s="97" t="s">
        <v>43</v>
      </c>
      <c r="B190" s="116" t="s">
        <v>46</v>
      </c>
      <c r="C190" t="str">
        <f>'2021_Downloadtabelle_5-3-2'!$C$7</f>
        <v>Insgesamt</v>
      </c>
      <c r="D190" t="s">
        <v>82</v>
      </c>
      <c r="E190">
        <f>'2021_Downloadtabelle_5-3-2'!O18</f>
        <v>12</v>
      </c>
    </row>
    <row r="191" spans="1:5" hidden="1" x14ac:dyDescent="0.25">
      <c r="A191" s="97" t="s">
        <v>44</v>
      </c>
      <c r="B191" s="116" t="s">
        <v>46</v>
      </c>
      <c r="C191" t="str">
        <f>'2021_Downloadtabelle_5-3-2'!$C$7</f>
        <v>Insgesamt</v>
      </c>
      <c r="D191" t="s">
        <v>82</v>
      </c>
      <c r="E191">
        <f>'2021_Downloadtabelle_5-3-2'!O19</f>
        <v>18.3</v>
      </c>
    </row>
    <row r="192" spans="1:5" hidden="1" x14ac:dyDescent="0.25">
      <c r="A192" s="97" t="s">
        <v>45</v>
      </c>
      <c r="B192" s="116" t="s">
        <v>46</v>
      </c>
      <c r="C192" t="str">
        <f>'2021_Downloadtabelle_5-3-2'!$C$7</f>
        <v>Insgesamt</v>
      </c>
      <c r="D192" t="s">
        <v>82</v>
      </c>
      <c r="E192">
        <f>'2021_Downloadtabelle_5-3-2'!O20</f>
        <v>16.399999999999999</v>
      </c>
    </row>
    <row r="193" spans="1:5" hidden="1" x14ac:dyDescent="0.25">
      <c r="A193" s="97" t="s">
        <v>48</v>
      </c>
      <c r="B193" s="116" t="s">
        <v>46</v>
      </c>
      <c r="C193" t="str">
        <f>'2021_Downloadtabelle_5-3-2'!$C$7</f>
        <v>Insgesamt</v>
      </c>
      <c r="D193" t="s">
        <v>82</v>
      </c>
      <c r="E193">
        <f>'2021_Downloadtabelle_5-3-2'!O21</f>
        <v>13.5</v>
      </c>
    </row>
    <row r="194" spans="1:5" hidden="1" x14ac:dyDescent="0.25">
      <c r="A194" s="97" t="s">
        <v>49</v>
      </c>
      <c r="B194" s="116" t="s">
        <v>46</v>
      </c>
      <c r="C194" t="str">
        <f>'2021_Downloadtabelle_5-3-2'!$C$7</f>
        <v>Insgesamt</v>
      </c>
      <c r="D194" t="s">
        <v>82</v>
      </c>
      <c r="E194">
        <f>'2021_Downloadtabelle_5-3-2'!O22</f>
        <v>12.1</v>
      </c>
    </row>
    <row r="195" spans="1:5" hidden="1" x14ac:dyDescent="0.25">
      <c r="A195" s="97" t="s">
        <v>66</v>
      </c>
      <c r="B195" s="116" t="s">
        <v>46</v>
      </c>
      <c r="C195" t="str">
        <f>'2021_Downloadtabelle_5-3-2'!$C$7</f>
        <v>Insgesamt</v>
      </c>
      <c r="D195" t="s">
        <v>82</v>
      </c>
      <c r="E195">
        <f>'2021_Downloadtabelle_5-3-2'!O23</f>
        <v>14.9</v>
      </c>
    </row>
    <row r="196" spans="1:5" hidden="1" x14ac:dyDescent="0.25">
      <c r="A196" s="97" t="s">
        <v>69</v>
      </c>
      <c r="B196" s="116" t="s">
        <v>46</v>
      </c>
      <c r="C196" t="str">
        <f>'2021_Downloadtabelle_5-3-2'!$C$7</f>
        <v>Insgesamt</v>
      </c>
      <c r="D196" t="s">
        <v>82</v>
      </c>
      <c r="E196">
        <f>'2021_Downloadtabelle_5-3-2'!O24</f>
        <v>11.4</v>
      </c>
    </row>
    <row r="197" spans="1:5" hidden="1" x14ac:dyDescent="0.25">
      <c r="A197" s="97" t="s">
        <v>35</v>
      </c>
      <c r="B197" s="116" t="s">
        <v>46</v>
      </c>
      <c r="C197" t="str">
        <f>'2021_Downloadtabelle_5-3-2'!$P$7</f>
        <v>15 bis unter 20 Jahre</v>
      </c>
      <c r="D197" t="s">
        <v>82</v>
      </c>
      <c r="E197">
        <f>'2021_Downloadtabelle_5-3-2'!P10</f>
        <v>13.7</v>
      </c>
    </row>
    <row r="198" spans="1:5" hidden="1" x14ac:dyDescent="0.25">
      <c r="A198" s="97" t="s">
        <v>36</v>
      </c>
      <c r="B198" s="116" t="s">
        <v>46</v>
      </c>
      <c r="C198" t="str">
        <f>'2021_Downloadtabelle_5-3-2'!$P$7</f>
        <v>15 bis unter 20 Jahre</v>
      </c>
      <c r="D198" t="s">
        <v>82</v>
      </c>
      <c r="E198">
        <f>'2021_Downloadtabelle_5-3-2'!P11</f>
        <v>11.3</v>
      </c>
    </row>
    <row r="199" spans="1:5" hidden="1" x14ac:dyDescent="0.25">
      <c r="A199" s="97" t="s">
        <v>37</v>
      </c>
      <c r="B199" s="116" t="s">
        <v>46</v>
      </c>
      <c r="C199" t="str">
        <f>'2021_Downloadtabelle_5-3-2'!$P$7</f>
        <v>15 bis unter 20 Jahre</v>
      </c>
      <c r="D199" t="s">
        <v>82</v>
      </c>
      <c r="E199">
        <f>'2021_Downloadtabelle_5-3-2'!P12</f>
        <v>10</v>
      </c>
    </row>
    <row r="200" spans="1:5" hidden="1" x14ac:dyDescent="0.25">
      <c r="A200" s="97" t="s">
        <v>38</v>
      </c>
      <c r="B200" s="116" t="s">
        <v>46</v>
      </c>
      <c r="C200" t="str">
        <f>'2021_Downloadtabelle_5-3-2'!$P$7</f>
        <v>15 bis unter 20 Jahre</v>
      </c>
      <c r="D200" t="s">
        <v>82</v>
      </c>
      <c r="E200">
        <f>'2021_Downloadtabelle_5-3-2'!P13</f>
        <v>9.9</v>
      </c>
    </row>
    <row r="201" spans="1:5" hidden="1" x14ac:dyDescent="0.25">
      <c r="A201" s="97" t="s">
        <v>39</v>
      </c>
      <c r="B201" s="116" t="s">
        <v>46</v>
      </c>
      <c r="C201" t="str">
        <f>'2021_Downloadtabelle_5-3-2'!$P$7</f>
        <v>15 bis unter 20 Jahre</v>
      </c>
      <c r="D201" t="s">
        <v>82</v>
      </c>
      <c r="E201">
        <f>'2021_Downloadtabelle_5-3-2'!P14</f>
        <v>8.9</v>
      </c>
    </row>
    <row r="202" spans="1:5" hidden="1" x14ac:dyDescent="0.25">
      <c r="A202" s="97" t="s">
        <v>40</v>
      </c>
      <c r="B202" s="116" t="s">
        <v>46</v>
      </c>
      <c r="C202" t="str">
        <f>'2021_Downloadtabelle_5-3-2'!$P$7</f>
        <v>15 bis unter 20 Jahre</v>
      </c>
      <c r="D202" t="s">
        <v>82</v>
      </c>
      <c r="E202">
        <f>'2021_Downloadtabelle_5-3-2'!P15</f>
        <v>8.1999999999999993</v>
      </c>
    </row>
    <row r="203" spans="1:5" hidden="1" x14ac:dyDescent="0.25">
      <c r="A203" s="97" t="s">
        <v>41</v>
      </c>
      <c r="B203" s="116" t="s">
        <v>46</v>
      </c>
      <c r="C203" t="str">
        <f>'2021_Downloadtabelle_5-3-2'!$P$7</f>
        <v>15 bis unter 20 Jahre</v>
      </c>
      <c r="D203" t="s">
        <v>82</v>
      </c>
      <c r="E203">
        <f>'2021_Downloadtabelle_5-3-2'!P16</f>
        <v>9.1999999999999993</v>
      </c>
    </row>
    <row r="204" spans="1:5" hidden="1" x14ac:dyDescent="0.25">
      <c r="A204" s="97" t="s">
        <v>42</v>
      </c>
      <c r="B204" s="116" t="s">
        <v>46</v>
      </c>
      <c r="C204" t="str">
        <f>'2021_Downloadtabelle_5-3-2'!$P$7</f>
        <v>15 bis unter 20 Jahre</v>
      </c>
      <c r="D204" t="s">
        <v>82</v>
      </c>
      <c r="E204">
        <f>'2021_Downloadtabelle_5-3-2'!P17</f>
        <v>10.3</v>
      </c>
    </row>
    <row r="205" spans="1:5" hidden="1" x14ac:dyDescent="0.25">
      <c r="A205" s="97" t="s">
        <v>43</v>
      </c>
      <c r="B205" s="116" t="s">
        <v>46</v>
      </c>
      <c r="C205" t="str">
        <f>'2021_Downloadtabelle_5-3-2'!$P$7</f>
        <v>15 bis unter 20 Jahre</v>
      </c>
      <c r="D205" t="s">
        <v>82</v>
      </c>
      <c r="E205">
        <f>'2021_Downloadtabelle_5-3-2'!P18</f>
        <v>11.5</v>
      </c>
    </row>
    <row r="206" spans="1:5" hidden="1" x14ac:dyDescent="0.25">
      <c r="A206" s="97" t="s">
        <v>44</v>
      </c>
      <c r="B206" s="116" t="s">
        <v>46</v>
      </c>
      <c r="C206" t="str">
        <f>'2021_Downloadtabelle_5-3-2'!$P$7</f>
        <v>15 bis unter 20 Jahre</v>
      </c>
      <c r="D206" t="s">
        <v>82</v>
      </c>
      <c r="E206">
        <f>'2021_Downloadtabelle_5-3-2'!P19</f>
        <v>16.399999999999999</v>
      </c>
    </row>
    <row r="207" spans="1:5" hidden="1" x14ac:dyDescent="0.25">
      <c r="A207" s="97" t="s">
        <v>45</v>
      </c>
      <c r="B207" s="116" t="s">
        <v>46</v>
      </c>
      <c r="C207" t="str">
        <f>'2021_Downloadtabelle_5-3-2'!$P$7</f>
        <v>15 bis unter 20 Jahre</v>
      </c>
      <c r="D207" t="s">
        <v>82</v>
      </c>
      <c r="E207">
        <f>'2021_Downloadtabelle_5-3-2'!P20</f>
        <v>13.4</v>
      </c>
    </row>
    <row r="208" spans="1:5" hidden="1" x14ac:dyDescent="0.25">
      <c r="A208" s="97" t="s">
        <v>48</v>
      </c>
      <c r="B208" s="116" t="s">
        <v>46</v>
      </c>
      <c r="C208" t="str">
        <f>'2021_Downloadtabelle_5-3-2'!$P$7</f>
        <v>15 bis unter 20 Jahre</v>
      </c>
      <c r="D208" t="s">
        <v>82</v>
      </c>
      <c r="E208">
        <f>'2021_Downloadtabelle_5-3-2'!P21</f>
        <v>11.2</v>
      </c>
    </row>
    <row r="209" spans="1:5" hidden="1" x14ac:dyDescent="0.25">
      <c r="A209" s="97" t="s">
        <v>49</v>
      </c>
      <c r="B209" s="116" t="s">
        <v>46</v>
      </c>
      <c r="C209" t="str">
        <f>'2021_Downloadtabelle_5-3-2'!$P$7</f>
        <v>15 bis unter 20 Jahre</v>
      </c>
      <c r="D209" t="s">
        <v>82</v>
      </c>
      <c r="E209">
        <f>'2021_Downloadtabelle_5-3-2'!P22</f>
        <v>9.4</v>
      </c>
    </row>
    <row r="210" spans="1:5" hidden="1" x14ac:dyDescent="0.25">
      <c r="A210" s="97" t="s">
        <v>66</v>
      </c>
      <c r="B210" s="116" t="s">
        <v>46</v>
      </c>
      <c r="C210" t="str">
        <f>'2021_Downloadtabelle_5-3-2'!$P$7</f>
        <v>15 bis unter 20 Jahre</v>
      </c>
      <c r="D210" t="s">
        <v>82</v>
      </c>
      <c r="E210">
        <f>'2021_Downloadtabelle_5-3-2'!P23</f>
        <v>11.1</v>
      </c>
    </row>
    <row r="211" spans="1:5" hidden="1" x14ac:dyDescent="0.25">
      <c r="A211" s="97" t="s">
        <v>69</v>
      </c>
      <c r="B211" s="116" t="s">
        <v>46</v>
      </c>
      <c r="C211" t="str">
        <f>'2021_Downloadtabelle_5-3-2'!$P$7</f>
        <v>15 bis unter 20 Jahre</v>
      </c>
      <c r="D211" t="s">
        <v>82</v>
      </c>
      <c r="E211">
        <f>'2021_Downloadtabelle_5-3-2'!P24</f>
        <v>10.1</v>
      </c>
    </row>
    <row r="212" spans="1:5" hidden="1" x14ac:dyDescent="0.25">
      <c r="A212" s="97" t="s">
        <v>35</v>
      </c>
      <c r="B212" s="116" t="s">
        <v>46</v>
      </c>
      <c r="C212" t="str">
        <f>'2021_Downloadtabelle_5-3-2'!$Q$7</f>
        <v>20 bis unter 25 Jahre</v>
      </c>
      <c r="D212" t="s">
        <v>82</v>
      </c>
      <c r="E212">
        <f>'2021_Downloadtabelle_5-3-2'!Q10</f>
        <v>15.3</v>
      </c>
    </row>
    <row r="213" spans="1:5" hidden="1" x14ac:dyDescent="0.25">
      <c r="A213" s="97" t="s">
        <v>36</v>
      </c>
      <c r="B213" s="116" t="s">
        <v>46</v>
      </c>
      <c r="C213" t="str">
        <f>'2021_Downloadtabelle_5-3-2'!$Q$7</f>
        <v>20 bis unter 25 Jahre</v>
      </c>
      <c r="D213" t="s">
        <v>82</v>
      </c>
      <c r="E213">
        <f>'2021_Downloadtabelle_5-3-2'!Q11</f>
        <v>13.8</v>
      </c>
    </row>
    <row r="214" spans="1:5" hidden="1" x14ac:dyDescent="0.25">
      <c r="A214" s="97" t="s">
        <v>37</v>
      </c>
      <c r="B214" s="116" t="s">
        <v>46</v>
      </c>
      <c r="C214" t="str">
        <f>'2021_Downloadtabelle_5-3-2'!$Q$7</f>
        <v>20 bis unter 25 Jahre</v>
      </c>
      <c r="D214" t="s">
        <v>82</v>
      </c>
      <c r="E214">
        <f>'2021_Downloadtabelle_5-3-2'!Q12</f>
        <v>14.8</v>
      </c>
    </row>
    <row r="215" spans="1:5" hidden="1" x14ac:dyDescent="0.25">
      <c r="A215" s="97" t="s">
        <v>38</v>
      </c>
      <c r="B215" s="116" t="s">
        <v>46</v>
      </c>
      <c r="C215" t="str">
        <f>'2021_Downloadtabelle_5-3-2'!$Q$7</f>
        <v>20 bis unter 25 Jahre</v>
      </c>
      <c r="D215" t="s">
        <v>82</v>
      </c>
      <c r="E215">
        <f>'2021_Downloadtabelle_5-3-2'!Q13</f>
        <v>13.5</v>
      </c>
    </row>
    <row r="216" spans="1:5" hidden="1" x14ac:dyDescent="0.25">
      <c r="A216" s="97" t="s">
        <v>39</v>
      </c>
      <c r="B216" s="116" t="s">
        <v>46</v>
      </c>
      <c r="C216" t="str">
        <f>'2021_Downloadtabelle_5-3-2'!$Q$7</f>
        <v>20 bis unter 25 Jahre</v>
      </c>
      <c r="D216" t="s">
        <v>82</v>
      </c>
      <c r="E216">
        <f>'2021_Downloadtabelle_5-3-2'!Q14</f>
        <v>12.7</v>
      </c>
    </row>
    <row r="217" spans="1:5" hidden="1" x14ac:dyDescent="0.25">
      <c r="A217" s="97" t="s">
        <v>40</v>
      </c>
      <c r="B217" s="116" t="s">
        <v>46</v>
      </c>
      <c r="C217" t="str">
        <f>'2021_Downloadtabelle_5-3-2'!$Q$7</f>
        <v>20 bis unter 25 Jahre</v>
      </c>
      <c r="D217" t="s">
        <v>82</v>
      </c>
      <c r="E217">
        <f>'2021_Downloadtabelle_5-3-2'!Q15</f>
        <v>11.8</v>
      </c>
    </row>
    <row r="218" spans="1:5" hidden="1" x14ac:dyDescent="0.25">
      <c r="A218" s="97" t="s">
        <v>41</v>
      </c>
      <c r="B218" s="116" t="s">
        <v>46</v>
      </c>
      <c r="C218" t="str">
        <f>'2021_Downloadtabelle_5-3-2'!$Q$7</f>
        <v>20 bis unter 25 Jahre</v>
      </c>
      <c r="D218" t="s">
        <v>82</v>
      </c>
      <c r="E218">
        <f>'2021_Downloadtabelle_5-3-2'!Q16</f>
        <v>11.5</v>
      </c>
    </row>
    <row r="219" spans="1:5" hidden="1" x14ac:dyDescent="0.25">
      <c r="A219" s="97" t="s">
        <v>42</v>
      </c>
      <c r="B219" s="116" t="s">
        <v>46</v>
      </c>
      <c r="C219" t="str">
        <f>'2021_Downloadtabelle_5-3-2'!$Q$7</f>
        <v>20 bis unter 25 Jahre</v>
      </c>
      <c r="D219" t="s">
        <v>82</v>
      </c>
      <c r="E219">
        <f>'2021_Downloadtabelle_5-3-2'!Q17</f>
        <v>12.1</v>
      </c>
    </row>
    <row r="220" spans="1:5" hidden="1" x14ac:dyDescent="0.25">
      <c r="A220" s="97" t="s">
        <v>43</v>
      </c>
      <c r="B220" s="116" t="s">
        <v>46</v>
      </c>
      <c r="C220" t="str">
        <f>'2021_Downloadtabelle_5-3-2'!$Q$7</f>
        <v>20 bis unter 25 Jahre</v>
      </c>
      <c r="D220" t="s">
        <v>82</v>
      </c>
      <c r="E220">
        <f>'2021_Downloadtabelle_5-3-2'!Q18</f>
        <v>12.1</v>
      </c>
    </row>
    <row r="221" spans="1:5" hidden="1" x14ac:dyDescent="0.25">
      <c r="A221" s="97" t="s">
        <v>44</v>
      </c>
      <c r="B221" s="116" t="s">
        <v>46</v>
      </c>
      <c r="C221" t="str">
        <f>'2021_Downloadtabelle_5-3-2'!$Q$7</f>
        <v>20 bis unter 25 Jahre</v>
      </c>
      <c r="D221" t="s">
        <v>82</v>
      </c>
      <c r="E221">
        <f>'2021_Downloadtabelle_5-3-2'!Q19</f>
        <v>18.8</v>
      </c>
    </row>
    <row r="222" spans="1:5" hidden="1" x14ac:dyDescent="0.25">
      <c r="A222" s="97" t="s">
        <v>45</v>
      </c>
      <c r="B222" s="116" t="s">
        <v>46</v>
      </c>
      <c r="C222" t="str">
        <f>'2021_Downloadtabelle_5-3-2'!$Q$7</f>
        <v>20 bis unter 25 Jahre</v>
      </c>
      <c r="D222" t="s">
        <v>82</v>
      </c>
      <c r="E222">
        <f>'2021_Downloadtabelle_5-3-2'!Q20</f>
        <v>17.2</v>
      </c>
    </row>
    <row r="223" spans="1:5" hidden="1" x14ac:dyDescent="0.25">
      <c r="A223" s="97" t="s">
        <v>48</v>
      </c>
      <c r="B223" s="116" t="s">
        <v>46</v>
      </c>
      <c r="C223" t="str">
        <f>'2021_Downloadtabelle_5-3-2'!$Q$7</f>
        <v>20 bis unter 25 Jahre</v>
      </c>
      <c r="D223" t="s">
        <v>82</v>
      </c>
      <c r="E223">
        <f>'2021_Downloadtabelle_5-3-2'!Q21</f>
        <v>14.1</v>
      </c>
    </row>
    <row r="224" spans="1:5" hidden="1" x14ac:dyDescent="0.25">
      <c r="A224" s="97" t="s">
        <v>49</v>
      </c>
      <c r="B224" s="116" t="s">
        <v>46</v>
      </c>
      <c r="C224" t="str">
        <f>'2021_Downloadtabelle_5-3-2'!$Q$7</f>
        <v>20 bis unter 25 Jahre</v>
      </c>
      <c r="D224" t="s">
        <v>82</v>
      </c>
      <c r="E224">
        <f>'2021_Downloadtabelle_5-3-2'!Q22</f>
        <v>12.8</v>
      </c>
    </row>
    <row r="225" spans="1:5" hidden="1" x14ac:dyDescent="0.25">
      <c r="A225" s="97" t="s">
        <v>66</v>
      </c>
      <c r="B225" s="116" t="s">
        <v>46</v>
      </c>
      <c r="C225" t="str">
        <f>'2021_Downloadtabelle_5-3-2'!$Q$7</f>
        <v>20 bis unter 25 Jahre</v>
      </c>
      <c r="D225" t="s">
        <v>82</v>
      </c>
      <c r="E225">
        <f>'2021_Downloadtabelle_5-3-2'!Q23</f>
        <v>15.8</v>
      </c>
    </row>
    <row r="226" spans="1:5" hidden="1" x14ac:dyDescent="0.25">
      <c r="A226" s="97" t="s">
        <v>69</v>
      </c>
      <c r="B226" s="116" t="s">
        <v>46</v>
      </c>
      <c r="C226" t="str">
        <f>'2021_Downloadtabelle_5-3-2'!$Q$7</f>
        <v>20 bis unter 25 Jahre</v>
      </c>
      <c r="D226" t="s">
        <v>82</v>
      </c>
      <c r="E226">
        <f>'2021_Downloadtabelle_5-3-2'!Q24</f>
        <v>11.7</v>
      </c>
    </row>
    <row r="227" spans="1:5" x14ac:dyDescent="0.25">
      <c r="A227" s="97" t="s">
        <v>35</v>
      </c>
      <c r="B227" s="116" t="s">
        <v>83</v>
      </c>
      <c r="C227" t="str">
        <f>'2021_Downloadtabelle_5-3-2'!$R$7</f>
        <v>Insgesamt</v>
      </c>
      <c r="D227" t="s">
        <v>34</v>
      </c>
      <c r="E227" t="str">
        <f>"+"&amp;'2021_Downloadtabelle_5-3-2'!R10</f>
        <v>+7</v>
      </c>
    </row>
    <row r="228" spans="1:5" x14ac:dyDescent="0.25">
      <c r="A228" s="97" t="s">
        <v>36</v>
      </c>
      <c r="B228" s="116" t="s">
        <v>83</v>
      </c>
      <c r="C228" t="str">
        <f>'2021_Downloadtabelle_5-3-2'!$R$7</f>
        <v>Insgesamt</v>
      </c>
      <c r="D228" t="s">
        <v>34</v>
      </c>
      <c r="E228" t="str">
        <f>"+"&amp;'2021_Downloadtabelle_5-3-2'!R11</f>
        <v>+6,8</v>
      </c>
    </row>
    <row r="229" spans="1:5" x14ac:dyDescent="0.25">
      <c r="A229" s="97" t="s">
        <v>37</v>
      </c>
      <c r="B229" s="116" t="s">
        <v>83</v>
      </c>
      <c r="C229" t="str">
        <f>'2021_Downloadtabelle_5-3-2'!$R$7</f>
        <v>Insgesamt</v>
      </c>
      <c r="D229" t="s">
        <v>34</v>
      </c>
      <c r="E229" t="str">
        <f>"+"&amp;'2021_Downloadtabelle_5-3-2'!R12</f>
        <v>+6,2</v>
      </c>
    </row>
    <row r="230" spans="1:5" x14ac:dyDescent="0.25">
      <c r="A230" s="97" t="s">
        <v>38</v>
      </c>
      <c r="B230" s="116" t="s">
        <v>83</v>
      </c>
      <c r="C230" t="str">
        <f>'2021_Downloadtabelle_5-3-2'!$R$7</f>
        <v>Insgesamt</v>
      </c>
      <c r="D230" t="s">
        <v>34</v>
      </c>
      <c r="E230" t="str">
        <f>"+"&amp;'2021_Downloadtabelle_5-3-2'!R13</f>
        <v>+6</v>
      </c>
    </row>
    <row r="231" spans="1:5" x14ac:dyDescent="0.25">
      <c r="A231" s="97" t="s">
        <v>39</v>
      </c>
      <c r="B231" s="116" t="s">
        <v>83</v>
      </c>
      <c r="C231" t="str">
        <f>'2021_Downloadtabelle_5-3-2'!$R$7</f>
        <v>Insgesamt</v>
      </c>
      <c r="D231" t="s">
        <v>34</v>
      </c>
      <c r="E231" t="str">
        <f>"+"&amp;'2021_Downloadtabelle_5-3-2'!R14</f>
        <v>+6,3</v>
      </c>
    </row>
    <row r="232" spans="1:5" x14ac:dyDescent="0.25">
      <c r="A232" s="97" t="s">
        <v>40</v>
      </c>
      <c r="B232" s="116" t="s">
        <v>83</v>
      </c>
      <c r="C232" t="str">
        <f>'2021_Downloadtabelle_5-3-2'!$R$7</f>
        <v>Insgesamt</v>
      </c>
      <c r="D232" t="s">
        <v>34</v>
      </c>
      <c r="E232" t="str">
        <f>"+"&amp;'2021_Downloadtabelle_5-3-2'!R15</f>
        <v>+5,7</v>
      </c>
    </row>
    <row r="233" spans="1:5" x14ac:dyDescent="0.25">
      <c r="A233" s="97" t="s">
        <v>41</v>
      </c>
      <c r="B233" s="116" t="s">
        <v>83</v>
      </c>
      <c r="C233" t="str">
        <f>'2021_Downloadtabelle_5-3-2'!$R$7</f>
        <v>Insgesamt</v>
      </c>
      <c r="D233" t="s">
        <v>34</v>
      </c>
      <c r="E233" t="str">
        <f>"+"&amp;'2021_Downloadtabelle_5-3-2'!R16</f>
        <v>+5,3</v>
      </c>
    </row>
    <row r="234" spans="1:5" x14ac:dyDescent="0.25">
      <c r="A234" s="97" t="s">
        <v>42</v>
      </c>
      <c r="B234" s="116" t="s">
        <v>83</v>
      </c>
      <c r="C234" t="str">
        <f>'2021_Downloadtabelle_5-3-2'!$R$7</f>
        <v>Insgesamt</v>
      </c>
      <c r="D234" t="s">
        <v>34</v>
      </c>
      <c r="E234" t="str">
        <f>"+"&amp;'2021_Downloadtabelle_5-3-2'!R17</f>
        <v>+6,4</v>
      </c>
    </row>
    <row r="235" spans="1:5" x14ac:dyDescent="0.25">
      <c r="A235" s="97" t="s">
        <v>43</v>
      </c>
      <c r="B235" s="116" t="s">
        <v>83</v>
      </c>
      <c r="C235" t="str">
        <f>'2021_Downloadtabelle_5-3-2'!$R$7</f>
        <v>Insgesamt</v>
      </c>
      <c r="D235" t="s">
        <v>34</v>
      </c>
      <c r="E235" t="str">
        <f>"+"&amp;'2021_Downloadtabelle_5-3-2'!R18</f>
        <v>+7,2</v>
      </c>
    </row>
    <row r="236" spans="1:5" x14ac:dyDescent="0.25">
      <c r="A236" s="97" t="s">
        <v>44</v>
      </c>
      <c r="B236" s="116" t="s">
        <v>83</v>
      </c>
      <c r="C236" t="str">
        <f>'2021_Downloadtabelle_5-3-2'!$R$7</f>
        <v>Insgesamt</v>
      </c>
      <c r="D236" t="s">
        <v>34</v>
      </c>
      <c r="E236" t="str">
        <f>"+"&amp;'2021_Downloadtabelle_5-3-2'!R19</f>
        <v>+12,7</v>
      </c>
    </row>
    <row r="237" spans="1:5" x14ac:dyDescent="0.25">
      <c r="A237" s="97" t="s">
        <v>45</v>
      </c>
      <c r="B237" s="116" t="s">
        <v>83</v>
      </c>
      <c r="C237" t="str">
        <f>'2021_Downloadtabelle_5-3-2'!$R$7</f>
        <v>Insgesamt</v>
      </c>
      <c r="D237" t="s">
        <v>34</v>
      </c>
      <c r="E237" t="str">
        <f>"+"&amp;'2021_Downloadtabelle_5-3-2'!R20</f>
        <v>+11,1</v>
      </c>
    </row>
    <row r="238" spans="1:5" x14ac:dyDescent="0.25">
      <c r="A238" s="97" t="s">
        <v>48</v>
      </c>
      <c r="B238" s="116" t="s">
        <v>83</v>
      </c>
      <c r="C238" t="str">
        <f>'2021_Downloadtabelle_5-3-2'!$R$7</f>
        <v>Insgesamt</v>
      </c>
      <c r="D238" t="s">
        <v>34</v>
      </c>
      <c r="E238" t="str">
        <f>"+"&amp;'2021_Downloadtabelle_5-3-2'!R21</f>
        <v>+8,8</v>
      </c>
    </row>
    <row r="239" spans="1:5" x14ac:dyDescent="0.25">
      <c r="A239" s="97" t="s">
        <v>49</v>
      </c>
      <c r="B239" s="116" t="s">
        <v>83</v>
      </c>
      <c r="C239" t="str">
        <f>'2021_Downloadtabelle_5-3-2'!$R$7</f>
        <v>Insgesamt</v>
      </c>
      <c r="D239" t="s">
        <v>34</v>
      </c>
      <c r="E239" t="str">
        <f>"+"&amp;'2021_Downloadtabelle_5-3-2'!R22</f>
        <v>+7,7</v>
      </c>
    </row>
    <row r="240" spans="1:5" x14ac:dyDescent="0.25">
      <c r="A240" s="97" t="s">
        <v>66</v>
      </c>
      <c r="B240" s="116" t="s">
        <v>83</v>
      </c>
      <c r="C240" t="str">
        <f>'2021_Downloadtabelle_5-3-2'!$R$7</f>
        <v>Insgesamt</v>
      </c>
      <c r="D240" t="s">
        <v>34</v>
      </c>
      <c r="E240" t="str">
        <f>"+"&amp;'2021_Downloadtabelle_5-3-2'!R23</f>
        <v>+8,9</v>
      </c>
    </row>
    <row r="241" spans="1:5" x14ac:dyDescent="0.25">
      <c r="A241" s="97" t="s">
        <v>69</v>
      </c>
      <c r="B241" s="116" t="s">
        <v>83</v>
      </c>
      <c r="C241" t="str">
        <f>'2021_Downloadtabelle_5-3-2'!$R$7</f>
        <v>Insgesamt</v>
      </c>
      <c r="D241" t="s">
        <v>34</v>
      </c>
      <c r="E241" t="str">
        <f>"+"&amp;'2021_Downloadtabelle_5-3-2'!R24</f>
        <v>+6,7</v>
      </c>
    </row>
    <row r="242" spans="1:5" hidden="1" x14ac:dyDescent="0.25">
      <c r="A242" s="97" t="s">
        <v>35</v>
      </c>
      <c r="B242" s="116" t="s">
        <v>83</v>
      </c>
      <c r="C242" t="str">
        <f>'2021_Downloadtabelle_5-3-2'!$S$7</f>
        <v>15 bis unter 20 Jahre</v>
      </c>
      <c r="D242" t="s">
        <v>34</v>
      </c>
      <c r="E242" t="str">
        <f>"+"&amp;'2021_Downloadtabelle_5-3-2'!S10</f>
        <v>+9</v>
      </c>
    </row>
    <row r="243" spans="1:5" hidden="1" x14ac:dyDescent="0.25">
      <c r="A243" s="97" t="s">
        <v>36</v>
      </c>
      <c r="B243" s="116" t="s">
        <v>83</v>
      </c>
      <c r="C243" t="str">
        <f>'2021_Downloadtabelle_5-3-2'!$S$7</f>
        <v>15 bis unter 20 Jahre</v>
      </c>
      <c r="D243" t="s">
        <v>34</v>
      </c>
      <c r="E243" t="str">
        <f>"+"&amp;'2021_Downloadtabelle_5-3-2'!S11</f>
        <v>+7,8</v>
      </c>
    </row>
    <row r="244" spans="1:5" hidden="1" x14ac:dyDescent="0.25">
      <c r="A244" s="97" t="s">
        <v>37</v>
      </c>
      <c r="B244" s="116" t="s">
        <v>83</v>
      </c>
      <c r="C244" t="str">
        <f>'2021_Downloadtabelle_5-3-2'!$S$7</f>
        <v>15 bis unter 20 Jahre</v>
      </c>
      <c r="D244" t="s">
        <v>34</v>
      </c>
      <c r="E244" t="str">
        <f>"+"&amp;'2021_Downloadtabelle_5-3-2'!S12</f>
        <v>+6,3</v>
      </c>
    </row>
    <row r="245" spans="1:5" hidden="1" x14ac:dyDescent="0.25">
      <c r="A245" s="97" t="s">
        <v>38</v>
      </c>
      <c r="B245" s="116" t="s">
        <v>83</v>
      </c>
      <c r="C245" t="str">
        <f>'2021_Downloadtabelle_5-3-2'!$S$7</f>
        <v>15 bis unter 20 Jahre</v>
      </c>
      <c r="D245" t="s">
        <v>34</v>
      </c>
      <c r="E245" t="str">
        <f>"+"&amp;'2021_Downloadtabelle_5-3-2'!S13</f>
        <v>+6,4</v>
      </c>
    </row>
    <row r="246" spans="1:5" hidden="1" x14ac:dyDescent="0.25">
      <c r="A246" s="97" t="s">
        <v>39</v>
      </c>
      <c r="B246" s="116" t="s">
        <v>83</v>
      </c>
      <c r="C246" t="str">
        <f>'2021_Downloadtabelle_5-3-2'!$S$7</f>
        <v>15 bis unter 20 Jahre</v>
      </c>
      <c r="D246" t="s">
        <v>34</v>
      </c>
      <c r="E246" t="str">
        <f>"+"&amp;'2021_Downloadtabelle_5-3-2'!S14</f>
        <v>+6</v>
      </c>
    </row>
    <row r="247" spans="1:5" hidden="1" x14ac:dyDescent="0.25">
      <c r="A247" s="97" t="s">
        <v>40</v>
      </c>
      <c r="B247" s="116" t="s">
        <v>83</v>
      </c>
      <c r="C247" t="str">
        <f>'2021_Downloadtabelle_5-3-2'!$S$7</f>
        <v>15 bis unter 20 Jahre</v>
      </c>
      <c r="D247" t="s">
        <v>34</v>
      </c>
      <c r="E247" t="str">
        <f>"+"&amp;'2021_Downloadtabelle_5-3-2'!S15</f>
        <v>+5,2</v>
      </c>
    </row>
    <row r="248" spans="1:5" hidden="1" x14ac:dyDescent="0.25">
      <c r="A248" s="97" t="s">
        <v>41</v>
      </c>
      <c r="B248" s="116" t="s">
        <v>83</v>
      </c>
      <c r="C248" t="str">
        <f>'2021_Downloadtabelle_5-3-2'!$S$7</f>
        <v>15 bis unter 20 Jahre</v>
      </c>
      <c r="D248" t="s">
        <v>34</v>
      </c>
      <c r="E248" t="str">
        <f>"+"&amp;'2021_Downloadtabelle_5-3-2'!S16</f>
        <v>+6,1</v>
      </c>
    </row>
    <row r="249" spans="1:5" hidden="1" x14ac:dyDescent="0.25">
      <c r="A249" s="97" t="s">
        <v>42</v>
      </c>
      <c r="B249" s="116" t="s">
        <v>83</v>
      </c>
      <c r="C249" t="str">
        <f>'2021_Downloadtabelle_5-3-2'!$S$7</f>
        <v>15 bis unter 20 Jahre</v>
      </c>
      <c r="D249" t="s">
        <v>34</v>
      </c>
      <c r="E249" t="str">
        <f>"+"&amp;'2021_Downloadtabelle_5-3-2'!S17</f>
        <v>+7,3</v>
      </c>
    </row>
    <row r="250" spans="1:5" hidden="1" x14ac:dyDescent="0.25">
      <c r="A250" s="97" t="s">
        <v>43</v>
      </c>
      <c r="B250" s="116" t="s">
        <v>83</v>
      </c>
      <c r="C250" t="str">
        <f>'2021_Downloadtabelle_5-3-2'!$S$7</f>
        <v>15 bis unter 20 Jahre</v>
      </c>
      <c r="D250" t="s">
        <v>34</v>
      </c>
      <c r="E250" t="str">
        <f>"+"&amp;'2021_Downloadtabelle_5-3-2'!S18</f>
        <v>+8,6</v>
      </c>
    </row>
    <row r="251" spans="1:5" hidden="1" x14ac:dyDescent="0.25">
      <c r="A251" s="97" t="s">
        <v>44</v>
      </c>
      <c r="B251" s="116" t="s">
        <v>83</v>
      </c>
      <c r="C251" t="str">
        <f>'2021_Downloadtabelle_5-3-2'!$S$7</f>
        <v>15 bis unter 20 Jahre</v>
      </c>
      <c r="D251" t="s">
        <v>34</v>
      </c>
      <c r="E251" t="str">
        <f>"+"&amp;'2021_Downloadtabelle_5-3-2'!S19</f>
        <v>+13</v>
      </c>
    </row>
    <row r="252" spans="1:5" hidden="1" x14ac:dyDescent="0.25">
      <c r="A252" s="97" t="s">
        <v>45</v>
      </c>
      <c r="B252" s="116" t="s">
        <v>83</v>
      </c>
      <c r="C252" t="str">
        <f>'2021_Downloadtabelle_5-3-2'!$S$7</f>
        <v>15 bis unter 20 Jahre</v>
      </c>
      <c r="D252" t="s">
        <v>34</v>
      </c>
      <c r="E252" t="str">
        <f>"+"&amp;'2021_Downloadtabelle_5-3-2'!S20</f>
        <v>+10,3</v>
      </c>
    </row>
    <row r="253" spans="1:5" hidden="1" x14ac:dyDescent="0.25">
      <c r="A253" s="97" t="s">
        <v>48</v>
      </c>
      <c r="B253" s="116" t="s">
        <v>83</v>
      </c>
      <c r="C253" t="str">
        <f>'2021_Downloadtabelle_5-3-2'!$S$7</f>
        <v>15 bis unter 20 Jahre</v>
      </c>
      <c r="D253" t="s">
        <v>34</v>
      </c>
      <c r="E253" t="str">
        <f>"+"&amp;'2021_Downloadtabelle_5-3-2'!S21</f>
        <v>+8,3</v>
      </c>
    </row>
    <row r="254" spans="1:5" hidden="1" x14ac:dyDescent="0.25">
      <c r="A254" s="97" t="s">
        <v>49</v>
      </c>
      <c r="B254" s="116" t="s">
        <v>83</v>
      </c>
      <c r="C254" t="str">
        <f>'2021_Downloadtabelle_5-3-2'!$S$7</f>
        <v>15 bis unter 20 Jahre</v>
      </c>
      <c r="D254" t="s">
        <v>34</v>
      </c>
      <c r="E254" t="str">
        <f>"+"&amp;'2021_Downloadtabelle_5-3-2'!S22</f>
        <v>+6,8</v>
      </c>
    </row>
    <row r="255" spans="1:5" hidden="1" x14ac:dyDescent="0.25">
      <c r="A255" s="97" t="s">
        <v>66</v>
      </c>
      <c r="B255" s="116" t="s">
        <v>83</v>
      </c>
      <c r="C255" t="str">
        <f>'2021_Downloadtabelle_5-3-2'!$S$7</f>
        <v>15 bis unter 20 Jahre</v>
      </c>
      <c r="D255" t="s">
        <v>34</v>
      </c>
      <c r="E255" t="str">
        <f>"+"&amp;'2021_Downloadtabelle_5-3-2'!S23</f>
        <v>+7,7</v>
      </c>
    </row>
    <row r="256" spans="1:5" hidden="1" x14ac:dyDescent="0.25">
      <c r="A256" s="97" t="s">
        <v>69</v>
      </c>
      <c r="B256" s="116" t="s">
        <v>83</v>
      </c>
      <c r="C256" t="str">
        <f>'2021_Downloadtabelle_5-3-2'!$S$7</f>
        <v>15 bis unter 20 Jahre</v>
      </c>
      <c r="D256" t="s">
        <v>34</v>
      </c>
      <c r="E256" t="str">
        <f>"+"&amp;'2021_Downloadtabelle_5-3-2'!S24</f>
        <v>+7,4</v>
      </c>
    </row>
    <row r="257" spans="1:5" hidden="1" x14ac:dyDescent="0.25">
      <c r="A257" s="97" t="s">
        <v>35</v>
      </c>
      <c r="B257" s="116" t="s">
        <v>83</v>
      </c>
      <c r="C257" t="str">
        <f>'2021_Downloadtabelle_5-3-2'!$T$7</f>
        <v>20 bis unter 25 Jahre</v>
      </c>
      <c r="D257" t="s">
        <v>34</v>
      </c>
      <c r="E257" t="str">
        <f>"+"&amp;'2021_Downloadtabelle_5-3-2'!T10</f>
        <v>+6</v>
      </c>
    </row>
    <row r="258" spans="1:5" hidden="1" x14ac:dyDescent="0.25">
      <c r="A258" s="97" t="s">
        <v>36</v>
      </c>
      <c r="B258" s="116" t="s">
        <v>83</v>
      </c>
      <c r="C258" t="str">
        <f>'2021_Downloadtabelle_5-3-2'!$T$7</f>
        <v>20 bis unter 25 Jahre</v>
      </c>
      <c r="D258" t="s">
        <v>34</v>
      </c>
      <c r="E258" t="str">
        <f>"+"&amp;'2021_Downloadtabelle_5-3-2'!T11</f>
        <v>+6,3</v>
      </c>
    </row>
    <row r="259" spans="1:5" hidden="1" x14ac:dyDescent="0.25">
      <c r="A259" s="97" t="s">
        <v>37</v>
      </c>
      <c r="B259" s="116" t="s">
        <v>83</v>
      </c>
      <c r="C259" t="str">
        <f>'2021_Downloadtabelle_5-3-2'!$T$7</f>
        <v>20 bis unter 25 Jahre</v>
      </c>
      <c r="D259" t="s">
        <v>34</v>
      </c>
      <c r="E259" t="str">
        <f>"+"&amp;'2021_Downloadtabelle_5-3-2'!T12</f>
        <v>+5,8</v>
      </c>
    </row>
    <row r="260" spans="1:5" hidden="1" x14ac:dyDescent="0.25">
      <c r="A260" s="97" t="s">
        <v>38</v>
      </c>
      <c r="B260" s="116" t="s">
        <v>83</v>
      </c>
      <c r="C260" t="str">
        <f>'2021_Downloadtabelle_5-3-2'!$T$7</f>
        <v>20 bis unter 25 Jahre</v>
      </c>
      <c r="D260" t="s">
        <v>34</v>
      </c>
      <c r="E260" t="str">
        <f>"+"&amp;'2021_Downloadtabelle_5-3-2'!T13</f>
        <v>+5,5</v>
      </c>
    </row>
    <row r="261" spans="1:5" hidden="1" x14ac:dyDescent="0.25">
      <c r="A261" s="97" t="s">
        <v>39</v>
      </c>
      <c r="B261" s="116" t="s">
        <v>83</v>
      </c>
      <c r="C261" t="str">
        <f>'2021_Downloadtabelle_5-3-2'!$T$7</f>
        <v>20 bis unter 25 Jahre</v>
      </c>
      <c r="D261" t="s">
        <v>34</v>
      </c>
      <c r="E261" t="str">
        <f>"+"&amp;'2021_Downloadtabelle_5-3-2'!T14</f>
        <v>+6,2</v>
      </c>
    </row>
    <row r="262" spans="1:5" hidden="1" x14ac:dyDescent="0.25">
      <c r="A262" s="97" t="s">
        <v>40</v>
      </c>
      <c r="B262" s="116" t="s">
        <v>83</v>
      </c>
      <c r="C262" t="str">
        <f>'2021_Downloadtabelle_5-3-2'!$T$7</f>
        <v>20 bis unter 25 Jahre</v>
      </c>
      <c r="D262" t="s">
        <v>34</v>
      </c>
      <c r="E262" t="str">
        <f>"+"&amp;'2021_Downloadtabelle_5-3-2'!T15</f>
        <v>+5,7</v>
      </c>
    </row>
    <row r="263" spans="1:5" hidden="1" x14ac:dyDescent="0.25">
      <c r="A263" s="97" t="s">
        <v>41</v>
      </c>
      <c r="B263" s="116" t="s">
        <v>83</v>
      </c>
      <c r="C263" t="str">
        <f>'2021_Downloadtabelle_5-3-2'!$T$7</f>
        <v>20 bis unter 25 Jahre</v>
      </c>
      <c r="D263" t="s">
        <v>34</v>
      </c>
      <c r="E263" t="str">
        <f>"+"&amp;'2021_Downloadtabelle_5-3-2'!T16</f>
        <v>+4,8</v>
      </c>
    </row>
    <row r="264" spans="1:5" hidden="1" x14ac:dyDescent="0.25">
      <c r="A264" s="97" t="s">
        <v>42</v>
      </c>
      <c r="B264" s="116" t="s">
        <v>83</v>
      </c>
      <c r="C264" t="str">
        <f>'2021_Downloadtabelle_5-3-2'!$T$7</f>
        <v>20 bis unter 25 Jahre</v>
      </c>
      <c r="D264" t="s">
        <v>34</v>
      </c>
      <c r="E264" t="str">
        <f>"+"&amp;'2021_Downloadtabelle_5-3-2'!T17</f>
        <v>+5,9</v>
      </c>
    </row>
    <row r="265" spans="1:5" hidden="1" x14ac:dyDescent="0.25">
      <c r="A265" s="97" t="s">
        <v>43</v>
      </c>
      <c r="B265" s="116" t="s">
        <v>83</v>
      </c>
      <c r="C265" t="str">
        <f>'2021_Downloadtabelle_5-3-2'!$T$7</f>
        <v>20 bis unter 25 Jahre</v>
      </c>
      <c r="D265" t="s">
        <v>34</v>
      </c>
      <c r="E265" t="str">
        <f>"+"&amp;'2021_Downloadtabelle_5-3-2'!T18</f>
        <v>+6,5</v>
      </c>
    </row>
    <row r="266" spans="1:5" hidden="1" x14ac:dyDescent="0.25">
      <c r="A266" s="97" t="s">
        <v>44</v>
      </c>
      <c r="B266" s="116" t="s">
        <v>83</v>
      </c>
      <c r="C266" t="str">
        <f>'2021_Downloadtabelle_5-3-2'!$T$7</f>
        <v>20 bis unter 25 Jahre</v>
      </c>
      <c r="D266" t="s">
        <v>34</v>
      </c>
      <c r="E266" t="str">
        <f>"+"&amp;'2021_Downloadtabelle_5-3-2'!T19</f>
        <v>+12,2</v>
      </c>
    </row>
    <row r="267" spans="1:5" hidden="1" x14ac:dyDescent="0.25">
      <c r="A267" s="97" t="s">
        <v>45</v>
      </c>
      <c r="B267" s="116" t="s">
        <v>83</v>
      </c>
      <c r="C267" t="str">
        <f>'2021_Downloadtabelle_5-3-2'!$T$7</f>
        <v>20 bis unter 25 Jahre</v>
      </c>
      <c r="D267" t="s">
        <v>34</v>
      </c>
      <c r="E267" t="str">
        <f>"+"&amp;'2021_Downloadtabelle_5-3-2'!T20</f>
        <v>+10,9</v>
      </c>
    </row>
    <row r="268" spans="1:5" hidden="1" x14ac:dyDescent="0.25">
      <c r="A268" s="97" t="s">
        <v>48</v>
      </c>
      <c r="B268" s="116" t="s">
        <v>83</v>
      </c>
      <c r="C268" t="str">
        <f>'2021_Downloadtabelle_5-3-2'!$T$7</f>
        <v>20 bis unter 25 Jahre</v>
      </c>
      <c r="D268" t="s">
        <v>34</v>
      </c>
      <c r="E268" t="str">
        <f>"+"&amp;'2021_Downloadtabelle_5-3-2'!T21</f>
        <v>+8,6</v>
      </c>
    </row>
    <row r="269" spans="1:5" hidden="1" x14ac:dyDescent="0.25">
      <c r="A269" s="97" t="s">
        <v>49</v>
      </c>
      <c r="B269" s="116" t="s">
        <v>83</v>
      </c>
      <c r="C269" t="str">
        <f>'2021_Downloadtabelle_5-3-2'!$T$7</f>
        <v>20 bis unter 25 Jahre</v>
      </c>
      <c r="D269" t="s">
        <v>34</v>
      </c>
      <c r="E269" t="str">
        <f>"+"&amp;'2021_Downloadtabelle_5-3-2'!T22</f>
        <v>+7,7</v>
      </c>
    </row>
    <row r="270" spans="1:5" hidden="1" x14ac:dyDescent="0.25">
      <c r="A270" s="97" t="s">
        <v>66</v>
      </c>
      <c r="B270" s="116" t="s">
        <v>83</v>
      </c>
      <c r="C270" t="str">
        <f>'2021_Downloadtabelle_5-3-2'!$T$7</f>
        <v>20 bis unter 25 Jahre</v>
      </c>
      <c r="D270" t="s">
        <v>34</v>
      </c>
      <c r="E270" t="str">
        <f>"+"&amp;'2021_Downloadtabelle_5-3-2'!T23</f>
        <v>+8,7</v>
      </c>
    </row>
    <row r="271" spans="1:5" hidden="1" x14ac:dyDescent="0.25">
      <c r="A271" s="97" t="s">
        <v>69</v>
      </c>
      <c r="B271" s="116" t="s">
        <v>83</v>
      </c>
      <c r="C271" t="str">
        <f>'2021_Downloadtabelle_5-3-2'!$T$7</f>
        <v>20 bis unter 25 Jahre</v>
      </c>
      <c r="D271" t="s">
        <v>34</v>
      </c>
      <c r="E271" t="str">
        <f>"+"&amp;'2021_Downloadtabelle_5-3-2'!T24</f>
        <v>+6,3</v>
      </c>
    </row>
    <row r="272" spans="1:5" x14ac:dyDescent="0.25">
      <c r="A272" s="97"/>
      <c r="B272" s="116"/>
    </row>
    <row r="273" spans="1:2" x14ac:dyDescent="0.25">
      <c r="A273" s="97"/>
      <c r="B273" s="116"/>
    </row>
  </sheetData>
  <autoFilter ref="A1:E271" xr:uid="{784ECC9D-1684-451F-B3AD-5019A3CC6841}">
    <filterColumn colId="1">
      <filters>
        <filter val="Abstand der Arbeitslosenquote von Ausländerinnen und Ausländern zu Insgesamt"/>
        <filter val="Abstand der Arbeitslosenquote von Ausländerinnen und Ausländern zu Insgesamt (bis unter 25 Jahren)"/>
      </filters>
    </filterColumn>
    <filterColumn colId="2">
      <filters>
        <filter val="Frauen"/>
        <filter val="Insgesamt"/>
        <filter val="Männer"/>
      </filters>
    </filterColumn>
  </autoFilter>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5A19-7276-4D90-BB8B-A097A0407FF2}">
  <sheetPr codeName="Tabelle9"/>
  <dimension ref="A1:E27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t="s">
        <v>35</v>
      </c>
      <c r="B2" t="s">
        <v>80</v>
      </c>
      <c r="C2" t="s">
        <v>11</v>
      </c>
      <c r="D2" t="s">
        <v>81</v>
      </c>
      <c r="E2" s="97" t="s">
        <v>88</v>
      </c>
    </row>
    <row r="3" spans="1:5" x14ac:dyDescent="0.25">
      <c r="A3" t="s">
        <v>36</v>
      </c>
      <c r="B3" t="s">
        <v>80</v>
      </c>
      <c r="C3" t="s">
        <v>11</v>
      </c>
      <c r="D3" t="s">
        <v>81</v>
      </c>
      <c r="E3" s="97" t="s">
        <v>89</v>
      </c>
    </row>
    <row r="4" spans="1:5" x14ac:dyDescent="0.25">
      <c r="A4" t="s">
        <v>37</v>
      </c>
      <c r="B4" t="s">
        <v>80</v>
      </c>
      <c r="C4" t="s">
        <v>11</v>
      </c>
      <c r="D4" t="s">
        <v>81</v>
      </c>
      <c r="E4" s="97" t="s">
        <v>90</v>
      </c>
    </row>
    <row r="5" spans="1:5" x14ac:dyDescent="0.25">
      <c r="A5" t="s">
        <v>38</v>
      </c>
      <c r="B5" t="s">
        <v>80</v>
      </c>
      <c r="C5" t="s">
        <v>11</v>
      </c>
      <c r="D5" t="s">
        <v>81</v>
      </c>
      <c r="E5" s="97" t="s">
        <v>91</v>
      </c>
    </row>
    <row r="6" spans="1:5" x14ac:dyDescent="0.25">
      <c r="A6" t="s">
        <v>39</v>
      </c>
      <c r="B6" t="s">
        <v>80</v>
      </c>
      <c r="C6" t="s">
        <v>11</v>
      </c>
      <c r="D6" t="s">
        <v>81</v>
      </c>
      <c r="E6" s="97" t="s">
        <v>92</v>
      </c>
    </row>
    <row r="7" spans="1:5" x14ac:dyDescent="0.25">
      <c r="A7" t="s">
        <v>40</v>
      </c>
      <c r="B7" t="s">
        <v>80</v>
      </c>
      <c r="C7" t="s">
        <v>11</v>
      </c>
      <c r="D7" t="s">
        <v>81</v>
      </c>
      <c r="E7" s="97" t="s">
        <v>93</v>
      </c>
    </row>
    <row r="8" spans="1:5" x14ac:dyDescent="0.25">
      <c r="A8" t="s">
        <v>41</v>
      </c>
      <c r="B8" t="s">
        <v>80</v>
      </c>
      <c r="C8" t="s">
        <v>11</v>
      </c>
      <c r="D8" t="s">
        <v>81</v>
      </c>
      <c r="E8" s="97" t="s">
        <v>94</v>
      </c>
    </row>
    <row r="9" spans="1:5" x14ac:dyDescent="0.25">
      <c r="A9" t="s">
        <v>42</v>
      </c>
      <c r="B9" t="s">
        <v>80</v>
      </c>
      <c r="C9" t="s">
        <v>11</v>
      </c>
      <c r="D9" t="s">
        <v>81</v>
      </c>
      <c r="E9" s="97" t="s">
        <v>94</v>
      </c>
    </row>
    <row r="10" spans="1:5" x14ac:dyDescent="0.25">
      <c r="A10" t="s">
        <v>43</v>
      </c>
      <c r="B10" t="s">
        <v>80</v>
      </c>
      <c r="C10" t="s">
        <v>11</v>
      </c>
      <c r="D10" t="s">
        <v>81</v>
      </c>
      <c r="E10" s="97" t="s">
        <v>95</v>
      </c>
    </row>
    <row r="11" spans="1:5" x14ac:dyDescent="0.25">
      <c r="A11" t="s">
        <v>44</v>
      </c>
      <c r="B11" t="s">
        <v>80</v>
      </c>
      <c r="C11" t="s">
        <v>11</v>
      </c>
      <c r="D11" t="s">
        <v>81</v>
      </c>
      <c r="E11" s="97" t="s">
        <v>96</v>
      </c>
    </row>
    <row r="12" spans="1:5" x14ac:dyDescent="0.25">
      <c r="A12" t="s">
        <v>45</v>
      </c>
      <c r="B12" t="s">
        <v>80</v>
      </c>
      <c r="C12" t="s">
        <v>11</v>
      </c>
      <c r="D12" t="s">
        <v>81</v>
      </c>
      <c r="E12" s="97" t="s">
        <v>97</v>
      </c>
    </row>
    <row r="13" spans="1:5" x14ac:dyDescent="0.25">
      <c r="A13" t="s">
        <v>48</v>
      </c>
      <c r="B13" t="s">
        <v>80</v>
      </c>
      <c r="C13" t="s">
        <v>11</v>
      </c>
      <c r="D13" t="s">
        <v>81</v>
      </c>
      <c r="E13" s="97" t="s">
        <v>98</v>
      </c>
    </row>
    <row r="14" spans="1:5" x14ac:dyDescent="0.25">
      <c r="A14" t="s">
        <v>49</v>
      </c>
      <c r="B14" t="s">
        <v>80</v>
      </c>
      <c r="C14" t="s">
        <v>11</v>
      </c>
      <c r="D14" t="s">
        <v>81</v>
      </c>
      <c r="E14" s="97" t="s">
        <v>99</v>
      </c>
    </row>
    <row r="15" spans="1:5" x14ac:dyDescent="0.25">
      <c r="A15" t="s">
        <v>66</v>
      </c>
      <c r="B15" t="s">
        <v>80</v>
      </c>
      <c r="C15" t="s">
        <v>11</v>
      </c>
      <c r="D15" t="s">
        <v>81</v>
      </c>
      <c r="E15" s="97" t="s">
        <v>100</v>
      </c>
    </row>
    <row r="16" spans="1:5" x14ac:dyDescent="0.25">
      <c r="A16" t="s">
        <v>69</v>
      </c>
      <c r="B16" t="s">
        <v>80</v>
      </c>
      <c r="C16" t="s">
        <v>11</v>
      </c>
      <c r="D16" t="s">
        <v>81</v>
      </c>
      <c r="E16" s="97" t="s">
        <v>101</v>
      </c>
    </row>
    <row r="17" spans="1:5" x14ac:dyDescent="0.25">
      <c r="A17" t="s">
        <v>35</v>
      </c>
      <c r="B17" t="s">
        <v>80</v>
      </c>
      <c r="C17" t="s">
        <v>32</v>
      </c>
      <c r="D17" t="s">
        <v>81</v>
      </c>
      <c r="E17" s="97" t="s">
        <v>102</v>
      </c>
    </row>
    <row r="18" spans="1:5" x14ac:dyDescent="0.25">
      <c r="A18" t="s">
        <v>36</v>
      </c>
      <c r="B18" t="s">
        <v>80</v>
      </c>
      <c r="C18" t="s">
        <v>32</v>
      </c>
      <c r="D18" t="s">
        <v>81</v>
      </c>
      <c r="E18" s="97" t="s">
        <v>103</v>
      </c>
    </row>
    <row r="19" spans="1:5" x14ac:dyDescent="0.25">
      <c r="A19" t="s">
        <v>37</v>
      </c>
      <c r="B19" t="s">
        <v>80</v>
      </c>
      <c r="C19" t="s">
        <v>32</v>
      </c>
      <c r="D19" t="s">
        <v>81</v>
      </c>
      <c r="E19" s="97" t="s">
        <v>104</v>
      </c>
    </row>
    <row r="20" spans="1:5" x14ac:dyDescent="0.25">
      <c r="A20" t="s">
        <v>38</v>
      </c>
      <c r="B20" t="s">
        <v>80</v>
      </c>
      <c r="C20" t="s">
        <v>32</v>
      </c>
      <c r="D20" t="s">
        <v>81</v>
      </c>
      <c r="E20" s="97" t="s">
        <v>91</v>
      </c>
    </row>
    <row r="21" spans="1:5" x14ac:dyDescent="0.25">
      <c r="A21" t="s">
        <v>39</v>
      </c>
      <c r="B21" t="s">
        <v>80</v>
      </c>
      <c r="C21" t="s">
        <v>32</v>
      </c>
      <c r="D21" t="s">
        <v>81</v>
      </c>
      <c r="E21" s="97" t="s">
        <v>105</v>
      </c>
    </row>
    <row r="22" spans="1:5" x14ac:dyDescent="0.25">
      <c r="A22" t="s">
        <v>40</v>
      </c>
      <c r="B22" t="s">
        <v>80</v>
      </c>
      <c r="C22" t="s">
        <v>32</v>
      </c>
      <c r="D22" t="s">
        <v>81</v>
      </c>
      <c r="E22" s="97" t="s">
        <v>106</v>
      </c>
    </row>
    <row r="23" spans="1:5" x14ac:dyDescent="0.25">
      <c r="A23" t="s">
        <v>41</v>
      </c>
      <c r="B23" t="s">
        <v>80</v>
      </c>
      <c r="C23" t="s">
        <v>32</v>
      </c>
      <c r="D23" t="s">
        <v>81</v>
      </c>
      <c r="E23" s="97" t="s">
        <v>94</v>
      </c>
    </row>
    <row r="24" spans="1:5" x14ac:dyDescent="0.25">
      <c r="A24" t="s">
        <v>42</v>
      </c>
      <c r="B24" t="s">
        <v>80</v>
      </c>
      <c r="C24" t="s">
        <v>32</v>
      </c>
      <c r="D24" t="s">
        <v>81</v>
      </c>
      <c r="E24" s="97" t="s">
        <v>94</v>
      </c>
    </row>
    <row r="25" spans="1:5" x14ac:dyDescent="0.25">
      <c r="A25" t="s">
        <v>43</v>
      </c>
      <c r="B25" t="s">
        <v>80</v>
      </c>
      <c r="C25" t="s">
        <v>32</v>
      </c>
      <c r="D25" t="s">
        <v>81</v>
      </c>
      <c r="E25" s="97" t="s">
        <v>95</v>
      </c>
    </row>
    <row r="26" spans="1:5" x14ac:dyDescent="0.25">
      <c r="A26" t="s">
        <v>44</v>
      </c>
      <c r="B26" t="s">
        <v>80</v>
      </c>
      <c r="C26" t="s">
        <v>32</v>
      </c>
      <c r="D26" t="s">
        <v>81</v>
      </c>
      <c r="E26" s="97" t="s">
        <v>100</v>
      </c>
    </row>
    <row r="27" spans="1:5" x14ac:dyDescent="0.25">
      <c r="A27" t="s">
        <v>45</v>
      </c>
      <c r="B27" t="s">
        <v>80</v>
      </c>
      <c r="C27" t="s">
        <v>32</v>
      </c>
      <c r="D27" t="s">
        <v>81</v>
      </c>
      <c r="E27" s="97" t="s">
        <v>96</v>
      </c>
    </row>
    <row r="28" spans="1:5" x14ac:dyDescent="0.25">
      <c r="A28" t="s">
        <v>48</v>
      </c>
      <c r="B28" t="s">
        <v>80</v>
      </c>
      <c r="C28" t="s">
        <v>32</v>
      </c>
      <c r="D28" t="s">
        <v>81</v>
      </c>
      <c r="E28" s="97" t="s">
        <v>107</v>
      </c>
    </row>
    <row r="29" spans="1:5" x14ac:dyDescent="0.25">
      <c r="A29" t="s">
        <v>49</v>
      </c>
      <c r="B29" t="s">
        <v>80</v>
      </c>
      <c r="C29" t="s">
        <v>32</v>
      </c>
      <c r="D29" t="s">
        <v>81</v>
      </c>
      <c r="E29" s="97" t="s">
        <v>98</v>
      </c>
    </row>
    <row r="30" spans="1:5" x14ac:dyDescent="0.25">
      <c r="A30" t="s">
        <v>66</v>
      </c>
      <c r="B30" t="s">
        <v>80</v>
      </c>
      <c r="C30" t="s">
        <v>32</v>
      </c>
      <c r="D30" t="s">
        <v>81</v>
      </c>
      <c r="E30" s="97" t="s">
        <v>108</v>
      </c>
    </row>
    <row r="31" spans="1:5" x14ac:dyDescent="0.25">
      <c r="A31" t="s">
        <v>69</v>
      </c>
      <c r="B31" t="s">
        <v>80</v>
      </c>
      <c r="C31" t="s">
        <v>32</v>
      </c>
      <c r="D31" t="s">
        <v>81</v>
      </c>
      <c r="E31" s="97" t="s">
        <v>109</v>
      </c>
    </row>
    <row r="32" spans="1:5" x14ac:dyDescent="0.25">
      <c r="A32" t="s">
        <v>35</v>
      </c>
      <c r="B32" t="s">
        <v>80</v>
      </c>
      <c r="C32" t="s">
        <v>15</v>
      </c>
      <c r="D32" t="s">
        <v>81</v>
      </c>
      <c r="E32" s="97" t="s">
        <v>110</v>
      </c>
    </row>
    <row r="33" spans="1:5" x14ac:dyDescent="0.25">
      <c r="A33" t="s">
        <v>36</v>
      </c>
      <c r="B33" t="s">
        <v>80</v>
      </c>
      <c r="C33" t="s">
        <v>15</v>
      </c>
      <c r="D33" t="s">
        <v>81</v>
      </c>
      <c r="E33" s="97" t="s">
        <v>111</v>
      </c>
    </row>
    <row r="34" spans="1:5" x14ac:dyDescent="0.25">
      <c r="A34" t="s">
        <v>37</v>
      </c>
      <c r="B34" t="s">
        <v>80</v>
      </c>
      <c r="C34" t="s">
        <v>15</v>
      </c>
      <c r="D34" t="s">
        <v>81</v>
      </c>
      <c r="E34" s="97" t="s">
        <v>112</v>
      </c>
    </row>
    <row r="35" spans="1:5" x14ac:dyDescent="0.25">
      <c r="A35" t="s">
        <v>38</v>
      </c>
      <c r="B35" t="s">
        <v>80</v>
      </c>
      <c r="C35" t="s">
        <v>15</v>
      </c>
      <c r="D35" t="s">
        <v>81</v>
      </c>
      <c r="E35" s="97" t="s">
        <v>91</v>
      </c>
    </row>
    <row r="36" spans="1:5" x14ac:dyDescent="0.25">
      <c r="A36" t="s">
        <v>39</v>
      </c>
      <c r="B36" t="s">
        <v>80</v>
      </c>
      <c r="C36" t="s">
        <v>15</v>
      </c>
      <c r="D36" t="s">
        <v>81</v>
      </c>
      <c r="E36" s="97" t="s">
        <v>103</v>
      </c>
    </row>
    <row r="37" spans="1:5" x14ac:dyDescent="0.25">
      <c r="A37" t="s">
        <v>40</v>
      </c>
      <c r="B37" t="s">
        <v>80</v>
      </c>
      <c r="C37" t="s">
        <v>15</v>
      </c>
      <c r="D37" t="s">
        <v>81</v>
      </c>
      <c r="E37" s="97" t="s">
        <v>108</v>
      </c>
    </row>
    <row r="38" spans="1:5" x14ac:dyDescent="0.25">
      <c r="A38" t="s">
        <v>41</v>
      </c>
      <c r="B38" t="s">
        <v>80</v>
      </c>
      <c r="C38" t="s">
        <v>15</v>
      </c>
      <c r="D38" t="s">
        <v>81</v>
      </c>
      <c r="E38" s="97" t="s">
        <v>108</v>
      </c>
    </row>
    <row r="39" spans="1:5" x14ac:dyDescent="0.25">
      <c r="A39" t="s">
        <v>42</v>
      </c>
      <c r="B39" t="s">
        <v>80</v>
      </c>
      <c r="C39" t="s">
        <v>15</v>
      </c>
      <c r="D39" t="s">
        <v>81</v>
      </c>
      <c r="E39" s="97" t="s">
        <v>94</v>
      </c>
    </row>
    <row r="40" spans="1:5" x14ac:dyDescent="0.25">
      <c r="A40" t="s">
        <v>43</v>
      </c>
      <c r="B40" t="s">
        <v>80</v>
      </c>
      <c r="C40" t="s">
        <v>15</v>
      </c>
      <c r="D40" t="s">
        <v>81</v>
      </c>
      <c r="E40" s="97" t="s">
        <v>96</v>
      </c>
    </row>
    <row r="41" spans="1:5" x14ac:dyDescent="0.25">
      <c r="A41" t="s">
        <v>44</v>
      </c>
      <c r="B41" t="s">
        <v>80</v>
      </c>
      <c r="C41" t="s">
        <v>15</v>
      </c>
      <c r="D41" t="s">
        <v>81</v>
      </c>
      <c r="E41" s="97" t="s">
        <v>97</v>
      </c>
    </row>
    <row r="42" spans="1:5" x14ac:dyDescent="0.25">
      <c r="A42" t="s">
        <v>45</v>
      </c>
      <c r="B42" t="s">
        <v>80</v>
      </c>
      <c r="C42" t="s">
        <v>15</v>
      </c>
      <c r="D42" t="s">
        <v>81</v>
      </c>
      <c r="E42" s="97" t="s">
        <v>101</v>
      </c>
    </row>
    <row r="43" spans="1:5" x14ac:dyDescent="0.25">
      <c r="A43" t="s">
        <v>48</v>
      </c>
      <c r="B43" t="s">
        <v>80</v>
      </c>
      <c r="C43" t="s">
        <v>15</v>
      </c>
      <c r="D43" t="s">
        <v>81</v>
      </c>
      <c r="E43" s="97" t="s">
        <v>113</v>
      </c>
    </row>
    <row r="44" spans="1:5" x14ac:dyDescent="0.25">
      <c r="A44" t="s">
        <v>49</v>
      </c>
      <c r="B44" t="s">
        <v>80</v>
      </c>
      <c r="C44" t="s">
        <v>15</v>
      </c>
      <c r="D44" t="s">
        <v>81</v>
      </c>
      <c r="E44" s="97" t="s">
        <v>114</v>
      </c>
    </row>
    <row r="45" spans="1:5" x14ac:dyDescent="0.25">
      <c r="A45" t="s">
        <v>66</v>
      </c>
      <c r="B45" t="s">
        <v>80</v>
      </c>
      <c r="C45" t="s">
        <v>15</v>
      </c>
      <c r="D45" t="s">
        <v>81</v>
      </c>
      <c r="E45" s="97" t="s">
        <v>109</v>
      </c>
    </row>
    <row r="46" spans="1:5" x14ac:dyDescent="0.25">
      <c r="A46" t="s">
        <v>69</v>
      </c>
      <c r="B46" t="s">
        <v>80</v>
      </c>
      <c r="C46" t="s">
        <v>15</v>
      </c>
      <c r="D46" t="s">
        <v>81</v>
      </c>
      <c r="E46" s="97" t="s">
        <v>107</v>
      </c>
    </row>
    <row r="47" spans="1:5" x14ac:dyDescent="0.25">
      <c r="A47" t="s">
        <v>35</v>
      </c>
      <c r="B47" t="s">
        <v>30</v>
      </c>
      <c r="C47" t="s">
        <v>11</v>
      </c>
      <c r="D47" t="s">
        <v>81</v>
      </c>
      <c r="E47" s="97" t="s">
        <v>115</v>
      </c>
    </row>
    <row r="48" spans="1:5" x14ac:dyDescent="0.25">
      <c r="A48" t="s">
        <v>36</v>
      </c>
      <c r="B48" t="s">
        <v>30</v>
      </c>
      <c r="C48" t="s">
        <v>11</v>
      </c>
      <c r="D48" t="s">
        <v>81</v>
      </c>
      <c r="E48" s="97" t="s">
        <v>116</v>
      </c>
    </row>
    <row r="49" spans="1:5" x14ac:dyDescent="0.25">
      <c r="A49" t="s">
        <v>37</v>
      </c>
      <c r="B49" t="s">
        <v>30</v>
      </c>
      <c r="C49" t="s">
        <v>11</v>
      </c>
      <c r="D49" t="s">
        <v>81</v>
      </c>
      <c r="E49" s="97" t="s">
        <v>117</v>
      </c>
    </row>
    <row r="50" spans="1:5" x14ac:dyDescent="0.25">
      <c r="A50" t="s">
        <v>38</v>
      </c>
      <c r="B50" t="s">
        <v>30</v>
      </c>
      <c r="C50" t="s">
        <v>11</v>
      </c>
      <c r="D50" t="s">
        <v>81</v>
      </c>
      <c r="E50" s="97" t="s">
        <v>118</v>
      </c>
    </row>
    <row r="51" spans="1:5" x14ac:dyDescent="0.25">
      <c r="A51" t="s">
        <v>39</v>
      </c>
      <c r="B51" t="s">
        <v>30</v>
      </c>
      <c r="C51" t="s">
        <v>11</v>
      </c>
      <c r="D51" t="s">
        <v>81</v>
      </c>
      <c r="E51" s="97" t="s">
        <v>119</v>
      </c>
    </row>
    <row r="52" spans="1:5" x14ac:dyDescent="0.25">
      <c r="A52" t="s">
        <v>40</v>
      </c>
      <c r="B52" t="s">
        <v>30</v>
      </c>
      <c r="C52" t="s">
        <v>11</v>
      </c>
      <c r="D52" t="s">
        <v>81</v>
      </c>
      <c r="E52" s="97" t="s">
        <v>120</v>
      </c>
    </row>
    <row r="53" spans="1:5" x14ac:dyDescent="0.25">
      <c r="A53" t="s">
        <v>41</v>
      </c>
      <c r="B53" t="s">
        <v>30</v>
      </c>
      <c r="C53" t="s">
        <v>11</v>
      </c>
      <c r="D53" t="s">
        <v>81</v>
      </c>
      <c r="E53" s="97" t="s">
        <v>121</v>
      </c>
    </row>
    <row r="54" spans="1:5" x14ac:dyDescent="0.25">
      <c r="A54" t="s">
        <v>42</v>
      </c>
      <c r="B54" t="s">
        <v>30</v>
      </c>
      <c r="C54" t="s">
        <v>11</v>
      </c>
      <c r="D54" t="s">
        <v>81</v>
      </c>
      <c r="E54" s="97" t="s">
        <v>120</v>
      </c>
    </row>
    <row r="55" spans="1:5" x14ac:dyDescent="0.25">
      <c r="A55" t="s">
        <v>43</v>
      </c>
      <c r="B55" t="s">
        <v>30</v>
      </c>
      <c r="C55" t="s">
        <v>11</v>
      </c>
      <c r="D55" t="s">
        <v>81</v>
      </c>
      <c r="E55" s="97" t="s">
        <v>122</v>
      </c>
    </row>
    <row r="56" spans="1:5" x14ac:dyDescent="0.25">
      <c r="A56" t="s">
        <v>44</v>
      </c>
      <c r="B56" t="s">
        <v>30</v>
      </c>
      <c r="C56" t="s">
        <v>11</v>
      </c>
      <c r="D56" t="s">
        <v>81</v>
      </c>
      <c r="E56" s="97" t="s">
        <v>123</v>
      </c>
    </row>
    <row r="57" spans="1:5" x14ac:dyDescent="0.25">
      <c r="A57" t="s">
        <v>45</v>
      </c>
      <c r="B57" t="s">
        <v>30</v>
      </c>
      <c r="C57" t="s">
        <v>11</v>
      </c>
      <c r="D57" t="s">
        <v>81</v>
      </c>
      <c r="E57" s="97" t="s">
        <v>124</v>
      </c>
    </row>
    <row r="58" spans="1:5" x14ac:dyDescent="0.25">
      <c r="A58" t="s">
        <v>48</v>
      </c>
      <c r="B58" t="s">
        <v>30</v>
      </c>
      <c r="C58" t="s">
        <v>11</v>
      </c>
      <c r="D58" t="s">
        <v>81</v>
      </c>
      <c r="E58" s="97" t="s">
        <v>125</v>
      </c>
    </row>
    <row r="59" spans="1:5" x14ac:dyDescent="0.25">
      <c r="A59" t="s">
        <v>49</v>
      </c>
      <c r="B59" t="s">
        <v>30</v>
      </c>
      <c r="C59" t="s">
        <v>11</v>
      </c>
      <c r="D59" t="s">
        <v>81</v>
      </c>
      <c r="E59" s="97" t="s">
        <v>126</v>
      </c>
    </row>
    <row r="60" spans="1:5" x14ac:dyDescent="0.25">
      <c r="A60" t="s">
        <v>66</v>
      </c>
      <c r="B60" t="s">
        <v>30</v>
      </c>
      <c r="C60" t="s">
        <v>11</v>
      </c>
      <c r="D60" t="s">
        <v>81</v>
      </c>
      <c r="E60" s="97" t="s">
        <v>127</v>
      </c>
    </row>
    <row r="61" spans="1:5" x14ac:dyDescent="0.25">
      <c r="A61" t="s">
        <v>69</v>
      </c>
      <c r="B61" t="s">
        <v>30</v>
      </c>
      <c r="C61" t="s">
        <v>11</v>
      </c>
      <c r="D61" t="s">
        <v>81</v>
      </c>
      <c r="E61" s="97" t="s">
        <v>121</v>
      </c>
    </row>
    <row r="62" spans="1:5" x14ac:dyDescent="0.25">
      <c r="A62" t="s">
        <v>35</v>
      </c>
      <c r="B62" t="s">
        <v>30</v>
      </c>
      <c r="C62" t="s">
        <v>32</v>
      </c>
      <c r="D62" t="s">
        <v>81</v>
      </c>
      <c r="E62" s="97" t="s">
        <v>128</v>
      </c>
    </row>
    <row r="63" spans="1:5" x14ac:dyDescent="0.25">
      <c r="A63" t="s">
        <v>36</v>
      </c>
      <c r="B63" t="s">
        <v>30</v>
      </c>
      <c r="C63" t="s">
        <v>32</v>
      </c>
      <c r="D63" t="s">
        <v>81</v>
      </c>
      <c r="E63" s="97" t="s">
        <v>119</v>
      </c>
    </row>
    <row r="64" spans="1:5" x14ac:dyDescent="0.25">
      <c r="A64" t="s">
        <v>37</v>
      </c>
      <c r="B64" t="s">
        <v>30</v>
      </c>
      <c r="C64" t="s">
        <v>32</v>
      </c>
      <c r="D64" t="s">
        <v>81</v>
      </c>
      <c r="E64" s="97" t="s">
        <v>129</v>
      </c>
    </row>
    <row r="65" spans="1:5" x14ac:dyDescent="0.25">
      <c r="A65" t="s">
        <v>38</v>
      </c>
      <c r="B65" t="s">
        <v>30</v>
      </c>
      <c r="C65" t="s">
        <v>32</v>
      </c>
      <c r="D65" t="s">
        <v>81</v>
      </c>
      <c r="E65" s="97" t="s">
        <v>130</v>
      </c>
    </row>
    <row r="66" spans="1:5" x14ac:dyDescent="0.25">
      <c r="A66" t="s">
        <v>39</v>
      </c>
      <c r="B66" t="s">
        <v>30</v>
      </c>
      <c r="C66" t="s">
        <v>32</v>
      </c>
      <c r="D66" t="s">
        <v>81</v>
      </c>
      <c r="E66" s="97" t="s">
        <v>131</v>
      </c>
    </row>
    <row r="67" spans="1:5" x14ac:dyDescent="0.25">
      <c r="A67" t="s">
        <v>40</v>
      </c>
      <c r="B67" t="s">
        <v>30</v>
      </c>
      <c r="C67" t="s">
        <v>32</v>
      </c>
      <c r="D67" t="s">
        <v>81</v>
      </c>
      <c r="E67" s="97" t="s">
        <v>132</v>
      </c>
    </row>
    <row r="68" spans="1:5" x14ac:dyDescent="0.25">
      <c r="A68" t="s">
        <v>41</v>
      </c>
      <c r="B68" t="s">
        <v>30</v>
      </c>
      <c r="C68" t="s">
        <v>32</v>
      </c>
      <c r="D68" t="s">
        <v>81</v>
      </c>
      <c r="E68" s="97" t="s">
        <v>133</v>
      </c>
    </row>
    <row r="69" spans="1:5" x14ac:dyDescent="0.25">
      <c r="A69" t="s">
        <v>42</v>
      </c>
      <c r="B69" t="s">
        <v>30</v>
      </c>
      <c r="C69" t="s">
        <v>32</v>
      </c>
      <c r="D69" t="s">
        <v>81</v>
      </c>
      <c r="E69" s="97" t="s">
        <v>133</v>
      </c>
    </row>
    <row r="70" spans="1:5" x14ac:dyDescent="0.25">
      <c r="A70" t="s">
        <v>43</v>
      </c>
      <c r="B70" t="s">
        <v>30</v>
      </c>
      <c r="C70" t="s">
        <v>32</v>
      </c>
      <c r="D70" t="s">
        <v>81</v>
      </c>
      <c r="E70" s="97" t="s">
        <v>132</v>
      </c>
    </row>
    <row r="71" spans="1:5" x14ac:dyDescent="0.25">
      <c r="A71" t="s">
        <v>44</v>
      </c>
      <c r="B71" t="s">
        <v>30</v>
      </c>
      <c r="C71" t="s">
        <v>32</v>
      </c>
      <c r="D71" t="s">
        <v>81</v>
      </c>
      <c r="E71" s="97" t="s">
        <v>134</v>
      </c>
    </row>
    <row r="72" spans="1:5" x14ac:dyDescent="0.25">
      <c r="A72" t="s">
        <v>45</v>
      </c>
      <c r="B72" t="s">
        <v>30</v>
      </c>
      <c r="C72" t="s">
        <v>32</v>
      </c>
      <c r="D72" t="s">
        <v>81</v>
      </c>
      <c r="E72" s="97" t="s">
        <v>122</v>
      </c>
    </row>
    <row r="73" spans="1:5" x14ac:dyDescent="0.25">
      <c r="A73" t="s">
        <v>48</v>
      </c>
      <c r="B73" t="s">
        <v>30</v>
      </c>
      <c r="C73" t="s">
        <v>32</v>
      </c>
      <c r="D73" t="s">
        <v>81</v>
      </c>
      <c r="E73" s="97" t="s">
        <v>133</v>
      </c>
    </row>
    <row r="74" spans="1:5" x14ac:dyDescent="0.25">
      <c r="A74" t="s">
        <v>49</v>
      </c>
      <c r="B74" t="s">
        <v>30</v>
      </c>
      <c r="C74" t="s">
        <v>32</v>
      </c>
      <c r="D74" t="s">
        <v>81</v>
      </c>
      <c r="E74" s="97" t="s">
        <v>135</v>
      </c>
    </row>
    <row r="75" spans="1:5" x14ac:dyDescent="0.25">
      <c r="A75" t="s">
        <v>66</v>
      </c>
      <c r="B75" t="s">
        <v>30</v>
      </c>
      <c r="C75" t="s">
        <v>32</v>
      </c>
      <c r="D75" t="s">
        <v>81</v>
      </c>
      <c r="E75" s="97" t="s">
        <v>122</v>
      </c>
    </row>
    <row r="76" spans="1:5" x14ac:dyDescent="0.25">
      <c r="A76" t="s">
        <v>69</v>
      </c>
      <c r="B76" t="s">
        <v>30</v>
      </c>
      <c r="C76" t="s">
        <v>32</v>
      </c>
      <c r="D76" t="s">
        <v>81</v>
      </c>
      <c r="E76" s="97" t="s">
        <v>136</v>
      </c>
    </row>
    <row r="77" spans="1:5" x14ac:dyDescent="0.25">
      <c r="A77" t="s">
        <v>35</v>
      </c>
      <c r="B77" t="s">
        <v>30</v>
      </c>
      <c r="C77" t="s">
        <v>15</v>
      </c>
      <c r="D77" t="s">
        <v>81</v>
      </c>
      <c r="E77" s="97" t="s">
        <v>137</v>
      </c>
    </row>
    <row r="78" spans="1:5" x14ac:dyDescent="0.25">
      <c r="A78" t="s">
        <v>36</v>
      </c>
      <c r="B78" t="s">
        <v>30</v>
      </c>
      <c r="C78" t="s">
        <v>15</v>
      </c>
      <c r="D78" t="s">
        <v>81</v>
      </c>
      <c r="E78" s="97" t="s">
        <v>138</v>
      </c>
    </row>
    <row r="79" spans="1:5" x14ac:dyDescent="0.25">
      <c r="A79" t="s">
        <v>37</v>
      </c>
      <c r="B79" t="s">
        <v>30</v>
      </c>
      <c r="C79" t="s">
        <v>15</v>
      </c>
      <c r="D79" t="s">
        <v>81</v>
      </c>
      <c r="E79" s="97" t="s">
        <v>139</v>
      </c>
    </row>
    <row r="80" spans="1:5" x14ac:dyDescent="0.25">
      <c r="A80" t="s">
        <v>38</v>
      </c>
      <c r="B80" t="s">
        <v>30</v>
      </c>
      <c r="C80" t="s">
        <v>15</v>
      </c>
      <c r="D80" t="s">
        <v>81</v>
      </c>
      <c r="E80" s="97" t="s">
        <v>140</v>
      </c>
    </row>
    <row r="81" spans="1:5" x14ac:dyDescent="0.25">
      <c r="A81" t="s">
        <v>39</v>
      </c>
      <c r="B81" t="s">
        <v>30</v>
      </c>
      <c r="C81" t="s">
        <v>15</v>
      </c>
      <c r="D81" t="s">
        <v>81</v>
      </c>
      <c r="E81" s="97" t="s">
        <v>141</v>
      </c>
    </row>
    <row r="82" spans="1:5" x14ac:dyDescent="0.25">
      <c r="A82" t="s">
        <v>40</v>
      </c>
      <c r="B82" t="s">
        <v>30</v>
      </c>
      <c r="C82" t="s">
        <v>15</v>
      </c>
      <c r="D82" t="s">
        <v>81</v>
      </c>
      <c r="E82" s="97" t="s">
        <v>142</v>
      </c>
    </row>
    <row r="83" spans="1:5" x14ac:dyDescent="0.25">
      <c r="A83" t="s">
        <v>41</v>
      </c>
      <c r="B83" t="s">
        <v>30</v>
      </c>
      <c r="C83" t="s">
        <v>15</v>
      </c>
      <c r="D83" t="s">
        <v>81</v>
      </c>
      <c r="E83" s="97" t="s">
        <v>129</v>
      </c>
    </row>
    <row r="84" spans="1:5" x14ac:dyDescent="0.25">
      <c r="A84" t="s">
        <v>42</v>
      </c>
      <c r="B84" t="s">
        <v>30</v>
      </c>
      <c r="C84" t="s">
        <v>15</v>
      </c>
      <c r="D84" t="s">
        <v>81</v>
      </c>
      <c r="E84" s="97" t="s">
        <v>128</v>
      </c>
    </row>
    <row r="85" spans="1:5" x14ac:dyDescent="0.25">
      <c r="A85" t="s">
        <v>43</v>
      </c>
      <c r="B85" t="s">
        <v>30</v>
      </c>
      <c r="C85" t="s">
        <v>15</v>
      </c>
      <c r="D85" t="s">
        <v>81</v>
      </c>
      <c r="E85" s="97" t="s">
        <v>143</v>
      </c>
    </row>
    <row r="86" spans="1:5" x14ac:dyDescent="0.25">
      <c r="A86" t="s">
        <v>44</v>
      </c>
      <c r="B86" t="s">
        <v>30</v>
      </c>
      <c r="C86" t="s">
        <v>15</v>
      </c>
      <c r="D86" t="s">
        <v>81</v>
      </c>
      <c r="E86" s="97" t="s">
        <v>144</v>
      </c>
    </row>
    <row r="87" spans="1:5" x14ac:dyDescent="0.25">
      <c r="A87" t="s">
        <v>45</v>
      </c>
      <c r="B87" t="s">
        <v>30</v>
      </c>
      <c r="C87" t="s">
        <v>15</v>
      </c>
      <c r="D87" t="s">
        <v>81</v>
      </c>
      <c r="E87" s="97" t="s">
        <v>145</v>
      </c>
    </row>
    <row r="88" spans="1:5" x14ac:dyDescent="0.25">
      <c r="A88" t="s">
        <v>48</v>
      </c>
      <c r="B88" t="s">
        <v>30</v>
      </c>
      <c r="C88" t="s">
        <v>15</v>
      </c>
      <c r="D88" t="s">
        <v>81</v>
      </c>
      <c r="E88" s="97" t="s">
        <v>146</v>
      </c>
    </row>
    <row r="89" spans="1:5" x14ac:dyDescent="0.25">
      <c r="A89" t="s">
        <v>49</v>
      </c>
      <c r="B89" t="s">
        <v>30</v>
      </c>
      <c r="C89" t="s">
        <v>15</v>
      </c>
      <c r="D89" t="s">
        <v>81</v>
      </c>
      <c r="E89" s="97" t="s">
        <v>119</v>
      </c>
    </row>
    <row r="90" spans="1:5" x14ac:dyDescent="0.25">
      <c r="A90" t="s">
        <v>66</v>
      </c>
      <c r="B90" t="s">
        <v>30</v>
      </c>
      <c r="C90" t="s">
        <v>15</v>
      </c>
      <c r="D90" t="s">
        <v>81</v>
      </c>
      <c r="E90" s="97" t="s">
        <v>147</v>
      </c>
    </row>
    <row r="91" spans="1:5" x14ac:dyDescent="0.25">
      <c r="A91" t="s">
        <v>69</v>
      </c>
      <c r="B91" t="s">
        <v>30</v>
      </c>
      <c r="C91" t="s">
        <v>15</v>
      </c>
      <c r="D91" t="s">
        <v>81</v>
      </c>
      <c r="E91" s="97" t="s">
        <v>148</v>
      </c>
    </row>
    <row r="92" spans="1:5" x14ac:dyDescent="0.25">
      <c r="A92" t="s">
        <v>35</v>
      </c>
      <c r="B92" t="s">
        <v>31</v>
      </c>
      <c r="C92" t="s">
        <v>11</v>
      </c>
      <c r="D92" t="s">
        <v>34</v>
      </c>
      <c r="E92" s="97" t="s">
        <v>149</v>
      </c>
    </row>
    <row r="93" spans="1:5" x14ac:dyDescent="0.25">
      <c r="A93" t="s">
        <v>36</v>
      </c>
      <c r="B93" t="s">
        <v>31</v>
      </c>
      <c r="C93" t="s">
        <v>11</v>
      </c>
      <c r="D93" t="s">
        <v>34</v>
      </c>
      <c r="E93" s="97" t="s">
        <v>149</v>
      </c>
    </row>
    <row r="94" spans="1:5" x14ac:dyDescent="0.25">
      <c r="A94" t="s">
        <v>37</v>
      </c>
      <c r="B94" t="s">
        <v>31</v>
      </c>
      <c r="C94" t="s">
        <v>11</v>
      </c>
      <c r="D94" t="s">
        <v>34</v>
      </c>
      <c r="E94" s="97" t="s">
        <v>150</v>
      </c>
    </row>
    <row r="95" spans="1:5" x14ac:dyDescent="0.25">
      <c r="A95" t="s">
        <v>38</v>
      </c>
      <c r="B95" t="s">
        <v>31</v>
      </c>
      <c r="C95" t="s">
        <v>11</v>
      </c>
      <c r="D95" t="s">
        <v>34</v>
      </c>
      <c r="E95" s="97" t="s">
        <v>151</v>
      </c>
    </row>
    <row r="96" spans="1:5" x14ac:dyDescent="0.25">
      <c r="A96" t="s">
        <v>39</v>
      </c>
      <c r="B96" t="s">
        <v>31</v>
      </c>
      <c r="C96" t="s">
        <v>11</v>
      </c>
      <c r="D96" t="s">
        <v>34</v>
      </c>
      <c r="E96" s="97" t="s">
        <v>152</v>
      </c>
    </row>
    <row r="97" spans="1:5" x14ac:dyDescent="0.25">
      <c r="A97" t="s">
        <v>40</v>
      </c>
      <c r="B97" t="s">
        <v>31</v>
      </c>
      <c r="C97" t="s">
        <v>11</v>
      </c>
      <c r="D97" t="s">
        <v>34</v>
      </c>
      <c r="E97" s="97" t="s">
        <v>153</v>
      </c>
    </row>
    <row r="98" spans="1:5" x14ac:dyDescent="0.25">
      <c r="A98" t="s">
        <v>41</v>
      </c>
      <c r="B98" t="s">
        <v>31</v>
      </c>
      <c r="C98" t="s">
        <v>11</v>
      </c>
      <c r="D98" t="s">
        <v>34</v>
      </c>
      <c r="E98" s="97" t="s">
        <v>154</v>
      </c>
    </row>
    <row r="99" spans="1:5" x14ac:dyDescent="0.25">
      <c r="A99" t="s">
        <v>42</v>
      </c>
      <c r="B99" t="s">
        <v>31</v>
      </c>
      <c r="C99" t="s">
        <v>11</v>
      </c>
      <c r="D99" t="s">
        <v>34</v>
      </c>
      <c r="E99" s="97" t="s">
        <v>155</v>
      </c>
    </row>
    <row r="100" spans="1:5" x14ac:dyDescent="0.25">
      <c r="A100" t="s">
        <v>43</v>
      </c>
      <c r="B100" t="s">
        <v>31</v>
      </c>
      <c r="C100" t="s">
        <v>11</v>
      </c>
      <c r="D100" t="s">
        <v>34</v>
      </c>
      <c r="E100" s="97" t="s">
        <v>156</v>
      </c>
    </row>
    <row r="101" spans="1:5" x14ac:dyDescent="0.25">
      <c r="A101" t="s">
        <v>44</v>
      </c>
      <c r="B101" t="s">
        <v>31</v>
      </c>
      <c r="C101" t="s">
        <v>11</v>
      </c>
      <c r="D101" t="s">
        <v>34</v>
      </c>
      <c r="E101" s="97" t="s">
        <v>149</v>
      </c>
    </row>
    <row r="102" spans="1:5" x14ac:dyDescent="0.25">
      <c r="A102" t="s">
        <v>45</v>
      </c>
      <c r="B102" t="s">
        <v>31</v>
      </c>
      <c r="C102" t="s">
        <v>11</v>
      </c>
      <c r="D102" t="s">
        <v>34</v>
      </c>
      <c r="E102" s="97" t="s">
        <v>157</v>
      </c>
    </row>
    <row r="103" spans="1:5" x14ac:dyDescent="0.25">
      <c r="A103" t="s">
        <v>48</v>
      </c>
      <c r="B103" t="s">
        <v>31</v>
      </c>
      <c r="C103" t="s">
        <v>11</v>
      </c>
      <c r="D103" t="s">
        <v>34</v>
      </c>
      <c r="E103" s="97" t="s">
        <v>152</v>
      </c>
    </row>
    <row r="104" spans="1:5" x14ac:dyDescent="0.25">
      <c r="A104" t="s">
        <v>49</v>
      </c>
      <c r="B104" t="s">
        <v>31</v>
      </c>
      <c r="C104" t="s">
        <v>11</v>
      </c>
      <c r="D104" t="s">
        <v>34</v>
      </c>
      <c r="E104" s="97" t="s">
        <v>153</v>
      </c>
    </row>
    <row r="105" spans="1:5" x14ac:dyDescent="0.25">
      <c r="A105" t="s">
        <v>66</v>
      </c>
      <c r="B105" t="s">
        <v>31</v>
      </c>
      <c r="C105" t="s">
        <v>11</v>
      </c>
      <c r="D105" t="s">
        <v>34</v>
      </c>
      <c r="E105" s="97" t="s">
        <v>150</v>
      </c>
    </row>
    <row r="106" spans="1:5" x14ac:dyDescent="0.25">
      <c r="A106" t="s">
        <v>69</v>
      </c>
      <c r="B106" t="s">
        <v>31</v>
      </c>
      <c r="C106" t="s">
        <v>11</v>
      </c>
      <c r="D106" t="s">
        <v>34</v>
      </c>
      <c r="E106" s="97" t="s">
        <v>158</v>
      </c>
    </row>
    <row r="107" spans="1:5" x14ac:dyDescent="0.25">
      <c r="A107" t="s">
        <v>35</v>
      </c>
      <c r="B107" t="s">
        <v>31</v>
      </c>
      <c r="C107" t="s">
        <v>32</v>
      </c>
      <c r="D107" t="s">
        <v>34</v>
      </c>
      <c r="E107" s="97" t="s">
        <v>159</v>
      </c>
    </row>
    <row r="108" spans="1:5" x14ac:dyDescent="0.25">
      <c r="A108" t="s">
        <v>36</v>
      </c>
      <c r="B108" t="s">
        <v>31</v>
      </c>
      <c r="C108" t="s">
        <v>32</v>
      </c>
      <c r="D108" t="s">
        <v>34</v>
      </c>
      <c r="E108" s="97" t="s">
        <v>160</v>
      </c>
    </row>
    <row r="109" spans="1:5" x14ac:dyDescent="0.25">
      <c r="A109" t="s">
        <v>37</v>
      </c>
      <c r="B109" t="s">
        <v>31</v>
      </c>
      <c r="C109" t="s">
        <v>32</v>
      </c>
      <c r="D109" t="s">
        <v>34</v>
      </c>
      <c r="E109" s="97" t="s">
        <v>160</v>
      </c>
    </row>
    <row r="110" spans="1:5" x14ac:dyDescent="0.25">
      <c r="A110" t="s">
        <v>38</v>
      </c>
      <c r="B110" t="s">
        <v>31</v>
      </c>
      <c r="C110" t="s">
        <v>32</v>
      </c>
      <c r="D110" t="s">
        <v>34</v>
      </c>
      <c r="E110" s="97" t="s">
        <v>161</v>
      </c>
    </row>
    <row r="111" spans="1:5" x14ac:dyDescent="0.25">
      <c r="A111" t="s">
        <v>39</v>
      </c>
      <c r="B111" t="s">
        <v>31</v>
      </c>
      <c r="C111" t="s">
        <v>32</v>
      </c>
      <c r="D111" t="s">
        <v>34</v>
      </c>
      <c r="E111" s="97" t="s">
        <v>84</v>
      </c>
    </row>
    <row r="112" spans="1:5" x14ac:dyDescent="0.25">
      <c r="A112" t="s">
        <v>40</v>
      </c>
      <c r="B112" t="s">
        <v>31</v>
      </c>
      <c r="C112" t="s">
        <v>32</v>
      </c>
      <c r="D112" t="s">
        <v>34</v>
      </c>
      <c r="E112" s="97" t="s">
        <v>162</v>
      </c>
    </row>
    <row r="113" spans="1:5" x14ac:dyDescent="0.25">
      <c r="A113" t="s">
        <v>41</v>
      </c>
      <c r="B113" t="s">
        <v>31</v>
      </c>
      <c r="C113" t="s">
        <v>32</v>
      </c>
      <c r="D113" t="s">
        <v>34</v>
      </c>
      <c r="E113" s="97" t="s">
        <v>163</v>
      </c>
    </row>
    <row r="114" spans="1:5" x14ac:dyDescent="0.25">
      <c r="A114" t="s">
        <v>42</v>
      </c>
      <c r="B114" t="s">
        <v>31</v>
      </c>
      <c r="C114" t="s">
        <v>32</v>
      </c>
      <c r="D114" t="s">
        <v>34</v>
      </c>
      <c r="E114" s="97" t="s">
        <v>163</v>
      </c>
    </row>
    <row r="115" spans="1:5" x14ac:dyDescent="0.25">
      <c r="A115" t="s">
        <v>43</v>
      </c>
      <c r="B115" t="s">
        <v>31</v>
      </c>
      <c r="C115" t="s">
        <v>32</v>
      </c>
      <c r="D115" t="s">
        <v>34</v>
      </c>
      <c r="E115" s="97" t="s">
        <v>164</v>
      </c>
    </row>
    <row r="116" spans="1:5" x14ac:dyDescent="0.25">
      <c r="A116" t="s">
        <v>44</v>
      </c>
      <c r="B116" t="s">
        <v>31</v>
      </c>
      <c r="C116" t="s">
        <v>32</v>
      </c>
      <c r="D116" t="s">
        <v>34</v>
      </c>
      <c r="E116" s="97" t="s">
        <v>165</v>
      </c>
    </row>
    <row r="117" spans="1:5" x14ac:dyDescent="0.25">
      <c r="A117" t="s">
        <v>45</v>
      </c>
      <c r="B117" t="s">
        <v>31</v>
      </c>
      <c r="C117" t="s">
        <v>32</v>
      </c>
      <c r="D117" t="s">
        <v>34</v>
      </c>
      <c r="E117" s="97" t="s">
        <v>152</v>
      </c>
    </row>
    <row r="118" spans="1:5" x14ac:dyDescent="0.25">
      <c r="A118" t="s">
        <v>48</v>
      </c>
      <c r="B118" t="s">
        <v>31</v>
      </c>
      <c r="C118" t="s">
        <v>32</v>
      </c>
      <c r="D118" t="s">
        <v>34</v>
      </c>
      <c r="E118" s="97" t="s">
        <v>166</v>
      </c>
    </row>
    <row r="119" spans="1:5" x14ac:dyDescent="0.25">
      <c r="A119" t="s">
        <v>49</v>
      </c>
      <c r="B119" t="s">
        <v>31</v>
      </c>
      <c r="C119" t="s">
        <v>32</v>
      </c>
      <c r="D119" t="s">
        <v>34</v>
      </c>
      <c r="E119" s="97" t="s">
        <v>167</v>
      </c>
    </row>
    <row r="120" spans="1:5" x14ac:dyDescent="0.25">
      <c r="A120" t="s">
        <v>66</v>
      </c>
      <c r="B120" t="s">
        <v>31</v>
      </c>
      <c r="C120" t="s">
        <v>32</v>
      </c>
      <c r="D120" t="s">
        <v>34</v>
      </c>
      <c r="E120" s="97" t="s">
        <v>168</v>
      </c>
    </row>
    <row r="121" spans="1:5" x14ac:dyDescent="0.25">
      <c r="A121" t="s">
        <v>69</v>
      </c>
      <c r="B121" t="s">
        <v>31</v>
      </c>
      <c r="C121" t="s">
        <v>32</v>
      </c>
      <c r="D121" t="s">
        <v>34</v>
      </c>
      <c r="E121" s="97" t="s">
        <v>169</v>
      </c>
    </row>
    <row r="122" spans="1:5" x14ac:dyDescent="0.25">
      <c r="A122" t="s">
        <v>35</v>
      </c>
      <c r="B122" t="s">
        <v>31</v>
      </c>
      <c r="C122" t="s">
        <v>15</v>
      </c>
      <c r="D122" t="s">
        <v>34</v>
      </c>
      <c r="E122" s="97" t="s">
        <v>170</v>
      </c>
    </row>
    <row r="123" spans="1:5" x14ac:dyDescent="0.25">
      <c r="A123" t="s">
        <v>36</v>
      </c>
      <c r="B123" t="s">
        <v>31</v>
      </c>
      <c r="C123" t="s">
        <v>15</v>
      </c>
      <c r="D123" t="s">
        <v>34</v>
      </c>
      <c r="E123" s="97" t="s">
        <v>171</v>
      </c>
    </row>
    <row r="124" spans="1:5" x14ac:dyDescent="0.25">
      <c r="A124" t="s">
        <v>37</v>
      </c>
      <c r="B124" t="s">
        <v>31</v>
      </c>
      <c r="C124" t="s">
        <v>15</v>
      </c>
      <c r="D124" t="s">
        <v>34</v>
      </c>
      <c r="E124" s="97" t="s">
        <v>172</v>
      </c>
    </row>
    <row r="125" spans="1:5" x14ac:dyDescent="0.25">
      <c r="A125" t="s">
        <v>38</v>
      </c>
      <c r="B125" t="s">
        <v>31</v>
      </c>
      <c r="C125" t="s">
        <v>15</v>
      </c>
      <c r="D125" t="s">
        <v>34</v>
      </c>
      <c r="E125" s="97" t="s">
        <v>85</v>
      </c>
    </row>
    <row r="126" spans="1:5" x14ac:dyDescent="0.25">
      <c r="A126" t="s">
        <v>39</v>
      </c>
      <c r="B126" t="s">
        <v>31</v>
      </c>
      <c r="C126" t="s">
        <v>15</v>
      </c>
      <c r="D126" t="s">
        <v>34</v>
      </c>
      <c r="E126" s="97" t="s">
        <v>173</v>
      </c>
    </row>
    <row r="127" spans="1:5" x14ac:dyDescent="0.25">
      <c r="A127" t="s">
        <v>40</v>
      </c>
      <c r="B127" t="s">
        <v>31</v>
      </c>
      <c r="C127" t="s">
        <v>15</v>
      </c>
      <c r="D127" t="s">
        <v>34</v>
      </c>
      <c r="E127" s="97" t="s">
        <v>174</v>
      </c>
    </row>
    <row r="128" spans="1:5" x14ac:dyDescent="0.25">
      <c r="A128" t="s">
        <v>41</v>
      </c>
      <c r="B128" t="s">
        <v>31</v>
      </c>
      <c r="C128" t="s">
        <v>15</v>
      </c>
      <c r="D128" t="s">
        <v>34</v>
      </c>
      <c r="E128" s="97" t="s">
        <v>175</v>
      </c>
    </row>
    <row r="129" spans="1:5" x14ac:dyDescent="0.25">
      <c r="A129" t="s">
        <v>42</v>
      </c>
      <c r="B129" t="s">
        <v>31</v>
      </c>
      <c r="C129" t="s">
        <v>15</v>
      </c>
      <c r="D129" t="s">
        <v>34</v>
      </c>
      <c r="E129" s="97" t="s">
        <v>176</v>
      </c>
    </row>
    <row r="130" spans="1:5" x14ac:dyDescent="0.25">
      <c r="A130" t="s">
        <v>43</v>
      </c>
      <c r="B130" t="s">
        <v>31</v>
      </c>
      <c r="C130" t="s">
        <v>15</v>
      </c>
      <c r="D130" t="s">
        <v>34</v>
      </c>
      <c r="E130" s="97" t="s">
        <v>177</v>
      </c>
    </row>
    <row r="131" spans="1:5" x14ac:dyDescent="0.25">
      <c r="A131" t="s">
        <v>44</v>
      </c>
      <c r="B131" t="s">
        <v>31</v>
      </c>
      <c r="C131" t="s">
        <v>15</v>
      </c>
      <c r="D131" t="s">
        <v>34</v>
      </c>
      <c r="E131" s="97" t="s">
        <v>178</v>
      </c>
    </row>
    <row r="132" spans="1:5" x14ac:dyDescent="0.25">
      <c r="A132" t="s">
        <v>45</v>
      </c>
      <c r="B132" t="s">
        <v>31</v>
      </c>
      <c r="C132" t="s">
        <v>15</v>
      </c>
      <c r="D132" t="s">
        <v>34</v>
      </c>
      <c r="E132" s="97" t="s">
        <v>179</v>
      </c>
    </row>
    <row r="133" spans="1:5" x14ac:dyDescent="0.25">
      <c r="A133" t="s">
        <v>48</v>
      </c>
      <c r="B133" t="s">
        <v>31</v>
      </c>
      <c r="C133" t="s">
        <v>15</v>
      </c>
      <c r="D133" t="s">
        <v>34</v>
      </c>
      <c r="E133" s="97" t="s">
        <v>180</v>
      </c>
    </row>
    <row r="134" spans="1:5" x14ac:dyDescent="0.25">
      <c r="A134" t="s">
        <v>49</v>
      </c>
      <c r="B134" t="s">
        <v>31</v>
      </c>
      <c r="C134" t="s">
        <v>15</v>
      </c>
      <c r="D134" t="s">
        <v>34</v>
      </c>
      <c r="E134" s="97" t="s">
        <v>181</v>
      </c>
    </row>
    <row r="135" spans="1:5" x14ac:dyDescent="0.25">
      <c r="A135" t="s">
        <v>66</v>
      </c>
      <c r="B135" t="s">
        <v>31</v>
      </c>
      <c r="C135" t="s">
        <v>15</v>
      </c>
      <c r="D135" t="s">
        <v>34</v>
      </c>
      <c r="E135" s="97" t="s">
        <v>182</v>
      </c>
    </row>
    <row r="136" spans="1:5" x14ac:dyDescent="0.25">
      <c r="A136" t="s">
        <v>69</v>
      </c>
      <c r="B136" t="s">
        <v>31</v>
      </c>
      <c r="C136" t="s">
        <v>15</v>
      </c>
      <c r="D136" t="s">
        <v>34</v>
      </c>
      <c r="E136" s="97" t="s">
        <v>178</v>
      </c>
    </row>
    <row r="137" spans="1:5" x14ac:dyDescent="0.25">
      <c r="A137" t="s">
        <v>35</v>
      </c>
      <c r="B137" t="s">
        <v>47</v>
      </c>
      <c r="C137" t="s">
        <v>11</v>
      </c>
      <c r="D137" t="s">
        <v>82</v>
      </c>
      <c r="E137" s="97" t="s">
        <v>111</v>
      </c>
    </row>
    <row r="138" spans="1:5" x14ac:dyDescent="0.25">
      <c r="A138" t="s">
        <v>36</v>
      </c>
      <c r="B138" t="s">
        <v>47</v>
      </c>
      <c r="C138" t="s">
        <v>11</v>
      </c>
      <c r="D138" t="s">
        <v>82</v>
      </c>
      <c r="E138" s="97" t="s">
        <v>94</v>
      </c>
    </row>
    <row r="139" spans="1:5" x14ac:dyDescent="0.25">
      <c r="A139" t="s">
        <v>37</v>
      </c>
      <c r="B139" t="s">
        <v>47</v>
      </c>
      <c r="C139" t="s">
        <v>11</v>
      </c>
      <c r="D139" t="s">
        <v>82</v>
      </c>
      <c r="E139" s="97" t="s">
        <v>89</v>
      </c>
    </row>
    <row r="140" spans="1:5" x14ac:dyDescent="0.25">
      <c r="A140" t="s">
        <v>38</v>
      </c>
      <c r="B140" t="s">
        <v>47</v>
      </c>
      <c r="C140" t="s">
        <v>11</v>
      </c>
      <c r="D140" t="s">
        <v>82</v>
      </c>
      <c r="E140" s="97" t="s">
        <v>183</v>
      </c>
    </row>
    <row r="141" spans="1:5" x14ac:dyDescent="0.25">
      <c r="A141" t="s">
        <v>39</v>
      </c>
      <c r="B141" t="s">
        <v>47</v>
      </c>
      <c r="C141" t="s">
        <v>11</v>
      </c>
      <c r="D141" t="s">
        <v>82</v>
      </c>
      <c r="E141" s="97" t="s">
        <v>184</v>
      </c>
    </row>
    <row r="142" spans="1:5" x14ac:dyDescent="0.25">
      <c r="A142" t="s">
        <v>40</v>
      </c>
      <c r="B142" t="s">
        <v>47</v>
      </c>
      <c r="C142" t="s">
        <v>11</v>
      </c>
      <c r="D142" t="s">
        <v>82</v>
      </c>
      <c r="E142" s="97" t="s">
        <v>185</v>
      </c>
    </row>
    <row r="143" spans="1:5" x14ac:dyDescent="0.25">
      <c r="A143" t="s">
        <v>41</v>
      </c>
      <c r="B143" t="s">
        <v>47</v>
      </c>
      <c r="C143" t="s">
        <v>11</v>
      </c>
      <c r="D143" t="s">
        <v>82</v>
      </c>
      <c r="E143" s="97" t="s">
        <v>109</v>
      </c>
    </row>
    <row r="144" spans="1:5" x14ac:dyDescent="0.25">
      <c r="A144" t="s">
        <v>42</v>
      </c>
      <c r="B144" t="s">
        <v>47</v>
      </c>
      <c r="C144" t="s">
        <v>11</v>
      </c>
      <c r="D144" t="s">
        <v>82</v>
      </c>
      <c r="E144" s="97" t="s">
        <v>107</v>
      </c>
    </row>
    <row r="145" spans="1:5" x14ac:dyDescent="0.25">
      <c r="A145" t="s">
        <v>43</v>
      </c>
      <c r="B145" t="s">
        <v>47</v>
      </c>
      <c r="C145" t="s">
        <v>11</v>
      </c>
      <c r="D145" t="s">
        <v>82</v>
      </c>
      <c r="E145" s="97" t="s">
        <v>186</v>
      </c>
    </row>
    <row r="146" spans="1:5" x14ac:dyDescent="0.25">
      <c r="A146" t="s">
        <v>44</v>
      </c>
      <c r="B146" t="s">
        <v>47</v>
      </c>
      <c r="C146" t="s">
        <v>11</v>
      </c>
      <c r="D146" t="s">
        <v>82</v>
      </c>
      <c r="E146" s="97" t="s">
        <v>97</v>
      </c>
    </row>
    <row r="147" spans="1:5" x14ac:dyDescent="0.25">
      <c r="A147" t="s">
        <v>45</v>
      </c>
      <c r="B147" t="s">
        <v>47</v>
      </c>
      <c r="C147" t="s">
        <v>11</v>
      </c>
      <c r="D147" t="s">
        <v>82</v>
      </c>
      <c r="E147" s="97" t="s">
        <v>107</v>
      </c>
    </row>
    <row r="148" spans="1:5" x14ac:dyDescent="0.25">
      <c r="A148" t="s">
        <v>48</v>
      </c>
      <c r="B148" t="s">
        <v>47</v>
      </c>
      <c r="C148" t="s">
        <v>11</v>
      </c>
      <c r="D148" t="s">
        <v>82</v>
      </c>
      <c r="E148" s="97" t="s">
        <v>114</v>
      </c>
    </row>
    <row r="149" spans="1:5" x14ac:dyDescent="0.25">
      <c r="A149" t="s">
        <v>49</v>
      </c>
      <c r="B149" t="s">
        <v>47</v>
      </c>
      <c r="C149" t="s">
        <v>11</v>
      </c>
      <c r="D149" t="s">
        <v>82</v>
      </c>
      <c r="E149" s="97" t="s">
        <v>187</v>
      </c>
    </row>
    <row r="150" spans="1:5" x14ac:dyDescent="0.25">
      <c r="A150" t="s">
        <v>66</v>
      </c>
      <c r="B150" t="s">
        <v>47</v>
      </c>
      <c r="C150" t="s">
        <v>11</v>
      </c>
      <c r="D150" t="s">
        <v>82</v>
      </c>
      <c r="E150" s="97" t="s">
        <v>100</v>
      </c>
    </row>
    <row r="151" spans="1:5" x14ac:dyDescent="0.25">
      <c r="A151" t="s">
        <v>69</v>
      </c>
      <c r="B151" t="s">
        <v>47</v>
      </c>
      <c r="C151" t="s">
        <v>11</v>
      </c>
      <c r="D151" t="s">
        <v>82</v>
      </c>
      <c r="E151" s="97" t="s">
        <v>114</v>
      </c>
    </row>
    <row r="152" spans="1:5" x14ac:dyDescent="0.25">
      <c r="A152" t="s">
        <v>35</v>
      </c>
      <c r="B152" t="s">
        <v>47</v>
      </c>
      <c r="C152" t="s">
        <v>17</v>
      </c>
      <c r="D152" t="s">
        <v>82</v>
      </c>
      <c r="E152" s="97" t="s">
        <v>114</v>
      </c>
    </row>
    <row r="153" spans="1:5" x14ac:dyDescent="0.25">
      <c r="A153" t="s">
        <v>36</v>
      </c>
      <c r="B153" t="s">
        <v>47</v>
      </c>
      <c r="C153" t="s">
        <v>17</v>
      </c>
      <c r="D153" t="s">
        <v>82</v>
      </c>
      <c r="E153" s="97" t="s">
        <v>188</v>
      </c>
    </row>
    <row r="154" spans="1:5" x14ac:dyDescent="0.25">
      <c r="A154" t="s">
        <v>37</v>
      </c>
      <c r="B154" t="s">
        <v>47</v>
      </c>
      <c r="C154" t="s">
        <v>17</v>
      </c>
      <c r="D154" t="s">
        <v>82</v>
      </c>
      <c r="E154" s="97" t="s">
        <v>189</v>
      </c>
    </row>
    <row r="155" spans="1:5" x14ac:dyDescent="0.25">
      <c r="A155" t="s">
        <v>38</v>
      </c>
      <c r="B155" t="s">
        <v>47</v>
      </c>
      <c r="C155" t="s">
        <v>17</v>
      </c>
      <c r="D155" t="s">
        <v>82</v>
      </c>
      <c r="E155" s="97" t="s">
        <v>188</v>
      </c>
    </row>
    <row r="156" spans="1:5" x14ac:dyDescent="0.25">
      <c r="A156" t="s">
        <v>39</v>
      </c>
      <c r="B156" t="s">
        <v>47</v>
      </c>
      <c r="C156" t="s">
        <v>17</v>
      </c>
      <c r="D156" t="s">
        <v>82</v>
      </c>
      <c r="E156" s="97" t="s">
        <v>190</v>
      </c>
    </row>
    <row r="157" spans="1:5" x14ac:dyDescent="0.25">
      <c r="A157" t="s">
        <v>40</v>
      </c>
      <c r="B157" t="s">
        <v>47</v>
      </c>
      <c r="C157" t="s">
        <v>17</v>
      </c>
      <c r="D157" t="s">
        <v>82</v>
      </c>
      <c r="E157" s="97" t="s">
        <v>191</v>
      </c>
    </row>
    <row r="158" spans="1:5" x14ac:dyDescent="0.25">
      <c r="A158" t="s">
        <v>41</v>
      </c>
      <c r="B158" t="s">
        <v>47</v>
      </c>
      <c r="C158" t="s">
        <v>17</v>
      </c>
      <c r="D158" t="s">
        <v>82</v>
      </c>
      <c r="E158" s="97" t="s">
        <v>192</v>
      </c>
    </row>
    <row r="159" spans="1:5" x14ac:dyDescent="0.25">
      <c r="A159" t="s">
        <v>42</v>
      </c>
      <c r="B159" t="s">
        <v>47</v>
      </c>
      <c r="C159" t="s">
        <v>17</v>
      </c>
      <c r="D159" t="s">
        <v>82</v>
      </c>
      <c r="E159" s="97" t="s">
        <v>191</v>
      </c>
    </row>
    <row r="160" spans="1:5" x14ac:dyDescent="0.25">
      <c r="A160" t="s">
        <v>43</v>
      </c>
      <c r="B160" t="s">
        <v>47</v>
      </c>
      <c r="C160" t="s">
        <v>17</v>
      </c>
      <c r="D160" t="s">
        <v>82</v>
      </c>
      <c r="E160" s="97" t="s">
        <v>190</v>
      </c>
    </row>
    <row r="161" spans="1:5" x14ac:dyDescent="0.25">
      <c r="A161" t="s">
        <v>44</v>
      </c>
      <c r="B161" t="s">
        <v>47</v>
      </c>
      <c r="C161" t="s">
        <v>17</v>
      </c>
      <c r="D161" t="s">
        <v>82</v>
      </c>
      <c r="E161" s="97" t="s">
        <v>193</v>
      </c>
    </row>
    <row r="162" spans="1:5" x14ac:dyDescent="0.25">
      <c r="A162" t="s">
        <v>45</v>
      </c>
      <c r="B162" t="s">
        <v>47</v>
      </c>
      <c r="C162" t="s">
        <v>17</v>
      </c>
      <c r="D162" t="s">
        <v>82</v>
      </c>
      <c r="E162" s="97" t="s">
        <v>192</v>
      </c>
    </row>
    <row r="163" spans="1:5" x14ac:dyDescent="0.25">
      <c r="A163" t="s">
        <v>48</v>
      </c>
      <c r="B163" t="s">
        <v>47</v>
      </c>
      <c r="C163" t="s">
        <v>17</v>
      </c>
      <c r="D163" t="s">
        <v>82</v>
      </c>
      <c r="E163" s="97" t="s">
        <v>190</v>
      </c>
    </row>
    <row r="164" spans="1:5" x14ac:dyDescent="0.25">
      <c r="A164" t="s">
        <v>49</v>
      </c>
      <c r="B164" t="s">
        <v>47</v>
      </c>
      <c r="C164" t="s">
        <v>17</v>
      </c>
      <c r="D164" t="s">
        <v>82</v>
      </c>
      <c r="E164" s="97" t="s">
        <v>194</v>
      </c>
    </row>
    <row r="165" spans="1:5" x14ac:dyDescent="0.25">
      <c r="A165" t="s">
        <v>66</v>
      </c>
      <c r="B165" t="s">
        <v>47</v>
      </c>
      <c r="C165" t="s">
        <v>17</v>
      </c>
      <c r="D165" t="s">
        <v>82</v>
      </c>
      <c r="E165" s="97" t="s">
        <v>193</v>
      </c>
    </row>
    <row r="166" spans="1:5" x14ac:dyDescent="0.25">
      <c r="A166" t="s">
        <v>69</v>
      </c>
      <c r="B166" t="s">
        <v>47</v>
      </c>
      <c r="C166" t="s">
        <v>17</v>
      </c>
      <c r="D166" t="s">
        <v>82</v>
      </c>
      <c r="E166" s="97" t="s">
        <v>195</v>
      </c>
    </row>
    <row r="167" spans="1:5" x14ac:dyDescent="0.25">
      <c r="A167" t="s">
        <v>35</v>
      </c>
      <c r="B167" t="s">
        <v>47</v>
      </c>
      <c r="C167" t="s">
        <v>18</v>
      </c>
      <c r="D167" t="s">
        <v>82</v>
      </c>
      <c r="E167" s="97" t="s">
        <v>196</v>
      </c>
    </row>
    <row r="168" spans="1:5" x14ac:dyDescent="0.25">
      <c r="A168" t="s">
        <v>36</v>
      </c>
      <c r="B168" t="s">
        <v>47</v>
      </c>
      <c r="C168" t="s">
        <v>18</v>
      </c>
      <c r="D168" t="s">
        <v>82</v>
      </c>
      <c r="E168" s="97" t="s">
        <v>112</v>
      </c>
    </row>
    <row r="169" spans="1:5" x14ac:dyDescent="0.25">
      <c r="A169" t="s">
        <v>37</v>
      </c>
      <c r="B169" t="s">
        <v>47</v>
      </c>
      <c r="C169" t="s">
        <v>18</v>
      </c>
      <c r="D169" t="s">
        <v>82</v>
      </c>
      <c r="E169" s="97" t="s">
        <v>197</v>
      </c>
    </row>
    <row r="170" spans="1:5" x14ac:dyDescent="0.25">
      <c r="A170" t="s">
        <v>38</v>
      </c>
      <c r="B170" t="s">
        <v>47</v>
      </c>
      <c r="C170" t="s">
        <v>18</v>
      </c>
      <c r="D170" t="s">
        <v>82</v>
      </c>
      <c r="E170" s="97" t="s">
        <v>198</v>
      </c>
    </row>
    <row r="171" spans="1:5" x14ac:dyDescent="0.25">
      <c r="A171" t="s">
        <v>39</v>
      </c>
      <c r="B171" t="s">
        <v>47</v>
      </c>
      <c r="C171" t="s">
        <v>18</v>
      </c>
      <c r="D171" t="s">
        <v>82</v>
      </c>
      <c r="E171" s="97" t="s">
        <v>105</v>
      </c>
    </row>
    <row r="172" spans="1:5" x14ac:dyDescent="0.25">
      <c r="A172" t="s">
        <v>40</v>
      </c>
      <c r="B172" t="s">
        <v>47</v>
      </c>
      <c r="C172" t="s">
        <v>18</v>
      </c>
      <c r="D172" t="s">
        <v>82</v>
      </c>
      <c r="E172" s="97" t="s">
        <v>106</v>
      </c>
    </row>
    <row r="173" spans="1:5" x14ac:dyDescent="0.25">
      <c r="A173" t="s">
        <v>41</v>
      </c>
      <c r="B173" t="s">
        <v>47</v>
      </c>
      <c r="C173" t="s">
        <v>18</v>
      </c>
      <c r="D173" t="s">
        <v>82</v>
      </c>
      <c r="E173" s="97" t="s">
        <v>92</v>
      </c>
    </row>
    <row r="174" spans="1:5" x14ac:dyDescent="0.25">
      <c r="A174" t="s">
        <v>42</v>
      </c>
      <c r="B174" t="s">
        <v>47</v>
      </c>
      <c r="C174" t="s">
        <v>18</v>
      </c>
      <c r="D174" t="s">
        <v>82</v>
      </c>
      <c r="E174" s="97" t="s">
        <v>93</v>
      </c>
    </row>
    <row r="175" spans="1:5" x14ac:dyDescent="0.25">
      <c r="A175" t="s">
        <v>43</v>
      </c>
      <c r="B175" t="s">
        <v>47</v>
      </c>
      <c r="C175" t="s">
        <v>18</v>
      </c>
      <c r="D175" t="s">
        <v>82</v>
      </c>
      <c r="E175" s="97" t="s">
        <v>97</v>
      </c>
    </row>
    <row r="176" spans="1:5" x14ac:dyDescent="0.25">
      <c r="A176" t="s">
        <v>44</v>
      </c>
      <c r="B176" t="s">
        <v>47</v>
      </c>
      <c r="C176" t="s">
        <v>18</v>
      </c>
      <c r="D176" t="s">
        <v>82</v>
      </c>
      <c r="E176" s="97" t="s">
        <v>183</v>
      </c>
    </row>
    <row r="177" spans="1:5" x14ac:dyDescent="0.25">
      <c r="A177" t="s">
        <v>45</v>
      </c>
      <c r="B177" t="s">
        <v>47</v>
      </c>
      <c r="C177" t="s">
        <v>18</v>
      </c>
      <c r="D177" t="s">
        <v>82</v>
      </c>
      <c r="E177" s="97" t="s">
        <v>94</v>
      </c>
    </row>
    <row r="178" spans="1:5" x14ac:dyDescent="0.25">
      <c r="A178" t="s">
        <v>48</v>
      </c>
      <c r="B178" t="s">
        <v>47</v>
      </c>
      <c r="C178" t="s">
        <v>18</v>
      </c>
      <c r="D178" t="s">
        <v>82</v>
      </c>
      <c r="E178" s="97" t="s">
        <v>101</v>
      </c>
    </row>
    <row r="179" spans="1:5" x14ac:dyDescent="0.25">
      <c r="A179" t="s">
        <v>49</v>
      </c>
      <c r="B179" t="s">
        <v>47</v>
      </c>
      <c r="C179" t="s">
        <v>18</v>
      </c>
      <c r="D179" t="s">
        <v>82</v>
      </c>
      <c r="E179" s="97" t="s">
        <v>98</v>
      </c>
    </row>
    <row r="180" spans="1:5" x14ac:dyDescent="0.25">
      <c r="A180" t="s">
        <v>66</v>
      </c>
      <c r="B180" t="s">
        <v>47</v>
      </c>
      <c r="C180" t="s">
        <v>18</v>
      </c>
      <c r="D180" t="s">
        <v>82</v>
      </c>
      <c r="E180" s="97" t="s">
        <v>199</v>
      </c>
    </row>
    <row r="181" spans="1:5" x14ac:dyDescent="0.25">
      <c r="A181" t="s">
        <v>69</v>
      </c>
      <c r="B181" t="s">
        <v>47</v>
      </c>
      <c r="C181" t="s">
        <v>18</v>
      </c>
      <c r="D181" t="s">
        <v>82</v>
      </c>
      <c r="E181" s="97" t="s">
        <v>184</v>
      </c>
    </row>
    <row r="182" spans="1:5" x14ac:dyDescent="0.25">
      <c r="A182" t="s">
        <v>35</v>
      </c>
      <c r="B182" t="s">
        <v>46</v>
      </c>
      <c r="C182" t="s">
        <v>11</v>
      </c>
      <c r="D182" t="s">
        <v>82</v>
      </c>
      <c r="E182" s="97" t="s">
        <v>200</v>
      </c>
    </row>
    <row r="183" spans="1:5" x14ac:dyDescent="0.25">
      <c r="A183" t="s">
        <v>36</v>
      </c>
      <c r="B183" t="s">
        <v>46</v>
      </c>
      <c r="C183" t="s">
        <v>11</v>
      </c>
      <c r="D183" t="s">
        <v>82</v>
      </c>
      <c r="E183" s="97" t="s">
        <v>201</v>
      </c>
    </row>
    <row r="184" spans="1:5" x14ac:dyDescent="0.25">
      <c r="A184" t="s">
        <v>37</v>
      </c>
      <c r="B184" t="s">
        <v>46</v>
      </c>
      <c r="C184" t="s">
        <v>11</v>
      </c>
      <c r="D184" t="s">
        <v>82</v>
      </c>
      <c r="E184" s="97" t="s">
        <v>136</v>
      </c>
    </row>
    <row r="185" spans="1:5" x14ac:dyDescent="0.25">
      <c r="A185" t="s">
        <v>38</v>
      </c>
      <c r="B185" t="s">
        <v>46</v>
      </c>
      <c r="C185" t="s">
        <v>11</v>
      </c>
      <c r="D185" t="s">
        <v>82</v>
      </c>
      <c r="E185" s="97" t="s">
        <v>202</v>
      </c>
    </row>
    <row r="186" spans="1:5" x14ac:dyDescent="0.25">
      <c r="A186" t="s">
        <v>39</v>
      </c>
      <c r="B186" t="s">
        <v>46</v>
      </c>
      <c r="C186" t="s">
        <v>11</v>
      </c>
      <c r="D186" t="s">
        <v>82</v>
      </c>
      <c r="E186" s="97" t="s">
        <v>203</v>
      </c>
    </row>
    <row r="187" spans="1:5" x14ac:dyDescent="0.25">
      <c r="A187" t="s">
        <v>40</v>
      </c>
      <c r="B187" t="s">
        <v>46</v>
      </c>
      <c r="C187" t="s">
        <v>11</v>
      </c>
      <c r="D187" t="s">
        <v>82</v>
      </c>
      <c r="E187" s="97" t="s">
        <v>204</v>
      </c>
    </row>
    <row r="188" spans="1:5" x14ac:dyDescent="0.25">
      <c r="A188" t="s">
        <v>41</v>
      </c>
      <c r="B188" t="s">
        <v>46</v>
      </c>
      <c r="C188" t="s">
        <v>11</v>
      </c>
      <c r="D188" t="s">
        <v>82</v>
      </c>
      <c r="E188" s="97" t="s">
        <v>205</v>
      </c>
    </row>
    <row r="189" spans="1:5" x14ac:dyDescent="0.25">
      <c r="A189" t="s">
        <v>42</v>
      </c>
      <c r="B189" t="s">
        <v>46</v>
      </c>
      <c r="C189" t="s">
        <v>11</v>
      </c>
      <c r="D189" t="s">
        <v>82</v>
      </c>
      <c r="E189" s="97" t="s">
        <v>203</v>
      </c>
    </row>
    <row r="190" spans="1:5" x14ac:dyDescent="0.25">
      <c r="A190" t="s">
        <v>43</v>
      </c>
      <c r="B190" t="s">
        <v>46</v>
      </c>
      <c r="C190" t="s">
        <v>11</v>
      </c>
      <c r="D190" t="s">
        <v>82</v>
      </c>
      <c r="E190" s="97" t="s">
        <v>206</v>
      </c>
    </row>
    <row r="191" spans="1:5" x14ac:dyDescent="0.25">
      <c r="A191" t="s">
        <v>44</v>
      </c>
      <c r="B191" t="s">
        <v>46</v>
      </c>
      <c r="C191" t="s">
        <v>11</v>
      </c>
      <c r="D191" t="s">
        <v>82</v>
      </c>
      <c r="E191" s="97" t="s">
        <v>142</v>
      </c>
    </row>
    <row r="192" spans="1:5" x14ac:dyDescent="0.25">
      <c r="A192" t="s">
        <v>45</v>
      </c>
      <c r="B192" t="s">
        <v>46</v>
      </c>
      <c r="C192" t="s">
        <v>11</v>
      </c>
      <c r="D192" t="s">
        <v>82</v>
      </c>
      <c r="E192" s="97" t="s">
        <v>207</v>
      </c>
    </row>
    <row r="193" spans="1:5" x14ac:dyDescent="0.25">
      <c r="A193" t="s">
        <v>48</v>
      </c>
      <c r="B193" t="s">
        <v>46</v>
      </c>
      <c r="C193" t="s">
        <v>11</v>
      </c>
      <c r="D193" t="s">
        <v>82</v>
      </c>
      <c r="E193" s="97" t="s">
        <v>208</v>
      </c>
    </row>
    <row r="194" spans="1:5" x14ac:dyDescent="0.25">
      <c r="A194" t="s">
        <v>49</v>
      </c>
      <c r="B194" t="s">
        <v>46</v>
      </c>
      <c r="C194" t="s">
        <v>11</v>
      </c>
      <c r="D194" t="s">
        <v>82</v>
      </c>
      <c r="E194" s="97" t="s">
        <v>209</v>
      </c>
    </row>
    <row r="195" spans="1:5" x14ac:dyDescent="0.25">
      <c r="A195" t="s">
        <v>66</v>
      </c>
      <c r="B195" t="s">
        <v>46</v>
      </c>
      <c r="C195" t="s">
        <v>11</v>
      </c>
      <c r="D195" t="s">
        <v>82</v>
      </c>
      <c r="E195" s="97" t="s">
        <v>200</v>
      </c>
    </row>
    <row r="196" spans="1:5" x14ac:dyDescent="0.25">
      <c r="A196" t="s">
        <v>69</v>
      </c>
      <c r="B196" t="s">
        <v>46</v>
      </c>
      <c r="C196" t="s">
        <v>11</v>
      </c>
      <c r="D196" t="s">
        <v>82</v>
      </c>
      <c r="E196" s="97" t="s">
        <v>210</v>
      </c>
    </row>
    <row r="197" spans="1:5" x14ac:dyDescent="0.25">
      <c r="A197" t="s">
        <v>35</v>
      </c>
      <c r="B197" t="s">
        <v>46</v>
      </c>
      <c r="C197" t="s">
        <v>17</v>
      </c>
      <c r="D197" t="s">
        <v>82</v>
      </c>
      <c r="E197" s="97" t="s">
        <v>211</v>
      </c>
    </row>
    <row r="198" spans="1:5" x14ac:dyDescent="0.25">
      <c r="A198" t="s">
        <v>36</v>
      </c>
      <c r="B198" t="s">
        <v>46</v>
      </c>
      <c r="C198" t="s">
        <v>17</v>
      </c>
      <c r="D198" t="s">
        <v>82</v>
      </c>
      <c r="E198" s="97" t="s">
        <v>212</v>
      </c>
    </row>
    <row r="199" spans="1:5" x14ac:dyDescent="0.25">
      <c r="A199" t="s">
        <v>37</v>
      </c>
      <c r="B199" t="s">
        <v>46</v>
      </c>
      <c r="C199" t="s">
        <v>17</v>
      </c>
      <c r="D199" t="s">
        <v>82</v>
      </c>
      <c r="E199" s="97" t="s">
        <v>213</v>
      </c>
    </row>
    <row r="200" spans="1:5" x14ac:dyDescent="0.25">
      <c r="A200" t="s">
        <v>38</v>
      </c>
      <c r="B200" t="s">
        <v>46</v>
      </c>
      <c r="C200" t="s">
        <v>17</v>
      </c>
      <c r="D200" t="s">
        <v>82</v>
      </c>
      <c r="E200" s="97" t="s">
        <v>214</v>
      </c>
    </row>
    <row r="201" spans="1:5" x14ac:dyDescent="0.25">
      <c r="A201" t="s">
        <v>39</v>
      </c>
      <c r="B201" t="s">
        <v>46</v>
      </c>
      <c r="C201" t="s">
        <v>17</v>
      </c>
      <c r="D201" t="s">
        <v>82</v>
      </c>
      <c r="E201" s="97" t="s">
        <v>215</v>
      </c>
    </row>
    <row r="202" spans="1:5" x14ac:dyDescent="0.25">
      <c r="A202" t="s">
        <v>40</v>
      </c>
      <c r="B202" t="s">
        <v>46</v>
      </c>
      <c r="C202" t="s">
        <v>17</v>
      </c>
      <c r="D202" t="s">
        <v>82</v>
      </c>
      <c r="E202" s="97" t="s">
        <v>216</v>
      </c>
    </row>
    <row r="203" spans="1:5" x14ac:dyDescent="0.25">
      <c r="A203" t="s">
        <v>41</v>
      </c>
      <c r="B203" t="s">
        <v>46</v>
      </c>
      <c r="C203" t="s">
        <v>17</v>
      </c>
      <c r="D203" t="s">
        <v>82</v>
      </c>
      <c r="E203" s="97" t="s">
        <v>110</v>
      </c>
    </row>
    <row r="204" spans="1:5" x14ac:dyDescent="0.25">
      <c r="A204" t="s">
        <v>42</v>
      </c>
      <c r="B204" t="s">
        <v>46</v>
      </c>
      <c r="C204" t="s">
        <v>17</v>
      </c>
      <c r="D204" t="s">
        <v>82</v>
      </c>
      <c r="E204" s="97" t="s">
        <v>217</v>
      </c>
    </row>
    <row r="205" spans="1:5" x14ac:dyDescent="0.25">
      <c r="A205" t="s">
        <v>43</v>
      </c>
      <c r="B205" t="s">
        <v>46</v>
      </c>
      <c r="C205" t="s">
        <v>17</v>
      </c>
      <c r="D205" t="s">
        <v>82</v>
      </c>
      <c r="E205" s="97" t="s">
        <v>218</v>
      </c>
    </row>
    <row r="206" spans="1:5" x14ac:dyDescent="0.25">
      <c r="A206" t="s">
        <v>44</v>
      </c>
      <c r="B206" t="s">
        <v>46</v>
      </c>
      <c r="C206" t="s">
        <v>17</v>
      </c>
      <c r="D206" t="s">
        <v>82</v>
      </c>
      <c r="E206" s="97" t="s">
        <v>207</v>
      </c>
    </row>
    <row r="207" spans="1:5" x14ac:dyDescent="0.25">
      <c r="A207" t="s">
        <v>45</v>
      </c>
      <c r="B207" t="s">
        <v>46</v>
      </c>
      <c r="C207" t="s">
        <v>17</v>
      </c>
      <c r="D207" t="s">
        <v>82</v>
      </c>
      <c r="E207" s="97" t="s">
        <v>219</v>
      </c>
    </row>
    <row r="208" spans="1:5" x14ac:dyDescent="0.25">
      <c r="A208" t="s">
        <v>48</v>
      </c>
      <c r="B208" t="s">
        <v>46</v>
      </c>
      <c r="C208" t="s">
        <v>17</v>
      </c>
      <c r="D208" t="s">
        <v>82</v>
      </c>
      <c r="E208" s="97" t="s">
        <v>220</v>
      </c>
    </row>
    <row r="209" spans="1:5" x14ac:dyDescent="0.25">
      <c r="A209" t="s">
        <v>49</v>
      </c>
      <c r="B209" t="s">
        <v>46</v>
      </c>
      <c r="C209" t="s">
        <v>17</v>
      </c>
      <c r="D209" t="s">
        <v>82</v>
      </c>
      <c r="E209" s="97" t="s">
        <v>221</v>
      </c>
    </row>
    <row r="210" spans="1:5" x14ac:dyDescent="0.25">
      <c r="A210" t="s">
        <v>66</v>
      </c>
      <c r="B210" t="s">
        <v>46</v>
      </c>
      <c r="C210" t="s">
        <v>17</v>
      </c>
      <c r="D210" t="s">
        <v>82</v>
      </c>
      <c r="E210" s="97" t="s">
        <v>222</v>
      </c>
    </row>
    <row r="211" spans="1:5" x14ac:dyDescent="0.25">
      <c r="A211" t="s">
        <v>69</v>
      </c>
      <c r="B211" t="s">
        <v>46</v>
      </c>
      <c r="C211" t="s">
        <v>17</v>
      </c>
      <c r="D211" t="s">
        <v>82</v>
      </c>
      <c r="E211" s="97" t="s">
        <v>223</v>
      </c>
    </row>
    <row r="212" spans="1:5" x14ac:dyDescent="0.25">
      <c r="A212" t="s">
        <v>35</v>
      </c>
      <c r="B212" t="s">
        <v>46</v>
      </c>
      <c r="C212" t="s">
        <v>18</v>
      </c>
      <c r="D212" t="s">
        <v>82</v>
      </c>
      <c r="E212" s="97" t="s">
        <v>224</v>
      </c>
    </row>
    <row r="213" spans="1:5" x14ac:dyDescent="0.25">
      <c r="A213" t="s">
        <v>36</v>
      </c>
      <c r="B213" t="s">
        <v>46</v>
      </c>
      <c r="C213" t="s">
        <v>18</v>
      </c>
      <c r="D213" t="s">
        <v>82</v>
      </c>
      <c r="E213" s="97" t="s">
        <v>225</v>
      </c>
    </row>
    <row r="214" spans="1:5" x14ac:dyDescent="0.25">
      <c r="A214" t="s">
        <v>37</v>
      </c>
      <c r="B214" t="s">
        <v>46</v>
      </c>
      <c r="C214" t="s">
        <v>18</v>
      </c>
      <c r="D214" t="s">
        <v>82</v>
      </c>
      <c r="E214" s="97" t="s">
        <v>226</v>
      </c>
    </row>
    <row r="215" spans="1:5" x14ac:dyDescent="0.25">
      <c r="A215" t="s">
        <v>38</v>
      </c>
      <c r="B215" t="s">
        <v>46</v>
      </c>
      <c r="C215" t="s">
        <v>18</v>
      </c>
      <c r="D215" t="s">
        <v>82</v>
      </c>
      <c r="E215" s="97" t="s">
        <v>208</v>
      </c>
    </row>
    <row r="216" spans="1:5" x14ac:dyDescent="0.25">
      <c r="A216" t="s">
        <v>39</v>
      </c>
      <c r="B216" t="s">
        <v>46</v>
      </c>
      <c r="C216" t="s">
        <v>18</v>
      </c>
      <c r="D216" t="s">
        <v>82</v>
      </c>
      <c r="E216" s="97" t="s">
        <v>227</v>
      </c>
    </row>
    <row r="217" spans="1:5" x14ac:dyDescent="0.25">
      <c r="A217" t="s">
        <v>40</v>
      </c>
      <c r="B217" t="s">
        <v>46</v>
      </c>
      <c r="C217" t="s">
        <v>18</v>
      </c>
      <c r="D217" t="s">
        <v>82</v>
      </c>
      <c r="E217" s="97" t="s">
        <v>228</v>
      </c>
    </row>
    <row r="218" spans="1:5" x14ac:dyDescent="0.25">
      <c r="A218" t="s">
        <v>41</v>
      </c>
      <c r="B218" t="s">
        <v>46</v>
      </c>
      <c r="C218" t="s">
        <v>18</v>
      </c>
      <c r="D218" t="s">
        <v>82</v>
      </c>
      <c r="E218" s="97" t="s">
        <v>218</v>
      </c>
    </row>
    <row r="219" spans="1:5" x14ac:dyDescent="0.25">
      <c r="A219" t="s">
        <v>42</v>
      </c>
      <c r="B219" t="s">
        <v>46</v>
      </c>
      <c r="C219" t="s">
        <v>18</v>
      </c>
      <c r="D219" t="s">
        <v>82</v>
      </c>
      <c r="E219" s="97" t="s">
        <v>209</v>
      </c>
    </row>
    <row r="220" spans="1:5" x14ac:dyDescent="0.25">
      <c r="A220" t="s">
        <v>43</v>
      </c>
      <c r="B220" t="s">
        <v>46</v>
      </c>
      <c r="C220" t="s">
        <v>18</v>
      </c>
      <c r="D220" t="s">
        <v>82</v>
      </c>
      <c r="E220" s="97" t="s">
        <v>209</v>
      </c>
    </row>
    <row r="221" spans="1:5" x14ac:dyDescent="0.25">
      <c r="A221" t="s">
        <v>44</v>
      </c>
      <c r="B221" t="s">
        <v>46</v>
      </c>
      <c r="C221" t="s">
        <v>18</v>
      </c>
      <c r="D221" t="s">
        <v>82</v>
      </c>
      <c r="E221" s="97" t="s">
        <v>229</v>
      </c>
    </row>
    <row r="222" spans="1:5" x14ac:dyDescent="0.25">
      <c r="A222" t="s">
        <v>45</v>
      </c>
      <c r="B222" t="s">
        <v>46</v>
      </c>
      <c r="C222" t="s">
        <v>18</v>
      </c>
      <c r="D222" t="s">
        <v>82</v>
      </c>
      <c r="E222" s="97" t="s">
        <v>119</v>
      </c>
    </row>
    <row r="223" spans="1:5" x14ac:dyDescent="0.25">
      <c r="A223" t="s">
        <v>48</v>
      </c>
      <c r="B223" t="s">
        <v>46</v>
      </c>
      <c r="C223" t="s">
        <v>18</v>
      </c>
      <c r="D223" t="s">
        <v>82</v>
      </c>
      <c r="E223" s="97" t="s">
        <v>133</v>
      </c>
    </row>
    <row r="224" spans="1:5" x14ac:dyDescent="0.25">
      <c r="A224" t="s">
        <v>49</v>
      </c>
      <c r="B224" t="s">
        <v>46</v>
      </c>
      <c r="C224" t="s">
        <v>18</v>
      </c>
      <c r="D224" t="s">
        <v>82</v>
      </c>
      <c r="E224" s="97" t="s">
        <v>230</v>
      </c>
    </row>
    <row r="225" spans="1:5" x14ac:dyDescent="0.25">
      <c r="A225" t="s">
        <v>66</v>
      </c>
      <c r="B225" t="s">
        <v>46</v>
      </c>
      <c r="C225" t="s">
        <v>18</v>
      </c>
      <c r="D225" t="s">
        <v>82</v>
      </c>
      <c r="E225" s="97" t="s">
        <v>231</v>
      </c>
    </row>
    <row r="226" spans="1:5" x14ac:dyDescent="0.25">
      <c r="A226" t="s">
        <v>69</v>
      </c>
      <c r="B226" t="s">
        <v>46</v>
      </c>
      <c r="C226" t="s">
        <v>18</v>
      </c>
      <c r="D226" t="s">
        <v>82</v>
      </c>
      <c r="E226" s="97" t="s">
        <v>203</v>
      </c>
    </row>
    <row r="227" spans="1:5" x14ac:dyDescent="0.25">
      <c r="A227" t="s">
        <v>35</v>
      </c>
      <c r="B227" t="s">
        <v>83</v>
      </c>
      <c r="C227" t="s">
        <v>11</v>
      </c>
      <c r="D227" t="s">
        <v>34</v>
      </c>
      <c r="E227" s="97" t="s">
        <v>86</v>
      </c>
    </row>
    <row r="228" spans="1:5" x14ac:dyDescent="0.25">
      <c r="A228" t="s">
        <v>36</v>
      </c>
      <c r="B228" t="s">
        <v>83</v>
      </c>
      <c r="C228" t="s">
        <v>11</v>
      </c>
      <c r="D228" t="s">
        <v>34</v>
      </c>
      <c r="E228" s="97" t="s">
        <v>232</v>
      </c>
    </row>
    <row r="229" spans="1:5" x14ac:dyDescent="0.25">
      <c r="A229" t="s">
        <v>37</v>
      </c>
      <c r="B229" t="s">
        <v>83</v>
      </c>
      <c r="C229" t="s">
        <v>11</v>
      </c>
      <c r="D229" t="s">
        <v>34</v>
      </c>
      <c r="E229" s="97" t="s">
        <v>233</v>
      </c>
    </row>
    <row r="230" spans="1:5" x14ac:dyDescent="0.25">
      <c r="A230" t="s">
        <v>38</v>
      </c>
      <c r="B230" t="s">
        <v>83</v>
      </c>
      <c r="C230" t="s">
        <v>11</v>
      </c>
      <c r="D230" t="s">
        <v>34</v>
      </c>
      <c r="E230" s="97" t="s">
        <v>87</v>
      </c>
    </row>
    <row r="231" spans="1:5" x14ac:dyDescent="0.25">
      <c r="A231" t="s">
        <v>39</v>
      </c>
      <c r="B231" t="s">
        <v>83</v>
      </c>
      <c r="C231" t="s">
        <v>11</v>
      </c>
      <c r="D231" t="s">
        <v>34</v>
      </c>
      <c r="E231" s="97" t="s">
        <v>234</v>
      </c>
    </row>
    <row r="232" spans="1:5" x14ac:dyDescent="0.25">
      <c r="A232" t="s">
        <v>40</v>
      </c>
      <c r="B232" t="s">
        <v>83</v>
      </c>
      <c r="C232" t="s">
        <v>11</v>
      </c>
      <c r="D232" t="s">
        <v>34</v>
      </c>
      <c r="E232" s="97" t="s">
        <v>235</v>
      </c>
    </row>
    <row r="233" spans="1:5" x14ac:dyDescent="0.25">
      <c r="A233" t="s">
        <v>41</v>
      </c>
      <c r="B233" t="s">
        <v>83</v>
      </c>
      <c r="C233" t="s">
        <v>11</v>
      </c>
      <c r="D233" t="s">
        <v>34</v>
      </c>
      <c r="E233" s="97" t="s">
        <v>236</v>
      </c>
    </row>
    <row r="234" spans="1:5" x14ac:dyDescent="0.25">
      <c r="A234" t="s">
        <v>42</v>
      </c>
      <c r="B234" t="s">
        <v>83</v>
      </c>
      <c r="C234" t="s">
        <v>11</v>
      </c>
      <c r="D234" t="s">
        <v>34</v>
      </c>
      <c r="E234" s="97" t="s">
        <v>237</v>
      </c>
    </row>
    <row r="235" spans="1:5" x14ac:dyDescent="0.25">
      <c r="A235" t="s">
        <v>43</v>
      </c>
      <c r="B235" t="s">
        <v>83</v>
      </c>
      <c r="C235" t="s">
        <v>11</v>
      </c>
      <c r="D235" t="s">
        <v>34</v>
      </c>
      <c r="E235" s="97" t="s">
        <v>238</v>
      </c>
    </row>
    <row r="236" spans="1:5" x14ac:dyDescent="0.25">
      <c r="A236" t="s">
        <v>44</v>
      </c>
      <c r="B236" t="s">
        <v>83</v>
      </c>
      <c r="C236" t="s">
        <v>11</v>
      </c>
      <c r="D236" t="s">
        <v>34</v>
      </c>
      <c r="E236" s="97" t="s">
        <v>239</v>
      </c>
    </row>
    <row r="237" spans="1:5" x14ac:dyDescent="0.25">
      <c r="A237" t="s">
        <v>45</v>
      </c>
      <c r="B237" t="s">
        <v>83</v>
      </c>
      <c r="C237" t="s">
        <v>11</v>
      </c>
      <c r="D237" t="s">
        <v>34</v>
      </c>
      <c r="E237" s="97" t="s">
        <v>240</v>
      </c>
    </row>
    <row r="238" spans="1:5" x14ac:dyDescent="0.25">
      <c r="A238" t="s">
        <v>48</v>
      </c>
      <c r="B238" t="s">
        <v>83</v>
      </c>
      <c r="C238" t="s">
        <v>11</v>
      </c>
      <c r="D238" t="s">
        <v>34</v>
      </c>
      <c r="E238" s="97" t="s">
        <v>166</v>
      </c>
    </row>
    <row r="239" spans="1:5" x14ac:dyDescent="0.25">
      <c r="A239" t="s">
        <v>49</v>
      </c>
      <c r="B239" t="s">
        <v>83</v>
      </c>
      <c r="C239" t="s">
        <v>11</v>
      </c>
      <c r="D239" t="s">
        <v>34</v>
      </c>
      <c r="E239" s="97" t="s">
        <v>241</v>
      </c>
    </row>
    <row r="240" spans="1:5" x14ac:dyDescent="0.25">
      <c r="A240" t="s">
        <v>66</v>
      </c>
      <c r="B240" t="s">
        <v>83</v>
      </c>
      <c r="C240" t="s">
        <v>11</v>
      </c>
      <c r="D240" t="s">
        <v>34</v>
      </c>
      <c r="E240" s="97" t="s">
        <v>242</v>
      </c>
    </row>
    <row r="241" spans="1:5" x14ac:dyDescent="0.25">
      <c r="A241" t="s">
        <v>69</v>
      </c>
      <c r="B241" t="s">
        <v>83</v>
      </c>
      <c r="C241" t="s">
        <v>11</v>
      </c>
      <c r="D241" t="s">
        <v>34</v>
      </c>
      <c r="E241" s="97" t="s">
        <v>243</v>
      </c>
    </row>
    <row r="242" spans="1:5" x14ac:dyDescent="0.25">
      <c r="A242" t="s">
        <v>35</v>
      </c>
      <c r="B242" t="s">
        <v>83</v>
      </c>
      <c r="C242" t="s">
        <v>17</v>
      </c>
      <c r="D242" t="s">
        <v>34</v>
      </c>
      <c r="E242" s="97" t="s">
        <v>84</v>
      </c>
    </row>
    <row r="243" spans="1:5" x14ac:dyDescent="0.25">
      <c r="A243" t="s">
        <v>36</v>
      </c>
      <c r="B243" t="s">
        <v>83</v>
      </c>
      <c r="C243" t="s">
        <v>17</v>
      </c>
      <c r="D243" t="s">
        <v>34</v>
      </c>
      <c r="E243" s="97" t="s">
        <v>163</v>
      </c>
    </row>
    <row r="244" spans="1:5" x14ac:dyDescent="0.25">
      <c r="A244" t="s">
        <v>37</v>
      </c>
      <c r="B244" t="s">
        <v>83</v>
      </c>
      <c r="C244" t="s">
        <v>17</v>
      </c>
      <c r="D244" t="s">
        <v>34</v>
      </c>
      <c r="E244" s="97" t="s">
        <v>234</v>
      </c>
    </row>
    <row r="245" spans="1:5" x14ac:dyDescent="0.25">
      <c r="A245" t="s">
        <v>38</v>
      </c>
      <c r="B245" t="s">
        <v>83</v>
      </c>
      <c r="C245" t="s">
        <v>17</v>
      </c>
      <c r="D245" t="s">
        <v>34</v>
      </c>
      <c r="E245" s="97" t="s">
        <v>237</v>
      </c>
    </row>
    <row r="246" spans="1:5" x14ac:dyDescent="0.25">
      <c r="A246" t="s">
        <v>39</v>
      </c>
      <c r="B246" t="s">
        <v>83</v>
      </c>
      <c r="C246" t="s">
        <v>17</v>
      </c>
      <c r="D246" t="s">
        <v>34</v>
      </c>
      <c r="E246" s="97" t="s">
        <v>87</v>
      </c>
    </row>
    <row r="247" spans="1:5" x14ac:dyDescent="0.25">
      <c r="A247" t="s">
        <v>40</v>
      </c>
      <c r="B247" t="s">
        <v>83</v>
      </c>
      <c r="C247" t="s">
        <v>17</v>
      </c>
      <c r="D247" t="s">
        <v>34</v>
      </c>
      <c r="E247" s="97" t="s">
        <v>244</v>
      </c>
    </row>
    <row r="248" spans="1:5" x14ac:dyDescent="0.25">
      <c r="A248" t="s">
        <v>41</v>
      </c>
      <c r="B248" t="s">
        <v>83</v>
      </c>
      <c r="C248" t="s">
        <v>17</v>
      </c>
      <c r="D248" t="s">
        <v>34</v>
      </c>
      <c r="E248" s="97" t="s">
        <v>245</v>
      </c>
    </row>
    <row r="249" spans="1:5" x14ac:dyDescent="0.25">
      <c r="A249" t="s">
        <v>42</v>
      </c>
      <c r="B249" t="s">
        <v>83</v>
      </c>
      <c r="C249" t="s">
        <v>17</v>
      </c>
      <c r="D249" t="s">
        <v>34</v>
      </c>
      <c r="E249" s="97" t="s">
        <v>246</v>
      </c>
    </row>
    <row r="250" spans="1:5" x14ac:dyDescent="0.25">
      <c r="A250" t="s">
        <v>43</v>
      </c>
      <c r="B250" t="s">
        <v>83</v>
      </c>
      <c r="C250" t="s">
        <v>17</v>
      </c>
      <c r="D250" t="s">
        <v>34</v>
      </c>
      <c r="E250" s="97" t="s">
        <v>247</v>
      </c>
    </row>
    <row r="251" spans="1:5" x14ac:dyDescent="0.25">
      <c r="A251" t="s">
        <v>44</v>
      </c>
      <c r="B251" t="s">
        <v>83</v>
      </c>
      <c r="C251" t="s">
        <v>17</v>
      </c>
      <c r="D251" t="s">
        <v>34</v>
      </c>
      <c r="E251" s="97" t="s">
        <v>85</v>
      </c>
    </row>
    <row r="252" spans="1:5" x14ac:dyDescent="0.25">
      <c r="A252" t="s">
        <v>45</v>
      </c>
      <c r="B252" t="s">
        <v>83</v>
      </c>
      <c r="C252" t="s">
        <v>17</v>
      </c>
      <c r="D252" t="s">
        <v>34</v>
      </c>
      <c r="E252" s="97" t="s">
        <v>160</v>
      </c>
    </row>
    <row r="253" spans="1:5" x14ac:dyDescent="0.25">
      <c r="A253" t="s">
        <v>48</v>
      </c>
      <c r="B253" t="s">
        <v>83</v>
      </c>
      <c r="C253" t="s">
        <v>17</v>
      </c>
      <c r="D253" t="s">
        <v>34</v>
      </c>
      <c r="E253" s="97" t="s">
        <v>248</v>
      </c>
    </row>
    <row r="254" spans="1:5" x14ac:dyDescent="0.25">
      <c r="A254" t="s">
        <v>49</v>
      </c>
      <c r="B254" t="s">
        <v>83</v>
      </c>
      <c r="C254" t="s">
        <v>17</v>
      </c>
      <c r="D254" t="s">
        <v>34</v>
      </c>
      <c r="E254" s="97" t="s">
        <v>232</v>
      </c>
    </row>
    <row r="255" spans="1:5" x14ac:dyDescent="0.25">
      <c r="A255" t="s">
        <v>66</v>
      </c>
      <c r="B255" t="s">
        <v>83</v>
      </c>
      <c r="C255" t="s">
        <v>17</v>
      </c>
      <c r="D255" t="s">
        <v>34</v>
      </c>
      <c r="E255" s="97" t="s">
        <v>241</v>
      </c>
    </row>
    <row r="256" spans="1:5" x14ac:dyDescent="0.25">
      <c r="A256" t="s">
        <v>69</v>
      </c>
      <c r="B256" t="s">
        <v>83</v>
      </c>
      <c r="C256" t="s">
        <v>17</v>
      </c>
      <c r="D256" t="s">
        <v>34</v>
      </c>
      <c r="E256" s="97" t="s">
        <v>249</v>
      </c>
    </row>
    <row r="257" spans="1:5" x14ac:dyDescent="0.25">
      <c r="A257" t="s">
        <v>35</v>
      </c>
      <c r="B257" t="s">
        <v>83</v>
      </c>
      <c r="C257" t="s">
        <v>18</v>
      </c>
      <c r="D257" t="s">
        <v>34</v>
      </c>
      <c r="E257" s="97" t="s">
        <v>87</v>
      </c>
    </row>
    <row r="258" spans="1:5" x14ac:dyDescent="0.25">
      <c r="A258" t="s">
        <v>36</v>
      </c>
      <c r="B258" t="s">
        <v>83</v>
      </c>
      <c r="C258" t="s">
        <v>18</v>
      </c>
      <c r="D258" t="s">
        <v>34</v>
      </c>
      <c r="E258" s="97" t="s">
        <v>234</v>
      </c>
    </row>
    <row r="259" spans="1:5" x14ac:dyDescent="0.25">
      <c r="A259" t="s">
        <v>37</v>
      </c>
      <c r="B259" t="s">
        <v>83</v>
      </c>
      <c r="C259" t="s">
        <v>18</v>
      </c>
      <c r="D259" t="s">
        <v>34</v>
      </c>
      <c r="E259" s="97" t="s">
        <v>250</v>
      </c>
    </row>
    <row r="260" spans="1:5" x14ac:dyDescent="0.25">
      <c r="A260" t="s">
        <v>38</v>
      </c>
      <c r="B260" t="s">
        <v>83</v>
      </c>
      <c r="C260" t="s">
        <v>18</v>
      </c>
      <c r="D260" t="s">
        <v>34</v>
      </c>
      <c r="E260" s="97" t="s">
        <v>251</v>
      </c>
    </row>
    <row r="261" spans="1:5" x14ac:dyDescent="0.25">
      <c r="A261" t="s">
        <v>39</v>
      </c>
      <c r="B261" t="s">
        <v>83</v>
      </c>
      <c r="C261" t="s">
        <v>18</v>
      </c>
      <c r="D261" t="s">
        <v>34</v>
      </c>
      <c r="E261" s="97" t="s">
        <v>233</v>
      </c>
    </row>
    <row r="262" spans="1:5" x14ac:dyDescent="0.25">
      <c r="A262" t="s">
        <v>40</v>
      </c>
      <c r="B262" t="s">
        <v>83</v>
      </c>
      <c r="C262" t="s">
        <v>18</v>
      </c>
      <c r="D262" t="s">
        <v>34</v>
      </c>
      <c r="E262" s="97" t="s">
        <v>235</v>
      </c>
    </row>
    <row r="263" spans="1:5" x14ac:dyDescent="0.25">
      <c r="A263" t="s">
        <v>41</v>
      </c>
      <c r="B263" t="s">
        <v>83</v>
      </c>
      <c r="C263" t="s">
        <v>18</v>
      </c>
      <c r="D263" t="s">
        <v>34</v>
      </c>
      <c r="E263" s="97" t="s">
        <v>252</v>
      </c>
    </row>
    <row r="264" spans="1:5" x14ac:dyDescent="0.25">
      <c r="A264" t="s">
        <v>42</v>
      </c>
      <c r="B264" t="s">
        <v>83</v>
      </c>
      <c r="C264" t="s">
        <v>18</v>
      </c>
      <c r="D264" t="s">
        <v>34</v>
      </c>
      <c r="E264" s="97" t="s">
        <v>253</v>
      </c>
    </row>
    <row r="265" spans="1:5" x14ac:dyDescent="0.25">
      <c r="A265" t="s">
        <v>43</v>
      </c>
      <c r="B265" t="s">
        <v>83</v>
      </c>
      <c r="C265" t="s">
        <v>18</v>
      </c>
      <c r="D265" t="s">
        <v>34</v>
      </c>
      <c r="E265" s="97" t="s">
        <v>254</v>
      </c>
    </row>
    <row r="266" spans="1:5" x14ac:dyDescent="0.25">
      <c r="A266" t="s">
        <v>44</v>
      </c>
      <c r="B266" t="s">
        <v>83</v>
      </c>
      <c r="C266" t="s">
        <v>18</v>
      </c>
      <c r="D266" t="s">
        <v>34</v>
      </c>
      <c r="E266" s="97" t="s">
        <v>176</v>
      </c>
    </row>
    <row r="267" spans="1:5" x14ac:dyDescent="0.25">
      <c r="A267" t="s">
        <v>45</v>
      </c>
      <c r="B267" t="s">
        <v>83</v>
      </c>
      <c r="C267" t="s">
        <v>18</v>
      </c>
      <c r="D267" t="s">
        <v>34</v>
      </c>
      <c r="E267" s="97" t="s">
        <v>151</v>
      </c>
    </row>
    <row r="268" spans="1:5" x14ac:dyDescent="0.25">
      <c r="A268" t="s">
        <v>48</v>
      </c>
      <c r="B268" t="s">
        <v>83</v>
      </c>
      <c r="C268" t="s">
        <v>18</v>
      </c>
      <c r="D268" t="s">
        <v>34</v>
      </c>
      <c r="E268" s="97" t="s">
        <v>247</v>
      </c>
    </row>
    <row r="269" spans="1:5" x14ac:dyDescent="0.25">
      <c r="A269" t="s">
        <v>49</v>
      </c>
      <c r="B269" t="s">
        <v>83</v>
      </c>
      <c r="C269" t="s">
        <v>18</v>
      </c>
      <c r="D269" t="s">
        <v>34</v>
      </c>
      <c r="E269" s="97" t="s">
        <v>241</v>
      </c>
    </row>
    <row r="270" spans="1:5" x14ac:dyDescent="0.25">
      <c r="A270" t="s">
        <v>66</v>
      </c>
      <c r="B270" t="s">
        <v>83</v>
      </c>
      <c r="C270" t="s">
        <v>18</v>
      </c>
      <c r="D270" t="s">
        <v>34</v>
      </c>
      <c r="E270" s="97" t="s">
        <v>255</v>
      </c>
    </row>
    <row r="271" spans="1:5" x14ac:dyDescent="0.25">
      <c r="A271" t="s">
        <v>69</v>
      </c>
      <c r="B271" t="s">
        <v>83</v>
      </c>
      <c r="C271" t="s">
        <v>18</v>
      </c>
      <c r="D271" t="s">
        <v>34</v>
      </c>
      <c r="E271" s="97" t="s">
        <v>234</v>
      </c>
    </row>
    <row r="272" spans="1:5" x14ac:dyDescent="0.25">
      <c r="E272" s="97" t="s">
        <v>256</v>
      </c>
    </row>
    <row r="273" spans="5:5" x14ac:dyDescent="0.25">
      <c r="E273" s="97" t="s">
        <v>256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39596-06F2-4DB1-B38F-0B466B451FA2}">
  <sheetPr codeName="Tabelle10"/>
  <dimension ref="A1:G275"/>
  <sheetViews>
    <sheetView workbookViewId="0"/>
  </sheetViews>
  <sheetFormatPr baseColWidth="10" defaultRowHeight="15" x14ac:dyDescent="0.25"/>
  <cols>
    <col min="1" max="1" width="9" bestFit="1" customWidth="1"/>
    <col min="2" max="2" width="94" bestFit="1" customWidth="1"/>
    <col min="3" max="3" width="94" customWidth="1"/>
    <col min="4" max="4" width="19" bestFit="1" customWidth="1"/>
    <col min="5" max="5" width="19" customWidth="1"/>
    <col min="6" max="6" width="14.140625" bestFit="1" customWidth="1"/>
    <col min="7" max="7" width="6.140625" bestFit="1" customWidth="1"/>
  </cols>
  <sheetData>
    <row r="1" spans="1:7" x14ac:dyDescent="0.25">
      <c r="A1" t="s">
        <v>75</v>
      </c>
      <c r="B1" t="s">
        <v>257</v>
      </c>
      <c r="C1" t="s">
        <v>258</v>
      </c>
      <c r="D1" t="s">
        <v>77</v>
      </c>
      <c r="E1" t="s">
        <v>259</v>
      </c>
      <c r="F1" t="s">
        <v>78</v>
      </c>
      <c r="G1" t="s">
        <v>79</v>
      </c>
    </row>
    <row r="2" spans="1:7" x14ac:dyDescent="0.25">
      <c r="A2" t="s">
        <v>35</v>
      </c>
      <c r="B2" t="s">
        <v>80</v>
      </c>
      <c r="D2" t="s">
        <v>11</v>
      </c>
      <c r="F2" t="s">
        <v>81</v>
      </c>
      <c r="G2" s="97" t="s">
        <v>88</v>
      </c>
    </row>
    <row r="3" spans="1:7" x14ac:dyDescent="0.25">
      <c r="A3" t="s">
        <v>36</v>
      </c>
      <c r="B3" t="s">
        <v>80</v>
      </c>
      <c r="D3" t="s">
        <v>11</v>
      </c>
      <c r="F3" t="s">
        <v>81</v>
      </c>
      <c r="G3" s="97" t="s">
        <v>89</v>
      </c>
    </row>
    <row r="4" spans="1:7" x14ac:dyDescent="0.25">
      <c r="A4" t="s">
        <v>37</v>
      </c>
      <c r="B4" t="s">
        <v>80</v>
      </c>
      <c r="D4" t="s">
        <v>11</v>
      </c>
      <c r="F4" t="s">
        <v>81</v>
      </c>
      <c r="G4" s="97" t="s">
        <v>90</v>
      </c>
    </row>
    <row r="5" spans="1:7" x14ac:dyDescent="0.25">
      <c r="A5" t="s">
        <v>38</v>
      </c>
      <c r="B5" t="s">
        <v>80</v>
      </c>
      <c r="D5" t="s">
        <v>11</v>
      </c>
      <c r="F5" t="s">
        <v>81</v>
      </c>
      <c r="G5" s="97" t="s">
        <v>91</v>
      </c>
    </row>
    <row r="6" spans="1:7" x14ac:dyDescent="0.25">
      <c r="A6" t="s">
        <v>39</v>
      </c>
      <c r="B6" t="s">
        <v>80</v>
      </c>
      <c r="D6" t="s">
        <v>11</v>
      </c>
      <c r="F6" t="s">
        <v>81</v>
      </c>
      <c r="G6" s="97" t="s">
        <v>92</v>
      </c>
    </row>
    <row r="7" spans="1:7" x14ac:dyDescent="0.25">
      <c r="A7" t="s">
        <v>40</v>
      </c>
      <c r="B7" t="s">
        <v>80</v>
      </c>
      <c r="D7" t="s">
        <v>11</v>
      </c>
      <c r="F7" t="s">
        <v>81</v>
      </c>
      <c r="G7" s="97" t="s">
        <v>93</v>
      </c>
    </row>
    <row r="8" spans="1:7" x14ac:dyDescent="0.25">
      <c r="A8" t="s">
        <v>41</v>
      </c>
      <c r="B8" t="s">
        <v>80</v>
      </c>
      <c r="D8" t="s">
        <v>11</v>
      </c>
      <c r="F8" t="s">
        <v>81</v>
      </c>
      <c r="G8" s="97" t="s">
        <v>94</v>
      </c>
    </row>
    <row r="9" spans="1:7" x14ac:dyDescent="0.25">
      <c r="A9" t="s">
        <v>42</v>
      </c>
      <c r="B9" t="s">
        <v>80</v>
      </c>
      <c r="D9" t="s">
        <v>11</v>
      </c>
      <c r="F9" t="s">
        <v>81</v>
      </c>
      <c r="G9" s="97" t="s">
        <v>94</v>
      </c>
    </row>
    <row r="10" spans="1:7" x14ac:dyDescent="0.25">
      <c r="A10" t="s">
        <v>43</v>
      </c>
      <c r="B10" t="s">
        <v>80</v>
      </c>
      <c r="D10" t="s">
        <v>11</v>
      </c>
      <c r="F10" t="s">
        <v>81</v>
      </c>
      <c r="G10" s="97" t="s">
        <v>95</v>
      </c>
    </row>
    <row r="11" spans="1:7" x14ac:dyDescent="0.25">
      <c r="A11" t="s">
        <v>44</v>
      </c>
      <c r="B11" t="s">
        <v>80</v>
      </c>
      <c r="D11" t="s">
        <v>11</v>
      </c>
      <c r="F11" t="s">
        <v>81</v>
      </c>
      <c r="G11" s="97" t="s">
        <v>96</v>
      </c>
    </row>
    <row r="12" spans="1:7" x14ac:dyDescent="0.25">
      <c r="A12" t="s">
        <v>45</v>
      </c>
      <c r="B12" t="s">
        <v>80</v>
      </c>
      <c r="D12" t="s">
        <v>11</v>
      </c>
      <c r="F12" t="s">
        <v>81</v>
      </c>
      <c r="G12" s="97" t="s">
        <v>97</v>
      </c>
    </row>
    <row r="13" spans="1:7" x14ac:dyDescent="0.25">
      <c r="A13" t="s">
        <v>48</v>
      </c>
      <c r="B13" t="s">
        <v>80</v>
      </c>
      <c r="D13" t="s">
        <v>11</v>
      </c>
      <c r="F13" t="s">
        <v>81</v>
      </c>
      <c r="G13" s="97" t="s">
        <v>98</v>
      </c>
    </row>
    <row r="14" spans="1:7" x14ac:dyDescent="0.25">
      <c r="A14" t="s">
        <v>49</v>
      </c>
      <c r="B14" t="s">
        <v>80</v>
      </c>
      <c r="D14" t="s">
        <v>11</v>
      </c>
      <c r="F14" t="s">
        <v>81</v>
      </c>
      <c r="G14" s="97" t="s">
        <v>99</v>
      </c>
    </row>
    <row r="15" spans="1:7" x14ac:dyDescent="0.25">
      <c r="A15" t="s">
        <v>66</v>
      </c>
      <c r="B15" t="s">
        <v>80</v>
      </c>
      <c r="D15" t="s">
        <v>11</v>
      </c>
      <c r="F15" t="s">
        <v>81</v>
      </c>
      <c r="G15" s="97" t="s">
        <v>100</v>
      </c>
    </row>
    <row r="16" spans="1:7" x14ac:dyDescent="0.25">
      <c r="A16" t="s">
        <v>69</v>
      </c>
      <c r="B16" t="s">
        <v>80</v>
      </c>
      <c r="D16" t="s">
        <v>11</v>
      </c>
      <c r="F16" t="s">
        <v>81</v>
      </c>
      <c r="G16" s="97" t="s">
        <v>101</v>
      </c>
    </row>
    <row r="17" spans="1:7" x14ac:dyDescent="0.25">
      <c r="A17" t="s">
        <v>35</v>
      </c>
      <c r="B17" t="s">
        <v>80</v>
      </c>
      <c r="D17" t="s">
        <v>32</v>
      </c>
      <c r="F17" t="s">
        <v>81</v>
      </c>
      <c r="G17" s="97" t="s">
        <v>102</v>
      </c>
    </row>
    <row r="18" spans="1:7" x14ac:dyDescent="0.25">
      <c r="A18" t="s">
        <v>36</v>
      </c>
      <c r="B18" t="s">
        <v>80</v>
      </c>
      <c r="D18" t="s">
        <v>32</v>
      </c>
      <c r="F18" t="s">
        <v>81</v>
      </c>
      <c r="G18" s="97" t="s">
        <v>103</v>
      </c>
    </row>
    <row r="19" spans="1:7" x14ac:dyDescent="0.25">
      <c r="A19" t="s">
        <v>37</v>
      </c>
      <c r="B19" t="s">
        <v>80</v>
      </c>
      <c r="D19" t="s">
        <v>32</v>
      </c>
      <c r="F19" t="s">
        <v>81</v>
      </c>
      <c r="G19" s="97" t="s">
        <v>104</v>
      </c>
    </row>
    <row r="20" spans="1:7" x14ac:dyDescent="0.25">
      <c r="A20" t="s">
        <v>38</v>
      </c>
      <c r="B20" t="s">
        <v>80</v>
      </c>
      <c r="D20" t="s">
        <v>32</v>
      </c>
      <c r="F20" t="s">
        <v>81</v>
      </c>
      <c r="G20" s="97" t="s">
        <v>91</v>
      </c>
    </row>
    <row r="21" spans="1:7" x14ac:dyDescent="0.25">
      <c r="A21" t="s">
        <v>39</v>
      </c>
      <c r="B21" t="s">
        <v>80</v>
      </c>
      <c r="D21" t="s">
        <v>32</v>
      </c>
      <c r="F21" t="s">
        <v>81</v>
      </c>
      <c r="G21" s="97" t="s">
        <v>105</v>
      </c>
    </row>
    <row r="22" spans="1:7" x14ac:dyDescent="0.25">
      <c r="A22" t="s">
        <v>40</v>
      </c>
      <c r="B22" t="s">
        <v>80</v>
      </c>
      <c r="D22" t="s">
        <v>32</v>
      </c>
      <c r="F22" t="s">
        <v>81</v>
      </c>
      <c r="G22" s="97" t="s">
        <v>106</v>
      </c>
    </row>
    <row r="23" spans="1:7" x14ac:dyDescent="0.25">
      <c r="A23" t="s">
        <v>41</v>
      </c>
      <c r="B23" t="s">
        <v>80</v>
      </c>
      <c r="D23" t="s">
        <v>32</v>
      </c>
      <c r="F23" t="s">
        <v>81</v>
      </c>
      <c r="G23" s="97" t="s">
        <v>94</v>
      </c>
    </row>
    <row r="24" spans="1:7" x14ac:dyDescent="0.25">
      <c r="A24" t="s">
        <v>42</v>
      </c>
      <c r="B24" t="s">
        <v>80</v>
      </c>
      <c r="D24" t="s">
        <v>32</v>
      </c>
      <c r="F24" t="s">
        <v>81</v>
      </c>
      <c r="G24" s="97" t="s">
        <v>94</v>
      </c>
    </row>
    <row r="25" spans="1:7" x14ac:dyDescent="0.25">
      <c r="A25" t="s">
        <v>43</v>
      </c>
      <c r="B25" t="s">
        <v>80</v>
      </c>
      <c r="D25" t="s">
        <v>32</v>
      </c>
      <c r="F25" t="s">
        <v>81</v>
      </c>
      <c r="G25" s="97" t="s">
        <v>95</v>
      </c>
    </row>
    <row r="26" spans="1:7" x14ac:dyDescent="0.25">
      <c r="A26" t="s">
        <v>44</v>
      </c>
      <c r="B26" t="s">
        <v>80</v>
      </c>
      <c r="D26" t="s">
        <v>32</v>
      </c>
      <c r="F26" t="s">
        <v>81</v>
      </c>
      <c r="G26" s="97" t="s">
        <v>100</v>
      </c>
    </row>
    <row r="27" spans="1:7" x14ac:dyDescent="0.25">
      <c r="A27" t="s">
        <v>45</v>
      </c>
      <c r="B27" t="s">
        <v>80</v>
      </c>
      <c r="D27" t="s">
        <v>32</v>
      </c>
      <c r="F27" t="s">
        <v>81</v>
      </c>
      <c r="G27" s="97" t="s">
        <v>96</v>
      </c>
    </row>
    <row r="28" spans="1:7" x14ac:dyDescent="0.25">
      <c r="A28" t="s">
        <v>48</v>
      </c>
      <c r="B28" t="s">
        <v>80</v>
      </c>
      <c r="D28" t="s">
        <v>32</v>
      </c>
      <c r="F28" t="s">
        <v>81</v>
      </c>
      <c r="G28" s="97" t="s">
        <v>107</v>
      </c>
    </row>
    <row r="29" spans="1:7" x14ac:dyDescent="0.25">
      <c r="A29" t="s">
        <v>49</v>
      </c>
      <c r="B29" t="s">
        <v>80</v>
      </c>
      <c r="D29" t="s">
        <v>32</v>
      </c>
      <c r="F29" t="s">
        <v>81</v>
      </c>
      <c r="G29" s="97" t="s">
        <v>98</v>
      </c>
    </row>
    <row r="30" spans="1:7" x14ac:dyDescent="0.25">
      <c r="A30" t="s">
        <v>66</v>
      </c>
      <c r="B30" t="s">
        <v>80</v>
      </c>
      <c r="D30" t="s">
        <v>32</v>
      </c>
      <c r="F30" t="s">
        <v>81</v>
      </c>
      <c r="G30" s="97" t="s">
        <v>108</v>
      </c>
    </row>
    <row r="31" spans="1:7" x14ac:dyDescent="0.25">
      <c r="A31" t="s">
        <v>69</v>
      </c>
      <c r="B31" t="s">
        <v>80</v>
      </c>
      <c r="D31" t="s">
        <v>32</v>
      </c>
      <c r="F31" t="s">
        <v>81</v>
      </c>
      <c r="G31" s="97" t="s">
        <v>109</v>
      </c>
    </row>
    <row r="32" spans="1:7" x14ac:dyDescent="0.25">
      <c r="A32" t="s">
        <v>35</v>
      </c>
      <c r="B32" t="s">
        <v>80</v>
      </c>
      <c r="D32" t="s">
        <v>15</v>
      </c>
      <c r="F32" t="s">
        <v>81</v>
      </c>
      <c r="G32" s="97" t="s">
        <v>110</v>
      </c>
    </row>
    <row r="33" spans="1:7" x14ac:dyDescent="0.25">
      <c r="A33" t="s">
        <v>36</v>
      </c>
      <c r="B33" t="s">
        <v>80</v>
      </c>
      <c r="D33" t="s">
        <v>15</v>
      </c>
      <c r="F33" t="s">
        <v>81</v>
      </c>
      <c r="G33" s="97" t="s">
        <v>111</v>
      </c>
    </row>
    <row r="34" spans="1:7" x14ac:dyDescent="0.25">
      <c r="A34" t="s">
        <v>37</v>
      </c>
      <c r="B34" t="s">
        <v>80</v>
      </c>
      <c r="D34" t="s">
        <v>15</v>
      </c>
      <c r="F34" t="s">
        <v>81</v>
      </c>
      <c r="G34" s="97" t="s">
        <v>112</v>
      </c>
    </row>
    <row r="35" spans="1:7" x14ac:dyDescent="0.25">
      <c r="A35" t="s">
        <v>38</v>
      </c>
      <c r="B35" t="s">
        <v>80</v>
      </c>
      <c r="D35" t="s">
        <v>15</v>
      </c>
      <c r="F35" t="s">
        <v>81</v>
      </c>
      <c r="G35" s="97" t="s">
        <v>91</v>
      </c>
    </row>
    <row r="36" spans="1:7" x14ac:dyDescent="0.25">
      <c r="A36" t="s">
        <v>39</v>
      </c>
      <c r="B36" t="s">
        <v>80</v>
      </c>
      <c r="D36" t="s">
        <v>15</v>
      </c>
      <c r="F36" t="s">
        <v>81</v>
      </c>
      <c r="G36" s="97" t="s">
        <v>103</v>
      </c>
    </row>
    <row r="37" spans="1:7" x14ac:dyDescent="0.25">
      <c r="A37" t="s">
        <v>40</v>
      </c>
      <c r="B37" t="s">
        <v>80</v>
      </c>
      <c r="D37" t="s">
        <v>15</v>
      </c>
      <c r="F37" t="s">
        <v>81</v>
      </c>
      <c r="G37" s="97" t="s">
        <v>108</v>
      </c>
    </row>
    <row r="38" spans="1:7" x14ac:dyDescent="0.25">
      <c r="A38" t="s">
        <v>41</v>
      </c>
      <c r="B38" t="s">
        <v>80</v>
      </c>
      <c r="D38" t="s">
        <v>15</v>
      </c>
      <c r="F38" t="s">
        <v>81</v>
      </c>
      <c r="G38" s="97" t="s">
        <v>108</v>
      </c>
    </row>
    <row r="39" spans="1:7" x14ac:dyDescent="0.25">
      <c r="A39" t="s">
        <v>42</v>
      </c>
      <c r="B39" t="s">
        <v>80</v>
      </c>
      <c r="D39" t="s">
        <v>15</v>
      </c>
      <c r="F39" t="s">
        <v>81</v>
      </c>
      <c r="G39" s="97" t="s">
        <v>94</v>
      </c>
    </row>
    <row r="40" spans="1:7" x14ac:dyDescent="0.25">
      <c r="A40" t="s">
        <v>43</v>
      </c>
      <c r="B40" t="s">
        <v>80</v>
      </c>
      <c r="D40" t="s">
        <v>15</v>
      </c>
      <c r="F40" t="s">
        <v>81</v>
      </c>
      <c r="G40" s="97" t="s">
        <v>96</v>
      </c>
    </row>
    <row r="41" spans="1:7" x14ac:dyDescent="0.25">
      <c r="A41" t="s">
        <v>44</v>
      </c>
      <c r="B41" t="s">
        <v>80</v>
      </c>
      <c r="D41" t="s">
        <v>15</v>
      </c>
      <c r="F41" t="s">
        <v>81</v>
      </c>
      <c r="G41" s="97" t="s">
        <v>97</v>
      </c>
    </row>
    <row r="42" spans="1:7" x14ac:dyDescent="0.25">
      <c r="A42" t="s">
        <v>45</v>
      </c>
      <c r="B42" t="s">
        <v>80</v>
      </c>
      <c r="D42" t="s">
        <v>15</v>
      </c>
      <c r="F42" t="s">
        <v>81</v>
      </c>
      <c r="G42" s="97" t="s">
        <v>101</v>
      </c>
    </row>
    <row r="43" spans="1:7" x14ac:dyDescent="0.25">
      <c r="A43" t="s">
        <v>48</v>
      </c>
      <c r="B43" t="s">
        <v>80</v>
      </c>
      <c r="D43" t="s">
        <v>15</v>
      </c>
      <c r="F43" t="s">
        <v>81</v>
      </c>
      <c r="G43" s="97" t="s">
        <v>113</v>
      </c>
    </row>
    <row r="44" spans="1:7" x14ac:dyDescent="0.25">
      <c r="A44" t="s">
        <v>49</v>
      </c>
      <c r="B44" t="s">
        <v>80</v>
      </c>
      <c r="D44" t="s">
        <v>15</v>
      </c>
      <c r="F44" t="s">
        <v>81</v>
      </c>
      <c r="G44" s="97" t="s">
        <v>114</v>
      </c>
    </row>
    <row r="45" spans="1:7" x14ac:dyDescent="0.25">
      <c r="A45" t="s">
        <v>66</v>
      </c>
      <c r="B45" t="s">
        <v>80</v>
      </c>
      <c r="D45" t="s">
        <v>15</v>
      </c>
      <c r="F45" t="s">
        <v>81</v>
      </c>
      <c r="G45" s="97" t="s">
        <v>109</v>
      </c>
    </row>
    <row r="46" spans="1:7" x14ac:dyDescent="0.25">
      <c r="A46" t="s">
        <v>69</v>
      </c>
      <c r="B46" t="s">
        <v>80</v>
      </c>
      <c r="D46" t="s">
        <v>15</v>
      </c>
      <c r="F46" t="s">
        <v>81</v>
      </c>
      <c r="G46" s="97" t="s">
        <v>107</v>
      </c>
    </row>
    <row r="47" spans="1:7" x14ac:dyDescent="0.25">
      <c r="A47" t="s">
        <v>35</v>
      </c>
      <c r="B47" t="s">
        <v>30</v>
      </c>
      <c r="D47" t="s">
        <v>11</v>
      </c>
      <c r="F47" t="s">
        <v>81</v>
      </c>
      <c r="G47" s="97" t="s">
        <v>115</v>
      </c>
    </row>
    <row r="48" spans="1:7" x14ac:dyDescent="0.25">
      <c r="A48" t="s">
        <v>36</v>
      </c>
      <c r="B48" t="s">
        <v>30</v>
      </c>
      <c r="D48" t="s">
        <v>11</v>
      </c>
      <c r="F48" t="s">
        <v>81</v>
      </c>
      <c r="G48" s="97" t="s">
        <v>116</v>
      </c>
    </row>
    <row r="49" spans="1:7" x14ac:dyDescent="0.25">
      <c r="A49" t="s">
        <v>37</v>
      </c>
      <c r="B49" t="s">
        <v>30</v>
      </c>
      <c r="D49" t="s">
        <v>11</v>
      </c>
      <c r="F49" t="s">
        <v>81</v>
      </c>
      <c r="G49" s="97" t="s">
        <v>117</v>
      </c>
    </row>
    <row r="50" spans="1:7" x14ac:dyDescent="0.25">
      <c r="A50" t="s">
        <v>38</v>
      </c>
      <c r="B50" t="s">
        <v>30</v>
      </c>
      <c r="D50" t="s">
        <v>11</v>
      </c>
      <c r="F50" t="s">
        <v>81</v>
      </c>
      <c r="G50" s="97" t="s">
        <v>118</v>
      </c>
    </row>
    <row r="51" spans="1:7" x14ac:dyDescent="0.25">
      <c r="A51" t="s">
        <v>39</v>
      </c>
      <c r="B51" t="s">
        <v>30</v>
      </c>
      <c r="D51" t="s">
        <v>11</v>
      </c>
      <c r="F51" t="s">
        <v>81</v>
      </c>
      <c r="G51" s="97" t="s">
        <v>119</v>
      </c>
    </row>
    <row r="52" spans="1:7" x14ac:dyDescent="0.25">
      <c r="A52" t="s">
        <v>40</v>
      </c>
      <c r="B52" t="s">
        <v>30</v>
      </c>
      <c r="D52" t="s">
        <v>11</v>
      </c>
      <c r="F52" t="s">
        <v>81</v>
      </c>
      <c r="G52" s="97" t="s">
        <v>120</v>
      </c>
    </row>
    <row r="53" spans="1:7" x14ac:dyDescent="0.25">
      <c r="A53" t="s">
        <v>41</v>
      </c>
      <c r="B53" t="s">
        <v>30</v>
      </c>
      <c r="D53" t="s">
        <v>11</v>
      </c>
      <c r="F53" t="s">
        <v>81</v>
      </c>
      <c r="G53" s="97" t="s">
        <v>121</v>
      </c>
    </row>
    <row r="54" spans="1:7" x14ac:dyDescent="0.25">
      <c r="A54" t="s">
        <v>42</v>
      </c>
      <c r="B54" t="s">
        <v>30</v>
      </c>
      <c r="D54" t="s">
        <v>11</v>
      </c>
      <c r="F54" t="s">
        <v>81</v>
      </c>
      <c r="G54" s="97" t="s">
        <v>120</v>
      </c>
    </row>
    <row r="55" spans="1:7" x14ac:dyDescent="0.25">
      <c r="A55" t="s">
        <v>43</v>
      </c>
      <c r="B55" t="s">
        <v>30</v>
      </c>
      <c r="D55" t="s">
        <v>11</v>
      </c>
      <c r="F55" t="s">
        <v>81</v>
      </c>
      <c r="G55" s="97" t="s">
        <v>122</v>
      </c>
    </row>
    <row r="56" spans="1:7" x14ac:dyDescent="0.25">
      <c r="A56" t="s">
        <v>44</v>
      </c>
      <c r="B56" t="s">
        <v>30</v>
      </c>
      <c r="D56" t="s">
        <v>11</v>
      </c>
      <c r="F56" t="s">
        <v>81</v>
      </c>
      <c r="G56" s="97" t="s">
        <v>123</v>
      </c>
    </row>
    <row r="57" spans="1:7" x14ac:dyDescent="0.25">
      <c r="A57" t="s">
        <v>45</v>
      </c>
      <c r="B57" t="s">
        <v>30</v>
      </c>
      <c r="D57" t="s">
        <v>11</v>
      </c>
      <c r="F57" t="s">
        <v>81</v>
      </c>
      <c r="G57" s="97" t="s">
        <v>124</v>
      </c>
    </row>
    <row r="58" spans="1:7" x14ac:dyDescent="0.25">
      <c r="A58" t="s">
        <v>48</v>
      </c>
      <c r="B58" t="s">
        <v>30</v>
      </c>
      <c r="D58" t="s">
        <v>11</v>
      </c>
      <c r="F58" t="s">
        <v>81</v>
      </c>
      <c r="G58" s="97" t="s">
        <v>125</v>
      </c>
    </row>
    <row r="59" spans="1:7" x14ac:dyDescent="0.25">
      <c r="A59" t="s">
        <v>49</v>
      </c>
      <c r="B59" t="s">
        <v>30</v>
      </c>
      <c r="D59" t="s">
        <v>11</v>
      </c>
      <c r="F59" t="s">
        <v>81</v>
      </c>
      <c r="G59" s="97" t="s">
        <v>126</v>
      </c>
    </row>
    <row r="60" spans="1:7" x14ac:dyDescent="0.25">
      <c r="A60" t="s">
        <v>66</v>
      </c>
      <c r="B60" t="s">
        <v>30</v>
      </c>
      <c r="D60" t="s">
        <v>11</v>
      </c>
      <c r="F60" t="s">
        <v>81</v>
      </c>
      <c r="G60" s="97" t="s">
        <v>127</v>
      </c>
    </row>
    <row r="61" spans="1:7" x14ac:dyDescent="0.25">
      <c r="A61" t="s">
        <v>69</v>
      </c>
      <c r="B61" t="s">
        <v>30</v>
      </c>
      <c r="D61" t="s">
        <v>11</v>
      </c>
      <c r="F61" t="s">
        <v>81</v>
      </c>
      <c r="G61" s="97" t="s">
        <v>121</v>
      </c>
    </row>
    <row r="62" spans="1:7" x14ac:dyDescent="0.25">
      <c r="A62" t="s">
        <v>35</v>
      </c>
      <c r="B62" t="s">
        <v>30</v>
      </c>
      <c r="D62" t="s">
        <v>32</v>
      </c>
      <c r="F62" t="s">
        <v>81</v>
      </c>
      <c r="G62" s="97" t="s">
        <v>128</v>
      </c>
    </row>
    <row r="63" spans="1:7" x14ac:dyDescent="0.25">
      <c r="A63" t="s">
        <v>36</v>
      </c>
      <c r="B63" t="s">
        <v>30</v>
      </c>
      <c r="D63" t="s">
        <v>32</v>
      </c>
      <c r="F63" t="s">
        <v>81</v>
      </c>
      <c r="G63" s="97" t="s">
        <v>119</v>
      </c>
    </row>
    <row r="64" spans="1:7" x14ac:dyDescent="0.25">
      <c r="A64" t="s">
        <v>37</v>
      </c>
      <c r="B64" t="s">
        <v>30</v>
      </c>
      <c r="D64" t="s">
        <v>32</v>
      </c>
      <c r="F64" t="s">
        <v>81</v>
      </c>
      <c r="G64" s="97" t="s">
        <v>129</v>
      </c>
    </row>
    <row r="65" spans="1:7" x14ac:dyDescent="0.25">
      <c r="A65" t="s">
        <v>38</v>
      </c>
      <c r="B65" t="s">
        <v>30</v>
      </c>
      <c r="D65" t="s">
        <v>32</v>
      </c>
      <c r="F65" t="s">
        <v>81</v>
      </c>
      <c r="G65" s="97" t="s">
        <v>130</v>
      </c>
    </row>
    <row r="66" spans="1:7" x14ac:dyDescent="0.25">
      <c r="A66" t="s">
        <v>39</v>
      </c>
      <c r="B66" t="s">
        <v>30</v>
      </c>
      <c r="D66" t="s">
        <v>32</v>
      </c>
      <c r="F66" t="s">
        <v>81</v>
      </c>
      <c r="G66" s="97" t="s">
        <v>131</v>
      </c>
    </row>
    <row r="67" spans="1:7" x14ac:dyDescent="0.25">
      <c r="A67" t="s">
        <v>40</v>
      </c>
      <c r="B67" t="s">
        <v>30</v>
      </c>
      <c r="D67" t="s">
        <v>32</v>
      </c>
      <c r="F67" t="s">
        <v>81</v>
      </c>
      <c r="G67" s="97" t="s">
        <v>132</v>
      </c>
    </row>
    <row r="68" spans="1:7" x14ac:dyDescent="0.25">
      <c r="A68" t="s">
        <v>41</v>
      </c>
      <c r="B68" t="s">
        <v>30</v>
      </c>
      <c r="D68" t="s">
        <v>32</v>
      </c>
      <c r="F68" t="s">
        <v>81</v>
      </c>
      <c r="G68" s="97" t="s">
        <v>133</v>
      </c>
    </row>
    <row r="69" spans="1:7" x14ac:dyDescent="0.25">
      <c r="A69" t="s">
        <v>42</v>
      </c>
      <c r="B69" t="s">
        <v>30</v>
      </c>
      <c r="D69" t="s">
        <v>32</v>
      </c>
      <c r="F69" t="s">
        <v>81</v>
      </c>
      <c r="G69" s="97" t="s">
        <v>133</v>
      </c>
    </row>
    <row r="70" spans="1:7" x14ac:dyDescent="0.25">
      <c r="A70" t="s">
        <v>43</v>
      </c>
      <c r="B70" t="s">
        <v>30</v>
      </c>
      <c r="D70" t="s">
        <v>32</v>
      </c>
      <c r="F70" t="s">
        <v>81</v>
      </c>
      <c r="G70" s="97" t="s">
        <v>132</v>
      </c>
    </row>
    <row r="71" spans="1:7" x14ac:dyDescent="0.25">
      <c r="A71" t="s">
        <v>44</v>
      </c>
      <c r="B71" t="s">
        <v>30</v>
      </c>
      <c r="D71" t="s">
        <v>32</v>
      </c>
      <c r="F71" t="s">
        <v>81</v>
      </c>
      <c r="G71" s="97" t="s">
        <v>134</v>
      </c>
    </row>
    <row r="72" spans="1:7" x14ac:dyDescent="0.25">
      <c r="A72" t="s">
        <v>45</v>
      </c>
      <c r="B72" t="s">
        <v>30</v>
      </c>
      <c r="D72" t="s">
        <v>32</v>
      </c>
      <c r="F72" t="s">
        <v>81</v>
      </c>
      <c r="G72" s="97" t="s">
        <v>122</v>
      </c>
    </row>
    <row r="73" spans="1:7" x14ac:dyDescent="0.25">
      <c r="A73" t="s">
        <v>48</v>
      </c>
      <c r="B73" t="s">
        <v>30</v>
      </c>
      <c r="D73" t="s">
        <v>32</v>
      </c>
      <c r="F73" t="s">
        <v>81</v>
      </c>
      <c r="G73" s="97" t="s">
        <v>133</v>
      </c>
    </row>
    <row r="74" spans="1:7" x14ac:dyDescent="0.25">
      <c r="A74" t="s">
        <v>49</v>
      </c>
      <c r="B74" t="s">
        <v>30</v>
      </c>
      <c r="D74" t="s">
        <v>32</v>
      </c>
      <c r="F74" t="s">
        <v>81</v>
      </c>
      <c r="G74" s="97" t="s">
        <v>135</v>
      </c>
    </row>
    <row r="75" spans="1:7" x14ac:dyDescent="0.25">
      <c r="A75" t="s">
        <v>66</v>
      </c>
      <c r="B75" t="s">
        <v>30</v>
      </c>
      <c r="D75" t="s">
        <v>32</v>
      </c>
      <c r="F75" t="s">
        <v>81</v>
      </c>
      <c r="G75" s="97" t="s">
        <v>122</v>
      </c>
    </row>
    <row r="76" spans="1:7" x14ac:dyDescent="0.25">
      <c r="A76" t="s">
        <v>69</v>
      </c>
      <c r="B76" t="s">
        <v>30</v>
      </c>
      <c r="D76" t="s">
        <v>32</v>
      </c>
      <c r="F76" t="s">
        <v>81</v>
      </c>
      <c r="G76" s="97" t="s">
        <v>136</v>
      </c>
    </row>
    <row r="77" spans="1:7" x14ac:dyDescent="0.25">
      <c r="A77" t="s">
        <v>35</v>
      </c>
      <c r="B77" t="s">
        <v>30</v>
      </c>
      <c r="D77" t="s">
        <v>15</v>
      </c>
      <c r="F77" t="s">
        <v>81</v>
      </c>
      <c r="G77" s="97" t="s">
        <v>137</v>
      </c>
    </row>
    <row r="78" spans="1:7" x14ac:dyDescent="0.25">
      <c r="A78" t="s">
        <v>36</v>
      </c>
      <c r="B78" t="s">
        <v>30</v>
      </c>
      <c r="D78" t="s">
        <v>15</v>
      </c>
      <c r="F78" t="s">
        <v>81</v>
      </c>
      <c r="G78" s="97" t="s">
        <v>138</v>
      </c>
    </row>
    <row r="79" spans="1:7" x14ac:dyDescent="0.25">
      <c r="A79" t="s">
        <v>37</v>
      </c>
      <c r="B79" t="s">
        <v>30</v>
      </c>
      <c r="D79" t="s">
        <v>15</v>
      </c>
      <c r="F79" t="s">
        <v>81</v>
      </c>
      <c r="G79" s="97" t="s">
        <v>139</v>
      </c>
    </row>
    <row r="80" spans="1:7" x14ac:dyDescent="0.25">
      <c r="A80" t="s">
        <v>38</v>
      </c>
      <c r="B80" t="s">
        <v>30</v>
      </c>
      <c r="D80" t="s">
        <v>15</v>
      </c>
      <c r="F80" t="s">
        <v>81</v>
      </c>
      <c r="G80" s="97" t="s">
        <v>140</v>
      </c>
    </row>
    <row r="81" spans="1:7" x14ac:dyDescent="0.25">
      <c r="A81" t="s">
        <v>39</v>
      </c>
      <c r="B81" t="s">
        <v>30</v>
      </c>
      <c r="D81" t="s">
        <v>15</v>
      </c>
      <c r="F81" t="s">
        <v>81</v>
      </c>
      <c r="G81" s="97" t="s">
        <v>141</v>
      </c>
    </row>
    <row r="82" spans="1:7" x14ac:dyDescent="0.25">
      <c r="A82" t="s">
        <v>40</v>
      </c>
      <c r="B82" t="s">
        <v>30</v>
      </c>
      <c r="D82" t="s">
        <v>15</v>
      </c>
      <c r="F82" t="s">
        <v>81</v>
      </c>
      <c r="G82" s="97" t="s">
        <v>142</v>
      </c>
    </row>
    <row r="83" spans="1:7" x14ac:dyDescent="0.25">
      <c r="A83" t="s">
        <v>41</v>
      </c>
      <c r="B83" t="s">
        <v>30</v>
      </c>
      <c r="D83" t="s">
        <v>15</v>
      </c>
      <c r="F83" t="s">
        <v>81</v>
      </c>
      <c r="G83" s="97" t="s">
        <v>129</v>
      </c>
    </row>
    <row r="84" spans="1:7" x14ac:dyDescent="0.25">
      <c r="A84" t="s">
        <v>42</v>
      </c>
      <c r="B84" t="s">
        <v>30</v>
      </c>
      <c r="D84" t="s">
        <v>15</v>
      </c>
      <c r="F84" t="s">
        <v>81</v>
      </c>
      <c r="G84" s="97" t="s">
        <v>128</v>
      </c>
    </row>
    <row r="85" spans="1:7" x14ac:dyDescent="0.25">
      <c r="A85" t="s">
        <v>43</v>
      </c>
      <c r="B85" t="s">
        <v>30</v>
      </c>
      <c r="D85" t="s">
        <v>15</v>
      </c>
      <c r="F85" t="s">
        <v>81</v>
      </c>
      <c r="G85" s="97" t="s">
        <v>143</v>
      </c>
    </row>
    <row r="86" spans="1:7" x14ac:dyDescent="0.25">
      <c r="A86" t="s">
        <v>44</v>
      </c>
      <c r="B86" t="s">
        <v>30</v>
      </c>
      <c r="D86" t="s">
        <v>15</v>
      </c>
      <c r="F86" t="s">
        <v>81</v>
      </c>
      <c r="G86" s="97" t="s">
        <v>144</v>
      </c>
    </row>
    <row r="87" spans="1:7" x14ac:dyDescent="0.25">
      <c r="A87" t="s">
        <v>45</v>
      </c>
      <c r="B87" t="s">
        <v>30</v>
      </c>
      <c r="D87" t="s">
        <v>15</v>
      </c>
      <c r="F87" t="s">
        <v>81</v>
      </c>
      <c r="G87" s="97" t="s">
        <v>145</v>
      </c>
    </row>
    <row r="88" spans="1:7" x14ac:dyDescent="0.25">
      <c r="A88" t="s">
        <v>48</v>
      </c>
      <c r="B88" t="s">
        <v>30</v>
      </c>
      <c r="D88" t="s">
        <v>15</v>
      </c>
      <c r="F88" t="s">
        <v>81</v>
      </c>
      <c r="G88" s="97" t="s">
        <v>146</v>
      </c>
    </row>
    <row r="89" spans="1:7" x14ac:dyDescent="0.25">
      <c r="A89" t="s">
        <v>49</v>
      </c>
      <c r="B89" t="s">
        <v>30</v>
      </c>
      <c r="D89" t="s">
        <v>15</v>
      </c>
      <c r="F89" t="s">
        <v>81</v>
      </c>
      <c r="G89" s="97" t="s">
        <v>119</v>
      </c>
    </row>
    <row r="90" spans="1:7" x14ac:dyDescent="0.25">
      <c r="A90" t="s">
        <v>66</v>
      </c>
      <c r="B90" t="s">
        <v>30</v>
      </c>
      <c r="D90" t="s">
        <v>15</v>
      </c>
      <c r="F90" t="s">
        <v>81</v>
      </c>
      <c r="G90" s="97" t="s">
        <v>147</v>
      </c>
    </row>
    <row r="91" spans="1:7" x14ac:dyDescent="0.25">
      <c r="A91" t="s">
        <v>69</v>
      </c>
      <c r="B91" t="s">
        <v>30</v>
      </c>
      <c r="D91" t="s">
        <v>15</v>
      </c>
      <c r="F91" t="s">
        <v>81</v>
      </c>
      <c r="G91" s="97" t="s">
        <v>148</v>
      </c>
    </row>
    <row r="92" spans="1:7" x14ac:dyDescent="0.25">
      <c r="A92" t="s">
        <v>35</v>
      </c>
      <c r="C92" t="s">
        <v>31</v>
      </c>
      <c r="D92" t="s">
        <v>11</v>
      </c>
      <c r="F92" t="s">
        <v>34</v>
      </c>
      <c r="G92" s="97" t="s">
        <v>149</v>
      </c>
    </row>
    <row r="93" spans="1:7" x14ac:dyDescent="0.25">
      <c r="A93" t="s">
        <v>36</v>
      </c>
      <c r="C93" t="s">
        <v>31</v>
      </c>
      <c r="D93" t="s">
        <v>11</v>
      </c>
      <c r="F93" t="s">
        <v>34</v>
      </c>
      <c r="G93" s="97" t="s">
        <v>149</v>
      </c>
    </row>
    <row r="94" spans="1:7" x14ac:dyDescent="0.25">
      <c r="A94" t="s">
        <v>37</v>
      </c>
      <c r="C94" t="s">
        <v>31</v>
      </c>
      <c r="D94" t="s">
        <v>11</v>
      </c>
      <c r="F94" t="s">
        <v>34</v>
      </c>
      <c r="G94" s="97" t="s">
        <v>150</v>
      </c>
    </row>
    <row r="95" spans="1:7" x14ac:dyDescent="0.25">
      <c r="A95" t="s">
        <v>38</v>
      </c>
      <c r="C95" t="s">
        <v>31</v>
      </c>
      <c r="D95" t="s">
        <v>11</v>
      </c>
      <c r="F95" t="s">
        <v>34</v>
      </c>
      <c r="G95" s="97" t="s">
        <v>151</v>
      </c>
    </row>
    <row r="96" spans="1:7" x14ac:dyDescent="0.25">
      <c r="A96" t="s">
        <v>39</v>
      </c>
      <c r="C96" t="s">
        <v>31</v>
      </c>
      <c r="D96" t="s">
        <v>11</v>
      </c>
      <c r="F96" t="s">
        <v>34</v>
      </c>
      <c r="G96" s="97" t="s">
        <v>152</v>
      </c>
    </row>
    <row r="97" spans="1:7" x14ac:dyDescent="0.25">
      <c r="A97" t="s">
        <v>40</v>
      </c>
      <c r="C97" t="s">
        <v>31</v>
      </c>
      <c r="D97" t="s">
        <v>11</v>
      </c>
      <c r="F97" t="s">
        <v>34</v>
      </c>
      <c r="G97" s="97" t="s">
        <v>153</v>
      </c>
    </row>
    <row r="98" spans="1:7" x14ac:dyDescent="0.25">
      <c r="A98" t="s">
        <v>41</v>
      </c>
      <c r="C98" t="s">
        <v>31</v>
      </c>
      <c r="D98" t="s">
        <v>11</v>
      </c>
      <c r="F98" t="s">
        <v>34</v>
      </c>
      <c r="G98" s="97" t="s">
        <v>154</v>
      </c>
    </row>
    <row r="99" spans="1:7" x14ac:dyDescent="0.25">
      <c r="A99" t="s">
        <v>42</v>
      </c>
      <c r="C99" t="s">
        <v>31</v>
      </c>
      <c r="D99" t="s">
        <v>11</v>
      </c>
      <c r="F99" t="s">
        <v>34</v>
      </c>
      <c r="G99" s="97" t="s">
        <v>155</v>
      </c>
    </row>
    <row r="100" spans="1:7" x14ac:dyDescent="0.25">
      <c r="A100" t="s">
        <v>43</v>
      </c>
      <c r="C100" t="s">
        <v>31</v>
      </c>
      <c r="D100" t="s">
        <v>11</v>
      </c>
      <c r="F100" t="s">
        <v>34</v>
      </c>
      <c r="G100" s="97" t="s">
        <v>156</v>
      </c>
    </row>
    <row r="101" spans="1:7" x14ac:dyDescent="0.25">
      <c r="A101" t="s">
        <v>44</v>
      </c>
      <c r="C101" t="s">
        <v>31</v>
      </c>
      <c r="D101" t="s">
        <v>11</v>
      </c>
      <c r="F101" t="s">
        <v>34</v>
      </c>
      <c r="G101" s="97" t="s">
        <v>149</v>
      </c>
    </row>
    <row r="102" spans="1:7" x14ac:dyDescent="0.25">
      <c r="A102" t="s">
        <v>45</v>
      </c>
      <c r="C102" t="s">
        <v>31</v>
      </c>
      <c r="D102" t="s">
        <v>11</v>
      </c>
      <c r="F102" t="s">
        <v>34</v>
      </c>
      <c r="G102" s="97" t="s">
        <v>157</v>
      </c>
    </row>
    <row r="103" spans="1:7" x14ac:dyDescent="0.25">
      <c r="A103" t="s">
        <v>48</v>
      </c>
      <c r="C103" t="s">
        <v>31</v>
      </c>
      <c r="D103" t="s">
        <v>11</v>
      </c>
      <c r="F103" t="s">
        <v>34</v>
      </c>
      <c r="G103" s="97" t="s">
        <v>152</v>
      </c>
    </row>
    <row r="104" spans="1:7" x14ac:dyDescent="0.25">
      <c r="A104" t="s">
        <v>49</v>
      </c>
      <c r="C104" t="s">
        <v>31</v>
      </c>
      <c r="D104" t="s">
        <v>11</v>
      </c>
      <c r="F104" t="s">
        <v>34</v>
      </c>
      <c r="G104" s="97" t="s">
        <v>153</v>
      </c>
    </row>
    <row r="105" spans="1:7" x14ac:dyDescent="0.25">
      <c r="A105" t="s">
        <v>66</v>
      </c>
      <c r="C105" t="s">
        <v>31</v>
      </c>
      <c r="D105" t="s">
        <v>11</v>
      </c>
      <c r="F105" t="s">
        <v>34</v>
      </c>
      <c r="G105" s="97" t="s">
        <v>150</v>
      </c>
    </row>
    <row r="106" spans="1:7" x14ac:dyDescent="0.25">
      <c r="A106" t="s">
        <v>69</v>
      </c>
      <c r="C106" t="s">
        <v>31</v>
      </c>
      <c r="D106" t="s">
        <v>11</v>
      </c>
      <c r="F106" t="s">
        <v>34</v>
      </c>
      <c r="G106" s="97" t="s">
        <v>158</v>
      </c>
    </row>
    <row r="107" spans="1:7" x14ac:dyDescent="0.25">
      <c r="A107" t="s">
        <v>35</v>
      </c>
      <c r="C107" t="s">
        <v>31</v>
      </c>
      <c r="D107" t="s">
        <v>32</v>
      </c>
      <c r="F107" t="s">
        <v>34</v>
      </c>
      <c r="G107" s="97" t="s">
        <v>159</v>
      </c>
    </row>
    <row r="108" spans="1:7" x14ac:dyDescent="0.25">
      <c r="A108" t="s">
        <v>36</v>
      </c>
      <c r="C108" t="s">
        <v>31</v>
      </c>
      <c r="D108" t="s">
        <v>32</v>
      </c>
      <c r="F108" t="s">
        <v>34</v>
      </c>
      <c r="G108" s="97" t="s">
        <v>160</v>
      </c>
    </row>
    <row r="109" spans="1:7" x14ac:dyDescent="0.25">
      <c r="A109" t="s">
        <v>37</v>
      </c>
      <c r="C109" t="s">
        <v>31</v>
      </c>
      <c r="D109" t="s">
        <v>32</v>
      </c>
      <c r="F109" t="s">
        <v>34</v>
      </c>
      <c r="G109" s="97" t="s">
        <v>160</v>
      </c>
    </row>
    <row r="110" spans="1:7" x14ac:dyDescent="0.25">
      <c r="A110" t="s">
        <v>38</v>
      </c>
      <c r="C110" t="s">
        <v>31</v>
      </c>
      <c r="D110" t="s">
        <v>32</v>
      </c>
      <c r="F110" t="s">
        <v>34</v>
      </c>
      <c r="G110" s="97" t="s">
        <v>161</v>
      </c>
    </row>
    <row r="111" spans="1:7" x14ac:dyDescent="0.25">
      <c r="A111" t="s">
        <v>39</v>
      </c>
      <c r="C111" t="s">
        <v>31</v>
      </c>
      <c r="D111" t="s">
        <v>32</v>
      </c>
      <c r="F111" t="s">
        <v>34</v>
      </c>
      <c r="G111" s="97" t="s">
        <v>84</v>
      </c>
    </row>
    <row r="112" spans="1:7" x14ac:dyDescent="0.25">
      <c r="A112" t="s">
        <v>40</v>
      </c>
      <c r="C112" t="s">
        <v>31</v>
      </c>
      <c r="D112" t="s">
        <v>32</v>
      </c>
      <c r="F112" t="s">
        <v>34</v>
      </c>
      <c r="G112" s="97" t="s">
        <v>162</v>
      </c>
    </row>
    <row r="113" spans="1:7" x14ac:dyDescent="0.25">
      <c r="A113" t="s">
        <v>41</v>
      </c>
      <c r="C113" t="s">
        <v>31</v>
      </c>
      <c r="D113" t="s">
        <v>32</v>
      </c>
      <c r="F113" t="s">
        <v>34</v>
      </c>
      <c r="G113" s="97" t="s">
        <v>163</v>
      </c>
    </row>
    <row r="114" spans="1:7" x14ac:dyDescent="0.25">
      <c r="A114" t="s">
        <v>42</v>
      </c>
      <c r="C114" t="s">
        <v>31</v>
      </c>
      <c r="D114" t="s">
        <v>32</v>
      </c>
      <c r="F114" t="s">
        <v>34</v>
      </c>
      <c r="G114" s="97" t="s">
        <v>163</v>
      </c>
    </row>
    <row r="115" spans="1:7" x14ac:dyDescent="0.25">
      <c r="A115" t="s">
        <v>43</v>
      </c>
      <c r="C115" t="s">
        <v>31</v>
      </c>
      <c r="D115" t="s">
        <v>32</v>
      </c>
      <c r="F115" t="s">
        <v>34</v>
      </c>
      <c r="G115" s="97" t="s">
        <v>164</v>
      </c>
    </row>
    <row r="116" spans="1:7" x14ac:dyDescent="0.25">
      <c r="A116" t="s">
        <v>44</v>
      </c>
      <c r="C116" t="s">
        <v>31</v>
      </c>
      <c r="D116" t="s">
        <v>32</v>
      </c>
      <c r="F116" t="s">
        <v>34</v>
      </c>
      <c r="G116" s="97" t="s">
        <v>165</v>
      </c>
    </row>
    <row r="117" spans="1:7" x14ac:dyDescent="0.25">
      <c r="A117" t="s">
        <v>45</v>
      </c>
      <c r="C117" t="s">
        <v>31</v>
      </c>
      <c r="D117" t="s">
        <v>32</v>
      </c>
      <c r="F117" t="s">
        <v>34</v>
      </c>
      <c r="G117" s="97" t="s">
        <v>152</v>
      </c>
    </row>
    <row r="118" spans="1:7" x14ac:dyDescent="0.25">
      <c r="A118" t="s">
        <v>48</v>
      </c>
      <c r="C118" t="s">
        <v>31</v>
      </c>
      <c r="D118" t="s">
        <v>32</v>
      </c>
      <c r="F118" t="s">
        <v>34</v>
      </c>
      <c r="G118" s="97" t="s">
        <v>166</v>
      </c>
    </row>
    <row r="119" spans="1:7" x14ac:dyDescent="0.25">
      <c r="A119" t="s">
        <v>49</v>
      </c>
      <c r="C119" t="s">
        <v>31</v>
      </c>
      <c r="D119" t="s">
        <v>32</v>
      </c>
      <c r="F119" t="s">
        <v>34</v>
      </c>
      <c r="G119" s="97" t="s">
        <v>167</v>
      </c>
    </row>
    <row r="120" spans="1:7" x14ac:dyDescent="0.25">
      <c r="A120" t="s">
        <v>66</v>
      </c>
      <c r="C120" t="s">
        <v>31</v>
      </c>
      <c r="D120" t="s">
        <v>32</v>
      </c>
      <c r="F120" t="s">
        <v>34</v>
      </c>
      <c r="G120" s="97" t="s">
        <v>168</v>
      </c>
    </row>
    <row r="121" spans="1:7" x14ac:dyDescent="0.25">
      <c r="A121" t="s">
        <v>69</v>
      </c>
      <c r="C121" t="s">
        <v>31</v>
      </c>
      <c r="D121" t="s">
        <v>32</v>
      </c>
      <c r="F121" t="s">
        <v>34</v>
      </c>
      <c r="G121" s="97" t="s">
        <v>169</v>
      </c>
    </row>
    <row r="122" spans="1:7" x14ac:dyDescent="0.25">
      <c r="A122" t="s">
        <v>35</v>
      </c>
      <c r="C122" t="s">
        <v>31</v>
      </c>
      <c r="D122" t="s">
        <v>15</v>
      </c>
      <c r="F122" t="s">
        <v>34</v>
      </c>
      <c r="G122" s="97" t="s">
        <v>170</v>
      </c>
    </row>
    <row r="123" spans="1:7" x14ac:dyDescent="0.25">
      <c r="A123" t="s">
        <v>36</v>
      </c>
      <c r="C123" t="s">
        <v>31</v>
      </c>
      <c r="D123" t="s">
        <v>15</v>
      </c>
      <c r="F123" t="s">
        <v>34</v>
      </c>
      <c r="G123" s="97" t="s">
        <v>171</v>
      </c>
    </row>
    <row r="124" spans="1:7" x14ac:dyDescent="0.25">
      <c r="A124" t="s">
        <v>37</v>
      </c>
      <c r="C124" t="s">
        <v>31</v>
      </c>
      <c r="D124" t="s">
        <v>15</v>
      </c>
      <c r="F124" t="s">
        <v>34</v>
      </c>
      <c r="G124" s="97" t="s">
        <v>172</v>
      </c>
    </row>
    <row r="125" spans="1:7" x14ac:dyDescent="0.25">
      <c r="A125" t="s">
        <v>38</v>
      </c>
      <c r="C125" t="s">
        <v>31</v>
      </c>
      <c r="D125" t="s">
        <v>15</v>
      </c>
      <c r="F125" t="s">
        <v>34</v>
      </c>
      <c r="G125" s="97" t="s">
        <v>85</v>
      </c>
    </row>
    <row r="126" spans="1:7" x14ac:dyDescent="0.25">
      <c r="A126" t="s">
        <v>39</v>
      </c>
      <c r="C126" t="s">
        <v>31</v>
      </c>
      <c r="D126" t="s">
        <v>15</v>
      </c>
      <c r="F126" t="s">
        <v>34</v>
      </c>
      <c r="G126" s="97" t="s">
        <v>173</v>
      </c>
    </row>
    <row r="127" spans="1:7" x14ac:dyDescent="0.25">
      <c r="A127" t="s">
        <v>40</v>
      </c>
      <c r="C127" t="s">
        <v>31</v>
      </c>
      <c r="D127" t="s">
        <v>15</v>
      </c>
      <c r="F127" t="s">
        <v>34</v>
      </c>
      <c r="G127" s="97" t="s">
        <v>174</v>
      </c>
    </row>
    <row r="128" spans="1:7" x14ac:dyDescent="0.25">
      <c r="A128" t="s">
        <v>41</v>
      </c>
      <c r="C128" t="s">
        <v>31</v>
      </c>
      <c r="D128" t="s">
        <v>15</v>
      </c>
      <c r="F128" t="s">
        <v>34</v>
      </c>
      <c r="G128" s="97" t="s">
        <v>175</v>
      </c>
    </row>
    <row r="129" spans="1:7" x14ac:dyDescent="0.25">
      <c r="A129" t="s">
        <v>42</v>
      </c>
      <c r="C129" t="s">
        <v>31</v>
      </c>
      <c r="D129" t="s">
        <v>15</v>
      </c>
      <c r="F129" t="s">
        <v>34</v>
      </c>
      <c r="G129" s="97" t="s">
        <v>176</v>
      </c>
    </row>
    <row r="130" spans="1:7" x14ac:dyDescent="0.25">
      <c r="A130" t="s">
        <v>43</v>
      </c>
      <c r="C130" t="s">
        <v>31</v>
      </c>
      <c r="D130" t="s">
        <v>15</v>
      </c>
      <c r="F130" t="s">
        <v>34</v>
      </c>
      <c r="G130" s="97" t="s">
        <v>177</v>
      </c>
    </row>
    <row r="131" spans="1:7" x14ac:dyDescent="0.25">
      <c r="A131" t="s">
        <v>44</v>
      </c>
      <c r="C131" t="s">
        <v>31</v>
      </c>
      <c r="D131" t="s">
        <v>15</v>
      </c>
      <c r="F131" t="s">
        <v>34</v>
      </c>
      <c r="G131" s="97" t="s">
        <v>178</v>
      </c>
    </row>
    <row r="132" spans="1:7" x14ac:dyDescent="0.25">
      <c r="A132" t="s">
        <v>45</v>
      </c>
      <c r="C132" t="s">
        <v>31</v>
      </c>
      <c r="D132" t="s">
        <v>15</v>
      </c>
      <c r="F132" t="s">
        <v>34</v>
      </c>
      <c r="G132" s="97" t="s">
        <v>179</v>
      </c>
    </row>
    <row r="133" spans="1:7" x14ac:dyDescent="0.25">
      <c r="A133" t="s">
        <v>48</v>
      </c>
      <c r="C133" t="s">
        <v>31</v>
      </c>
      <c r="D133" t="s">
        <v>15</v>
      </c>
      <c r="F133" t="s">
        <v>34</v>
      </c>
      <c r="G133" s="97" t="s">
        <v>180</v>
      </c>
    </row>
    <row r="134" spans="1:7" x14ac:dyDescent="0.25">
      <c r="A134" t="s">
        <v>49</v>
      </c>
      <c r="C134" t="s">
        <v>31</v>
      </c>
      <c r="D134" t="s">
        <v>15</v>
      </c>
      <c r="F134" t="s">
        <v>34</v>
      </c>
      <c r="G134" s="97" t="s">
        <v>181</v>
      </c>
    </row>
    <row r="135" spans="1:7" x14ac:dyDescent="0.25">
      <c r="A135" t="s">
        <v>66</v>
      </c>
      <c r="C135" t="s">
        <v>31</v>
      </c>
      <c r="D135" t="s">
        <v>15</v>
      </c>
      <c r="F135" t="s">
        <v>34</v>
      </c>
      <c r="G135" s="97" t="s">
        <v>182</v>
      </c>
    </row>
    <row r="136" spans="1:7" x14ac:dyDescent="0.25">
      <c r="A136" t="s">
        <v>69</v>
      </c>
      <c r="C136" t="s">
        <v>31</v>
      </c>
      <c r="D136" t="s">
        <v>15</v>
      </c>
      <c r="F136" t="s">
        <v>34</v>
      </c>
      <c r="G136" s="97" t="s">
        <v>178</v>
      </c>
    </row>
    <row r="137" spans="1:7" x14ac:dyDescent="0.25">
      <c r="A137" t="s">
        <v>35</v>
      </c>
      <c r="B137" t="s">
        <v>47</v>
      </c>
      <c r="E137" t="s">
        <v>11</v>
      </c>
      <c r="F137" t="s">
        <v>82</v>
      </c>
      <c r="G137" s="97" t="s">
        <v>111</v>
      </c>
    </row>
    <row r="138" spans="1:7" x14ac:dyDescent="0.25">
      <c r="A138" t="s">
        <v>36</v>
      </c>
      <c r="B138" t="s">
        <v>47</v>
      </c>
      <c r="E138" t="s">
        <v>11</v>
      </c>
      <c r="F138" t="s">
        <v>82</v>
      </c>
      <c r="G138" s="97" t="s">
        <v>94</v>
      </c>
    </row>
    <row r="139" spans="1:7" x14ac:dyDescent="0.25">
      <c r="A139" t="s">
        <v>37</v>
      </c>
      <c r="B139" t="s">
        <v>47</v>
      </c>
      <c r="E139" t="s">
        <v>11</v>
      </c>
      <c r="F139" t="s">
        <v>82</v>
      </c>
      <c r="G139" s="97" t="s">
        <v>89</v>
      </c>
    </row>
    <row r="140" spans="1:7" x14ac:dyDescent="0.25">
      <c r="A140" t="s">
        <v>38</v>
      </c>
      <c r="B140" t="s">
        <v>47</v>
      </c>
      <c r="E140" t="s">
        <v>11</v>
      </c>
      <c r="F140" t="s">
        <v>82</v>
      </c>
      <c r="G140" s="97" t="s">
        <v>183</v>
      </c>
    </row>
    <row r="141" spans="1:7" x14ac:dyDescent="0.25">
      <c r="A141" t="s">
        <v>39</v>
      </c>
      <c r="B141" t="s">
        <v>47</v>
      </c>
      <c r="E141" t="s">
        <v>11</v>
      </c>
      <c r="F141" t="s">
        <v>82</v>
      </c>
      <c r="G141" s="97" t="s">
        <v>184</v>
      </c>
    </row>
    <row r="142" spans="1:7" x14ac:dyDescent="0.25">
      <c r="A142" t="s">
        <v>40</v>
      </c>
      <c r="B142" t="s">
        <v>47</v>
      </c>
      <c r="E142" t="s">
        <v>11</v>
      </c>
      <c r="F142" t="s">
        <v>82</v>
      </c>
      <c r="G142" s="97" t="s">
        <v>185</v>
      </c>
    </row>
    <row r="143" spans="1:7" x14ac:dyDescent="0.25">
      <c r="A143" t="s">
        <v>41</v>
      </c>
      <c r="B143" t="s">
        <v>47</v>
      </c>
      <c r="E143" t="s">
        <v>11</v>
      </c>
      <c r="F143" t="s">
        <v>82</v>
      </c>
      <c r="G143" s="97" t="s">
        <v>109</v>
      </c>
    </row>
    <row r="144" spans="1:7" x14ac:dyDescent="0.25">
      <c r="A144" t="s">
        <v>42</v>
      </c>
      <c r="B144" t="s">
        <v>47</v>
      </c>
      <c r="E144" t="s">
        <v>11</v>
      </c>
      <c r="F144" t="s">
        <v>82</v>
      </c>
      <c r="G144" s="97" t="s">
        <v>107</v>
      </c>
    </row>
    <row r="145" spans="1:7" x14ac:dyDescent="0.25">
      <c r="A145" t="s">
        <v>43</v>
      </c>
      <c r="B145" t="s">
        <v>47</v>
      </c>
      <c r="E145" t="s">
        <v>11</v>
      </c>
      <c r="F145" t="s">
        <v>82</v>
      </c>
      <c r="G145" s="97" t="s">
        <v>186</v>
      </c>
    </row>
    <row r="146" spans="1:7" x14ac:dyDescent="0.25">
      <c r="A146" t="s">
        <v>44</v>
      </c>
      <c r="B146" t="s">
        <v>47</v>
      </c>
      <c r="E146" t="s">
        <v>11</v>
      </c>
      <c r="F146" t="s">
        <v>82</v>
      </c>
      <c r="G146" s="97" t="s">
        <v>97</v>
      </c>
    </row>
    <row r="147" spans="1:7" x14ac:dyDescent="0.25">
      <c r="A147" t="s">
        <v>45</v>
      </c>
      <c r="B147" t="s">
        <v>47</v>
      </c>
      <c r="E147" t="s">
        <v>11</v>
      </c>
      <c r="F147" t="s">
        <v>82</v>
      </c>
      <c r="G147" s="97" t="s">
        <v>107</v>
      </c>
    </row>
    <row r="148" spans="1:7" x14ac:dyDescent="0.25">
      <c r="A148" t="s">
        <v>48</v>
      </c>
      <c r="B148" t="s">
        <v>47</v>
      </c>
      <c r="E148" t="s">
        <v>11</v>
      </c>
      <c r="F148" t="s">
        <v>82</v>
      </c>
      <c r="G148" s="97" t="s">
        <v>114</v>
      </c>
    </row>
    <row r="149" spans="1:7" x14ac:dyDescent="0.25">
      <c r="A149" t="s">
        <v>49</v>
      </c>
      <c r="B149" t="s">
        <v>47</v>
      </c>
      <c r="E149" t="s">
        <v>11</v>
      </c>
      <c r="F149" t="s">
        <v>82</v>
      </c>
      <c r="G149" s="97" t="s">
        <v>187</v>
      </c>
    </row>
    <row r="150" spans="1:7" x14ac:dyDescent="0.25">
      <c r="A150" t="s">
        <v>66</v>
      </c>
      <c r="B150" t="s">
        <v>47</v>
      </c>
      <c r="E150" t="s">
        <v>11</v>
      </c>
      <c r="F150" t="s">
        <v>82</v>
      </c>
      <c r="G150" s="97" t="s">
        <v>100</v>
      </c>
    </row>
    <row r="151" spans="1:7" x14ac:dyDescent="0.25">
      <c r="A151" t="s">
        <v>69</v>
      </c>
      <c r="B151" t="s">
        <v>47</v>
      </c>
      <c r="E151" t="s">
        <v>11</v>
      </c>
      <c r="F151" t="s">
        <v>82</v>
      </c>
      <c r="G151" s="97" t="s">
        <v>114</v>
      </c>
    </row>
    <row r="152" spans="1:7" x14ac:dyDescent="0.25">
      <c r="A152" t="s">
        <v>35</v>
      </c>
      <c r="B152" t="s">
        <v>47</v>
      </c>
      <c r="E152" t="s">
        <v>17</v>
      </c>
      <c r="F152" t="s">
        <v>82</v>
      </c>
      <c r="G152" s="97" t="s">
        <v>114</v>
      </c>
    </row>
    <row r="153" spans="1:7" x14ac:dyDescent="0.25">
      <c r="A153" t="s">
        <v>36</v>
      </c>
      <c r="B153" t="s">
        <v>47</v>
      </c>
      <c r="E153" t="s">
        <v>17</v>
      </c>
      <c r="F153" t="s">
        <v>82</v>
      </c>
      <c r="G153" s="97" t="s">
        <v>188</v>
      </c>
    </row>
    <row r="154" spans="1:7" x14ac:dyDescent="0.25">
      <c r="A154" t="s">
        <v>37</v>
      </c>
      <c r="B154" t="s">
        <v>47</v>
      </c>
      <c r="E154" t="s">
        <v>17</v>
      </c>
      <c r="F154" t="s">
        <v>82</v>
      </c>
      <c r="G154" s="97" t="s">
        <v>189</v>
      </c>
    </row>
    <row r="155" spans="1:7" x14ac:dyDescent="0.25">
      <c r="A155" t="s">
        <v>38</v>
      </c>
      <c r="B155" t="s">
        <v>47</v>
      </c>
      <c r="E155" t="s">
        <v>17</v>
      </c>
      <c r="F155" t="s">
        <v>82</v>
      </c>
      <c r="G155" s="97" t="s">
        <v>188</v>
      </c>
    </row>
    <row r="156" spans="1:7" x14ac:dyDescent="0.25">
      <c r="A156" t="s">
        <v>39</v>
      </c>
      <c r="B156" t="s">
        <v>47</v>
      </c>
      <c r="E156" t="s">
        <v>17</v>
      </c>
      <c r="F156" t="s">
        <v>82</v>
      </c>
      <c r="G156" s="97" t="s">
        <v>190</v>
      </c>
    </row>
    <row r="157" spans="1:7" x14ac:dyDescent="0.25">
      <c r="A157" t="s">
        <v>40</v>
      </c>
      <c r="B157" t="s">
        <v>47</v>
      </c>
      <c r="E157" t="s">
        <v>17</v>
      </c>
      <c r="F157" t="s">
        <v>82</v>
      </c>
      <c r="G157" s="97" t="s">
        <v>191</v>
      </c>
    </row>
    <row r="158" spans="1:7" x14ac:dyDescent="0.25">
      <c r="A158" t="s">
        <v>41</v>
      </c>
      <c r="B158" t="s">
        <v>47</v>
      </c>
      <c r="E158" t="s">
        <v>17</v>
      </c>
      <c r="F158" t="s">
        <v>82</v>
      </c>
      <c r="G158" s="97" t="s">
        <v>192</v>
      </c>
    </row>
    <row r="159" spans="1:7" x14ac:dyDescent="0.25">
      <c r="A159" t="s">
        <v>42</v>
      </c>
      <c r="B159" t="s">
        <v>47</v>
      </c>
      <c r="E159" t="s">
        <v>17</v>
      </c>
      <c r="F159" t="s">
        <v>82</v>
      </c>
      <c r="G159" s="97" t="s">
        <v>191</v>
      </c>
    </row>
    <row r="160" spans="1:7" x14ac:dyDescent="0.25">
      <c r="A160" t="s">
        <v>43</v>
      </c>
      <c r="B160" t="s">
        <v>47</v>
      </c>
      <c r="E160" t="s">
        <v>17</v>
      </c>
      <c r="F160" t="s">
        <v>82</v>
      </c>
      <c r="G160" s="97" t="s">
        <v>190</v>
      </c>
    </row>
    <row r="161" spans="1:7" x14ac:dyDescent="0.25">
      <c r="A161" t="s">
        <v>44</v>
      </c>
      <c r="B161" t="s">
        <v>47</v>
      </c>
      <c r="E161" t="s">
        <v>17</v>
      </c>
      <c r="F161" t="s">
        <v>82</v>
      </c>
      <c r="G161" s="97" t="s">
        <v>193</v>
      </c>
    </row>
    <row r="162" spans="1:7" x14ac:dyDescent="0.25">
      <c r="A162" t="s">
        <v>45</v>
      </c>
      <c r="B162" t="s">
        <v>47</v>
      </c>
      <c r="E162" t="s">
        <v>17</v>
      </c>
      <c r="F162" t="s">
        <v>82</v>
      </c>
      <c r="G162" s="97" t="s">
        <v>192</v>
      </c>
    </row>
    <row r="163" spans="1:7" x14ac:dyDescent="0.25">
      <c r="A163" t="s">
        <v>48</v>
      </c>
      <c r="B163" t="s">
        <v>47</v>
      </c>
      <c r="E163" t="s">
        <v>17</v>
      </c>
      <c r="F163" t="s">
        <v>82</v>
      </c>
      <c r="G163" s="97" t="s">
        <v>190</v>
      </c>
    </row>
    <row r="164" spans="1:7" x14ac:dyDescent="0.25">
      <c r="A164" t="s">
        <v>49</v>
      </c>
      <c r="B164" t="s">
        <v>47</v>
      </c>
      <c r="E164" t="s">
        <v>17</v>
      </c>
      <c r="F164" t="s">
        <v>82</v>
      </c>
      <c r="G164" s="97" t="s">
        <v>194</v>
      </c>
    </row>
    <row r="165" spans="1:7" x14ac:dyDescent="0.25">
      <c r="A165" t="s">
        <v>66</v>
      </c>
      <c r="B165" t="s">
        <v>47</v>
      </c>
      <c r="E165" t="s">
        <v>17</v>
      </c>
      <c r="F165" t="s">
        <v>82</v>
      </c>
      <c r="G165" s="97" t="s">
        <v>193</v>
      </c>
    </row>
    <row r="166" spans="1:7" x14ac:dyDescent="0.25">
      <c r="A166" t="s">
        <v>69</v>
      </c>
      <c r="B166" t="s">
        <v>47</v>
      </c>
      <c r="E166" t="s">
        <v>17</v>
      </c>
      <c r="F166" t="s">
        <v>82</v>
      </c>
      <c r="G166" s="97" t="s">
        <v>195</v>
      </c>
    </row>
    <row r="167" spans="1:7" x14ac:dyDescent="0.25">
      <c r="A167" t="s">
        <v>35</v>
      </c>
      <c r="B167" t="s">
        <v>47</v>
      </c>
      <c r="E167" t="s">
        <v>18</v>
      </c>
      <c r="F167" t="s">
        <v>82</v>
      </c>
      <c r="G167" s="97" t="s">
        <v>196</v>
      </c>
    </row>
    <row r="168" spans="1:7" x14ac:dyDescent="0.25">
      <c r="A168" t="s">
        <v>36</v>
      </c>
      <c r="B168" t="s">
        <v>47</v>
      </c>
      <c r="E168" t="s">
        <v>18</v>
      </c>
      <c r="F168" t="s">
        <v>82</v>
      </c>
      <c r="G168" s="97" t="s">
        <v>112</v>
      </c>
    </row>
    <row r="169" spans="1:7" x14ac:dyDescent="0.25">
      <c r="A169" t="s">
        <v>37</v>
      </c>
      <c r="B169" t="s">
        <v>47</v>
      </c>
      <c r="E169" t="s">
        <v>18</v>
      </c>
      <c r="F169" t="s">
        <v>82</v>
      </c>
      <c r="G169" s="97" t="s">
        <v>197</v>
      </c>
    </row>
    <row r="170" spans="1:7" x14ac:dyDescent="0.25">
      <c r="A170" t="s">
        <v>38</v>
      </c>
      <c r="B170" t="s">
        <v>47</v>
      </c>
      <c r="E170" t="s">
        <v>18</v>
      </c>
      <c r="F170" t="s">
        <v>82</v>
      </c>
      <c r="G170" s="97" t="s">
        <v>198</v>
      </c>
    </row>
    <row r="171" spans="1:7" x14ac:dyDescent="0.25">
      <c r="A171" t="s">
        <v>39</v>
      </c>
      <c r="B171" t="s">
        <v>47</v>
      </c>
      <c r="E171" t="s">
        <v>18</v>
      </c>
      <c r="F171" t="s">
        <v>82</v>
      </c>
      <c r="G171" s="97" t="s">
        <v>105</v>
      </c>
    </row>
    <row r="172" spans="1:7" x14ac:dyDescent="0.25">
      <c r="A172" t="s">
        <v>40</v>
      </c>
      <c r="B172" t="s">
        <v>47</v>
      </c>
      <c r="E172" t="s">
        <v>18</v>
      </c>
      <c r="F172" t="s">
        <v>82</v>
      </c>
      <c r="G172" s="97" t="s">
        <v>106</v>
      </c>
    </row>
    <row r="173" spans="1:7" x14ac:dyDescent="0.25">
      <c r="A173" t="s">
        <v>41</v>
      </c>
      <c r="B173" t="s">
        <v>47</v>
      </c>
      <c r="E173" t="s">
        <v>18</v>
      </c>
      <c r="F173" t="s">
        <v>82</v>
      </c>
      <c r="G173" s="97" t="s">
        <v>92</v>
      </c>
    </row>
    <row r="174" spans="1:7" x14ac:dyDescent="0.25">
      <c r="A174" t="s">
        <v>42</v>
      </c>
      <c r="B174" t="s">
        <v>47</v>
      </c>
      <c r="E174" t="s">
        <v>18</v>
      </c>
      <c r="F174" t="s">
        <v>82</v>
      </c>
      <c r="G174" s="97" t="s">
        <v>93</v>
      </c>
    </row>
    <row r="175" spans="1:7" x14ac:dyDescent="0.25">
      <c r="A175" t="s">
        <v>43</v>
      </c>
      <c r="B175" t="s">
        <v>47</v>
      </c>
      <c r="E175" t="s">
        <v>18</v>
      </c>
      <c r="F175" t="s">
        <v>82</v>
      </c>
      <c r="G175" s="97" t="s">
        <v>97</v>
      </c>
    </row>
    <row r="176" spans="1:7" x14ac:dyDescent="0.25">
      <c r="A176" t="s">
        <v>44</v>
      </c>
      <c r="B176" t="s">
        <v>47</v>
      </c>
      <c r="E176" t="s">
        <v>18</v>
      </c>
      <c r="F176" t="s">
        <v>82</v>
      </c>
      <c r="G176" s="97" t="s">
        <v>183</v>
      </c>
    </row>
    <row r="177" spans="1:7" x14ac:dyDescent="0.25">
      <c r="A177" t="s">
        <v>45</v>
      </c>
      <c r="B177" t="s">
        <v>47</v>
      </c>
      <c r="E177" t="s">
        <v>18</v>
      </c>
      <c r="F177" t="s">
        <v>82</v>
      </c>
      <c r="G177" s="97" t="s">
        <v>94</v>
      </c>
    </row>
    <row r="178" spans="1:7" x14ac:dyDescent="0.25">
      <c r="A178" t="s">
        <v>48</v>
      </c>
      <c r="B178" t="s">
        <v>47</v>
      </c>
      <c r="E178" t="s">
        <v>18</v>
      </c>
      <c r="F178" t="s">
        <v>82</v>
      </c>
      <c r="G178" s="97" t="s">
        <v>101</v>
      </c>
    </row>
    <row r="179" spans="1:7" x14ac:dyDescent="0.25">
      <c r="A179" t="s">
        <v>49</v>
      </c>
      <c r="B179" t="s">
        <v>47</v>
      </c>
      <c r="E179" t="s">
        <v>18</v>
      </c>
      <c r="F179" t="s">
        <v>82</v>
      </c>
      <c r="G179" s="97" t="s">
        <v>98</v>
      </c>
    </row>
    <row r="180" spans="1:7" x14ac:dyDescent="0.25">
      <c r="A180" t="s">
        <v>66</v>
      </c>
      <c r="B180" t="s">
        <v>47</v>
      </c>
      <c r="E180" t="s">
        <v>18</v>
      </c>
      <c r="F180" t="s">
        <v>82</v>
      </c>
      <c r="G180" s="97" t="s">
        <v>199</v>
      </c>
    </row>
    <row r="181" spans="1:7" x14ac:dyDescent="0.25">
      <c r="A181" t="s">
        <v>69</v>
      </c>
      <c r="B181" t="s">
        <v>47</v>
      </c>
      <c r="E181" t="s">
        <v>18</v>
      </c>
      <c r="F181" t="s">
        <v>82</v>
      </c>
      <c r="G181" s="97" t="s">
        <v>184</v>
      </c>
    </row>
    <row r="182" spans="1:7" x14ac:dyDescent="0.25">
      <c r="A182" t="s">
        <v>35</v>
      </c>
      <c r="B182" t="s">
        <v>46</v>
      </c>
      <c r="E182" t="s">
        <v>11</v>
      </c>
      <c r="F182" t="s">
        <v>82</v>
      </c>
      <c r="G182" s="97" t="s">
        <v>200</v>
      </c>
    </row>
    <row r="183" spans="1:7" x14ac:dyDescent="0.25">
      <c r="A183" t="s">
        <v>36</v>
      </c>
      <c r="B183" t="s">
        <v>46</v>
      </c>
      <c r="E183" t="s">
        <v>11</v>
      </c>
      <c r="F183" t="s">
        <v>82</v>
      </c>
      <c r="G183" s="97" t="s">
        <v>201</v>
      </c>
    </row>
    <row r="184" spans="1:7" x14ac:dyDescent="0.25">
      <c r="A184" t="s">
        <v>37</v>
      </c>
      <c r="B184" t="s">
        <v>46</v>
      </c>
      <c r="E184" t="s">
        <v>11</v>
      </c>
      <c r="F184" t="s">
        <v>82</v>
      </c>
      <c r="G184" s="97" t="s">
        <v>136</v>
      </c>
    </row>
    <row r="185" spans="1:7" x14ac:dyDescent="0.25">
      <c r="A185" t="s">
        <v>38</v>
      </c>
      <c r="B185" t="s">
        <v>46</v>
      </c>
      <c r="E185" t="s">
        <v>11</v>
      </c>
      <c r="F185" t="s">
        <v>82</v>
      </c>
      <c r="G185" s="97" t="s">
        <v>202</v>
      </c>
    </row>
    <row r="186" spans="1:7" x14ac:dyDescent="0.25">
      <c r="A186" t="s">
        <v>39</v>
      </c>
      <c r="B186" t="s">
        <v>46</v>
      </c>
      <c r="E186" t="s">
        <v>11</v>
      </c>
      <c r="F186" t="s">
        <v>82</v>
      </c>
      <c r="G186" s="97" t="s">
        <v>203</v>
      </c>
    </row>
    <row r="187" spans="1:7" x14ac:dyDescent="0.25">
      <c r="A187" t="s">
        <v>40</v>
      </c>
      <c r="B187" t="s">
        <v>46</v>
      </c>
      <c r="E187" t="s">
        <v>11</v>
      </c>
      <c r="F187" t="s">
        <v>82</v>
      </c>
      <c r="G187" s="97" t="s">
        <v>204</v>
      </c>
    </row>
    <row r="188" spans="1:7" x14ac:dyDescent="0.25">
      <c r="A188" t="s">
        <v>41</v>
      </c>
      <c r="B188" t="s">
        <v>46</v>
      </c>
      <c r="E188" t="s">
        <v>11</v>
      </c>
      <c r="F188" t="s">
        <v>82</v>
      </c>
      <c r="G188" s="97" t="s">
        <v>205</v>
      </c>
    </row>
    <row r="189" spans="1:7" x14ac:dyDescent="0.25">
      <c r="A189" t="s">
        <v>42</v>
      </c>
      <c r="B189" t="s">
        <v>46</v>
      </c>
      <c r="E189" t="s">
        <v>11</v>
      </c>
      <c r="F189" t="s">
        <v>82</v>
      </c>
      <c r="G189" s="97" t="s">
        <v>203</v>
      </c>
    </row>
    <row r="190" spans="1:7" x14ac:dyDescent="0.25">
      <c r="A190" t="s">
        <v>43</v>
      </c>
      <c r="B190" t="s">
        <v>46</v>
      </c>
      <c r="E190" t="s">
        <v>11</v>
      </c>
      <c r="F190" t="s">
        <v>82</v>
      </c>
      <c r="G190" s="97" t="s">
        <v>206</v>
      </c>
    </row>
    <row r="191" spans="1:7" x14ac:dyDescent="0.25">
      <c r="A191" t="s">
        <v>44</v>
      </c>
      <c r="B191" t="s">
        <v>46</v>
      </c>
      <c r="E191" t="s">
        <v>11</v>
      </c>
      <c r="F191" t="s">
        <v>82</v>
      </c>
      <c r="G191" s="97" t="s">
        <v>142</v>
      </c>
    </row>
    <row r="192" spans="1:7" x14ac:dyDescent="0.25">
      <c r="A192" t="s">
        <v>45</v>
      </c>
      <c r="B192" t="s">
        <v>46</v>
      </c>
      <c r="E192" t="s">
        <v>11</v>
      </c>
      <c r="F192" t="s">
        <v>82</v>
      </c>
      <c r="G192" s="97" t="s">
        <v>207</v>
      </c>
    </row>
    <row r="193" spans="1:7" x14ac:dyDescent="0.25">
      <c r="A193" t="s">
        <v>48</v>
      </c>
      <c r="B193" t="s">
        <v>46</v>
      </c>
      <c r="E193" t="s">
        <v>11</v>
      </c>
      <c r="F193" t="s">
        <v>82</v>
      </c>
      <c r="G193" s="97" t="s">
        <v>208</v>
      </c>
    </row>
    <row r="194" spans="1:7" x14ac:dyDescent="0.25">
      <c r="A194" t="s">
        <v>49</v>
      </c>
      <c r="B194" t="s">
        <v>46</v>
      </c>
      <c r="E194" t="s">
        <v>11</v>
      </c>
      <c r="F194" t="s">
        <v>82</v>
      </c>
      <c r="G194" s="97" t="s">
        <v>209</v>
      </c>
    </row>
    <row r="195" spans="1:7" x14ac:dyDescent="0.25">
      <c r="A195" t="s">
        <v>66</v>
      </c>
      <c r="B195" t="s">
        <v>46</v>
      </c>
      <c r="E195" t="s">
        <v>11</v>
      </c>
      <c r="F195" t="s">
        <v>82</v>
      </c>
      <c r="G195" s="97" t="s">
        <v>200</v>
      </c>
    </row>
    <row r="196" spans="1:7" x14ac:dyDescent="0.25">
      <c r="A196" t="s">
        <v>69</v>
      </c>
      <c r="B196" t="s">
        <v>46</v>
      </c>
      <c r="E196" t="s">
        <v>11</v>
      </c>
      <c r="F196" t="s">
        <v>82</v>
      </c>
      <c r="G196" s="97" t="s">
        <v>210</v>
      </c>
    </row>
    <row r="197" spans="1:7" x14ac:dyDescent="0.25">
      <c r="A197" t="s">
        <v>35</v>
      </c>
      <c r="B197" t="s">
        <v>46</v>
      </c>
      <c r="E197" t="s">
        <v>17</v>
      </c>
      <c r="F197" t="s">
        <v>82</v>
      </c>
      <c r="G197" s="97" t="s">
        <v>211</v>
      </c>
    </row>
    <row r="198" spans="1:7" x14ac:dyDescent="0.25">
      <c r="A198" t="s">
        <v>36</v>
      </c>
      <c r="B198" t="s">
        <v>46</v>
      </c>
      <c r="E198" t="s">
        <v>17</v>
      </c>
      <c r="F198" t="s">
        <v>82</v>
      </c>
      <c r="G198" s="97" t="s">
        <v>212</v>
      </c>
    </row>
    <row r="199" spans="1:7" x14ac:dyDescent="0.25">
      <c r="A199" t="s">
        <v>37</v>
      </c>
      <c r="B199" t="s">
        <v>46</v>
      </c>
      <c r="E199" t="s">
        <v>17</v>
      </c>
      <c r="F199" t="s">
        <v>82</v>
      </c>
      <c r="G199" s="97" t="s">
        <v>213</v>
      </c>
    </row>
    <row r="200" spans="1:7" x14ac:dyDescent="0.25">
      <c r="A200" t="s">
        <v>38</v>
      </c>
      <c r="B200" t="s">
        <v>46</v>
      </c>
      <c r="E200" t="s">
        <v>17</v>
      </c>
      <c r="F200" t="s">
        <v>82</v>
      </c>
      <c r="G200" s="97" t="s">
        <v>214</v>
      </c>
    </row>
    <row r="201" spans="1:7" x14ac:dyDescent="0.25">
      <c r="A201" t="s">
        <v>39</v>
      </c>
      <c r="B201" t="s">
        <v>46</v>
      </c>
      <c r="E201" t="s">
        <v>17</v>
      </c>
      <c r="F201" t="s">
        <v>82</v>
      </c>
      <c r="G201" s="97" t="s">
        <v>215</v>
      </c>
    </row>
    <row r="202" spans="1:7" x14ac:dyDescent="0.25">
      <c r="A202" t="s">
        <v>40</v>
      </c>
      <c r="B202" t="s">
        <v>46</v>
      </c>
      <c r="E202" t="s">
        <v>17</v>
      </c>
      <c r="F202" t="s">
        <v>82</v>
      </c>
      <c r="G202" s="97" t="s">
        <v>216</v>
      </c>
    </row>
    <row r="203" spans="1:7" x14ac:dyDescent="0.25">
      <c r="A203" t="s">
        <v>41</v>
      </c>
      <c r="B203" t="s">
        <v>46</v>
      </c>
      <c r="E203" t="s">
        <v>17</v>
      </c>
      <c r="F203" t="s">
        <v>82</v>
      </c>
      <c r="G203" s="97" t="s">
        <v>110</v>
      </c>
    </row>
    <row r="204" spans="1:7" x14ac:dyDescent="0.25">
      <c r="A204" t="s">
        <v>42</v>
      </c>
      <c r="B204" t="s">
        <v>46</v>
      </c>
      <c r="E204" t="s">
        <v>17</v>
      </c>
      <c r="F204" t="s">
        <v>82</v>
      </c>
      <c r="G204" s="97" t="s">
        <v>217</v>
      </c>
    </row>
    <row r="205" spans="1:7" x14ac:dyDescent="0.25">
      <c r="A205" t="s">
        <v>43</v>
      </c>
      <c r="B205" t="s">
        <v>46</v>
      </c>
      <c r="E205" t="s">
        <v>17</v>
      </c>
      <c r="F205" t="s">
        <v>82</v>
      </c>
      <c r="G205" s="97" t="s">
        <v>218</v>
      </c>
    </row>
    <row r="206" spans="1:7" x14ac:dyDescent="0.25">
      <c r="A206" t="s">
        <v>44</v>
      </c>
      <c r="B206" t="s">
        <v>46</v>
      </c>
      <c r="E206" t="s">
        <v>17</v>
      </c>
      <c r="F206" t="s">
        <v>82</v>
      </c>
      <c r="G206" s="97" t="s">
        <v>207</v>
      </c>
    </row>
    <row r="207" spans="1:7" x14ac:dyDescent="0.25">
      <c r="A207" t="s">
        <v>45</v>
      </c>
      <c r="B207" t="s">
        <v>46</v>
      </c>
      <c r="E207" t="s">
        <v>17</v>
      </c>
      <c r="F207" t="s">
        <v>82</v>
      </c>
      <c r="G207" s="97" t="s">
        <v>219</v>
      </c>
    </row>
    <row r="208" spans="1:7" x14ac:dyDescent="0.25">
      <c r="A208" t="s">
        <v>48</v>
      </c>
      <c r="B208" t="s">
        <v>46</v>
      </c>
      <c r="E208" t="s">
        <v>17</v>
      </c>
      <c r="F208" t="s">
        <v>82</v>
      </c>
      <c r="G208" s="97" t="s">
        <v>220</v>
      </c>
    </row>
    <row r="209" spans="1:7" x14ac:dyDescent="0.25">
      <c r="A209" t="s">
        <v>49</v>
      </c>
      <c r="B209" t="s">
        <v>46</v>
      </c>
      <c r="E209" t="s">
        <v>17</v>
      </c>
      <c r="F209" t="s">
        <v>82</v>
      </c>
      <c r="G209" s="97" t="s">
        <v>221</v>
      </c>
    </row>
    <row r="210" spans="1:7" x14ac:dyDescent="0.25">
      <c r="A210" t="s">
        <v>66</v>
      </c>
      <c r="B210" t="s">
        <v>46</v>
      </c>
      <c r="E210" t="s">
        <v>17</v>
      </c>
      <c r="F210" t="s">
        <v>82</v>
      </c>
      <c r="G210" s="97" t="s">
        <v>222</v>
      </c>
    </row>
    <row r="211" spans="1:7" x14ac:dyDescent="0.25">
      <c r="A211" t="s">
        <v>69</v>
      </c>
      <c r="B211" t="s">
        <v>46</v>
      </c>
      <c r="E211" t="s">
        <v>17</v>
      </c>
      <c r="F211" t="s">
        <v>82</v>
      </c>
      <c r="G211" s="97" t="s">
        <v>223</v>
      </c>
    </row>
    <row r="212" spans="1:7" x14ac:dyDescent="0.25">
      <c r="A212" t="s">
        <v>35</v>
      </c>
      <c r="B212" t="s">
        <v>46</v>
      </c>
      <c r="E212" t="s">
        <v>18</v>
      </c>
      <c r="F212" t="s">
        <v>82</v>
      </c>
      <c r="G212" s="97" t="s">
        <v>224</v>
      </c>
    </row>
    <row r="213" spans="1:7" x14ac:dyDescent="0.25">
      <c r="A213" t="s">
        <v>36</v>
      </c>
      <c r="B213" t="s">
        <v>46</v>
      </c>
      <c r="E213" t="s">
        <v>18</v>
      </c>
      <c r="F213" t="s">
        <v>82</v>
      </c>
      <c r="G213" s="97" t="s">
        <v>225</v>
      </c>
    </row>
    <row r="214" spans="1:7" x14ac:dyDescent="0.25">
      <c r="A214" t="s">
        <v>37</v>
      </c>
      <c r="B214" t="s">
        <v>46</v>
      </c>
      <c r="E214" t="s">
        <v>18</v>
      </c>
      <c r="F214" t="s">
        <v>82</v>
      </c>
      <c r="G214" s="97" t="s">
        <v>226</v>
      </c>
    </row>
    <row r="215" spans="1:7" x14ac:dyDescent="0.25">
      <c r="A215" t="s">
        <v>38</v>
      </c>
      <c r="B215" t="s">
        <v>46</v>
      </c>
      <c r="E215" t="s">
        <v>18</v>
      </c>
      <c r="F215" t="s">
        <v>82</v>
      </c>
      <c r="G215" s="97" t="s">
        <v>208</v>
      </c>
    </row>
    <row r="216" spans="1:7" x14ac:dyDescent="0.25">
      <c r="A216" t="s">
        <v>39</v>
      </c>
      <c r="B216" t="s">
        <v>46</v>
      </c>
      <c r="E216" t="s">
        <v>18</v>
      </c>
      <c r="F216" t="s">
        <v>82</v>
      </c>
      <c r="G216" s="97" t="s">
        <v>227</v>
      </c>
    </row>
    <row r="217" spans="1:7" x14ac:dyDescent="0.25">
      <c r="A217" t="s">
        <v>40</v>
      </c>
      <c r="B217" t="s">
        <v>46</v>
      </c>
      <c r="E217" t="s">
        <v>18</v>
      </c>
      <c r="F217" t="s">
        <v>82</v>
      </c>
      <c r="G217" s="97" t="s">
        <v>228</v>
      </c>
    </row>
    <row r="218" spans="1:7" x14ac:dyDescent="0.25">
      <c r="A218" t="s">
        <v>41</v>
      </c>
      <c r="B218" t="s">
        <v>46</v>
      </c>
      <c r="E218" t="s">
        <v>18</v>
      </c>
      <c r="F218" t="s">
        <v>82</v>
      </c>
      <c r="G218" s="97" t="s">
        <v>218</v>
      </c>
    </row>
    <row r="219" spans="1:7" x14ac:dyDescent="0.25">
      <c r="A219" t="s">
        <v>42</v>
      </c>
      <c r="B219" t="s">
        <v>46</v>
      </c>
      <c r="E219" t="s">
        <v>18</v>
      </c>
      <c r="F219" t="s">
        <v>82</v>
      </c>
      <c r="G219" s="97" t="s">
        <v>209</v>
      </c>
    </row>
    <row r="220" spans="1:7" x14ac:dyDescent="0.25">
      <c r="A220" t="s">
        <v>43</v>
      </c>
      <c r="B220" t="s">
        <v>46</v>
      </c>
      <c r="E220" t="s">
        <v>18</v>
      </c>
      <c r="F220" t="s">
        <v>82</v>
      </c>
      <c r="G220" s="97" t="s">
        <v>209</v>
      </c>
    </row>
    <row r="221" spans="1:7" x14ac:dyDescent="0.25">
      <c r="A221" t="s">
        <v>44</v>
      </c>
      <c r="B221" t="s">
        <v>46</v>
      </c>
      <c r="E221" t="s">
        <v>18</v>
      </c>
      <c r="F221" t="s">
        <v>82</v>
      </c>
      <c r="G221" s="97" t="s">
        <v>229</v>
      </c>
    </row>
    <row r="222" spans="1:7" x14ac:dyDescent="0.25">
      <c r="A222" t="s">
        <v>45</v>
      </c>
      <c r="B222" t="s">
        <v>46</v>
      </c>
      <c r="E222" t="s">
        <v>18</v>
      </c>
      <c r="F222" t="s">
        <v>82</v>
      </c>
      <c r="G222" s="97" t="s">
        <v>119</v>
      </c>
    </row>
    <row r="223" spans="1:7" x14ac:dyDescent="0.25">
      <c r="A223" t="s">
        <v>48</v>
      </c>
      <c r="B223" t="s">
        <v>46</v>
      </c>
      <c r="E223" t="s">
        <v>18</v>
      </c>
      <c r="F223" t="s">
        <v>82</v>
      </c>
      <c r="G223" s="97" t="s">
        <v>133</v>
      </c>
    </row>
    <row r="224" spans="1:7" x14ac:dyDescent="0.25">
      <c r="A224" t="s">
        <v>49</v>
      </c>
      <c r="B224" t="s">
        <v>46</v>
      </c>
      <c r="E224" t="s">
        <v>18</v>
      </c>
      <c r="F224" t="s">
        <v>82</v>
      </c>
      <c r="G224" s="97" t="s">
        <v>230</v>
      </c>
    </row>
    <row r="225" spans="1:7" x14ac:dyDescent="0.25">
      <c r="A225" t="s">
        <v>66</v>
      </c>
      <c r="B225" t="s">
        <v>46</v>
      </c>
      <c r="E225" t="s">
        <v>18</v>
      </c>
      <c r="F225" t="s">
        <v>82</v>
      </c>
      <c r="G225" s="97" t="s">
        <v>231</v>
      </c>
    </row>
    <row r="226" spans="1:7" x14ac:dyDescent="0.25">
      <c r="A226" t="s">
        <v>69</v>
      </c>
      <c r="B226" t="s">
        <v>46</v>
      </c>
      <c r="E226" t="s">
        <v>18</v>
      </c>
      <c r="F226" t="s">
        <v>82</v>
      </c>
      <c r="G226" s="97" t="s">
        <v>203</v>
      </c>
    </row>
    <row r="227" spans="1:7" x14ac:dyDescent="0.25">
      <c r="A227" t="s">
        <v>35</v>
      </c>
      <c r="C227" t="s">
        <v>83</v>
      </c>
      <c r="E227" t="s">
        <v>11</v>
      </c>
      <c r="F227" t="s">
        <v>34</v>
      </c>
      <c r="G227" s="97" t="s">
        <v>86</v>
      </c>
    </row>
    <row r="228" spans="1:7" x14ac:dyDescent="0.25">
      <c r="A228" t="s">
        <v>36</v>
      </c>
      <c r="C228" t="s">
        <v>83</v>
      </c>
      <c r="E228" t="s">
        <v>11</v>
      </c>
      <c r="F228" t="s">
        <v>34</v>
      </c>
      <c r="G228" s="97" t="s">
        <v>232</v>
      </c>
    </row>
    <row r="229" spans="1:7" x14ac:dyDescent="0.25">
      <c r="A229" t="s">
        <v>37</v>
      </c>
      <c r="C229" t="s">
        <v>83</v>
      </c>
      <c r="E229" t="s">
        <v>11</v>
      </c>
      <c r="F229" t="s">
        <v>34</v>
      </c>
      <c r="G229" s="97" t="s">
        <v>233</v>
      </c>
    </row>
    <row r="230" spans="1:7" x14ac:dyDescent="0.25">
      <c r="A230" t="s">
        <v>38</v>
      </c>
      <c r="C230" t="s">
        <v>83</v>
      </c>
      <c r="E230" t="s">
        <v>11</v>
      </c>
      <c r="F230" t="s">
        <v>34</v>
      </c>
      <c r="G230" s="97" t="s">
        <v>87</v>
      </c>
    </row>
    <row r="231" spans="1:7" x14ac:dyDescent="0.25">
      <c r="A231" t="s">
        <v>39</v>
      </c>
      <c r="C231" t="s">
        <v>83</v>
      </c>
      <c r="E231" t="s">
        <v>11</v>
      </c>
      <c r="F231" t="s">
        <v>34</v>
      </c>
      <c r="G231" s="97" t="s">
        <v>234</v>
      </c>
    </row>
    <row r="232" spans="1:7" x14ac:dyDescent="0.25">
      <c r="A232" t="s">
        <v>40</v>
      </c>
      <c r="C232" t="s">
        <v>83</v>
      </c>
      <c r="E232" t="s">
        <v>11</v>
      </c>
      <c r="F232" t="s">
        <v>34</v>
      </c>
      <c r="G232" s="97" t="s">
        <v>235</v>
      </c>
    </row>
    <row r="233" spans="1:7" x14ac:dyDescent="0.25">
      <c r="A233" t="s">
        <v>41</v>
      </c>
      <c r="C233" t="s">
        <v>83</v>
      </c>
      <c r="E233" t="s">
        <v>11</v>
      </c>
      <c r="F233" t="s">
        <v>34</v>
      </c>
      <c r="G233" s="97" t="s">
        <v>236</v>
      </c>
    </row>
    <row r="234" spans="1:7" x14ac:dyDescent="0.25">
      <c r="A234" t="s">
        <v>42</v>
      </c>
      <c r="C234" t="s">
        <v>83</v>
      </c>
      <c r="E234" t="s">
        <v>11</v>
      </c>
      <c r="F234" t="s">
        <v>34</v>
      </c>
      <c r="G234" s="97" t="s">
        <v>237</v>
      </c>
    </row>
    <row r="235" spans="1:7" x14ac:dyDescent="0.25">
      <c r="A235" t="s">
        <v>43</v>
      </c>
      <c r="C235" t="s">
        <v>83</v>
      </c>
      <c r="E235" t="s">
        <v>11</v>
      </c>
      <c r="F235" t="s">
        <v>34</v>
      </c>
      <c r="G235" s="97" t="s">
        <v>238</v>
      </c>
    </row>
    <row r="236" spans="1:7" x14ac:dyDescent="0.25">
      <c r="A236" t="s">
        <v>44</v>
      </c>
      <c r="C236" t="s">
        <v>83</v>
      </c>
      <c r="E236" t="s">
        <v>11</v>
      </c>
      <c r="F236" t="s">
        <v>34</v>
      </c>
      <c r="G236" s="97" t="s">
        <v>239</v>
      </c>
    </row>
    <row r="237" spans="1:7" x14ac:dyDescent="0.25">
      <c r="A237" t="s">
        <v>45</v>
      </c>
      <c r="C237" t="s">
        <v>83</v>
      </c>
      <c r="E237" t="s">
        <v>11</v>
      </c>
      <c r="F237" t="s">
        <v>34</v>
      </c>
      <c r="G237" s="97" t="s">
        <v>240</v>
      </c>
    </row>
    <row r="238" spans="1:7" x14ac:dyDescent="0.25">
      <c r="A238" t="s">
        <v>48</v>
      </c>
      <c r="C238" t="s">
        <v>83</v>
      </c>
      <c r="E238" t="s">
        <v>11</v>
      </c>
      <c r="F238" t="s">
        <v>34</v>
      </c>
      <c r="G238" s="97" t="s">
        <v>166</v>
      </c>
    </row>
    <row r="239" spans="1:7" x14ac:dyDescent="0.25">
      <c r="A239" t="s">
        <v>49</v>
      </c>
      <c r="C239" t="s">
        <v>83</v>
      </c>
      <c r="E239" t="s">
        <v>11</v>
      </c>
      <c r="F239" t="s">
        <v>34</v>
      </c>
      <c r="G239" s="97" t="s">
        <v>241</v>
      </c>
    </row>
    <row r="240" spans="1:7" x14ac:dyDescent="0.25">
      <c r="A240" t="s">
        <v>66</v>
      </c>
      <c r="C240" t="s">
        <v>83</v>
      </c>
      <c r="E240" t="s">
        <v>11</v>
      </c>
      <c r="F240" t="s">
        <v>34</v>
      </c>
      <c r="G240" s="97" t="s">
        <v>242</v>
      </c>
    </row>
    <row r="241" spans="1:7" x14ac:dyDescent="0.25">
      <c r="A241" t="s">
        <v>69</v>
      </c>
      <c r="C241" t="s">
        <v>83</v>
      </c>
      <c r="E241" t="s">
        <v>11</v>
      </c>
      <c r="F241" t="s">
        <v>34</v>
      </c>
      <c r="G241" s="97" t="s">
        <v>243</v>
      </c>
    </row>
    <row r="242" spans="1:7" x14ac:dyDescent="0.25">
      <c r="A242" t="s">
        <v>35</v>
      </c>
      <c r="C242" t="s">
        <v>83</v>
      </c>
      <c r="E242" t="s">
        <v>17</v>
      </c>
      <c r="F242" t="s">
        <v>34</v>
      </c>
      <c r="G242" s="97" t="s">
        <v>84</v>
      </c>
    </row>
    <row r="243" spans="1:7" x14ac:dyDescent="0.25">
      <c r="A243" t="s">
        <v>36</v>
      </c>
      <c r="C243" t="s">
        <v>83</v>
      </c>
      <c r="E243" t="s">
        <v>17</v>
      </c>
      <c r="F243" t="s">
        <v>34</v>
      </c>
      <c r="G243" s="97" t="s">
        <v>163</v>
      </c>
    </row>
    <row r="244" spans="1:7" x14ac:dyDescent="0.25">
      <c r="A244" t="s">
        <v>37</v>
      </c>
      <c r="C244" t="s">
        <v>83</v>
      </c>
      <c r="E244" t="s">
        <v>17</v>
      </c>
      <c r="F244" t="s">
        <v>34</v>
      </c>
      <c r="G244" s="97" t="s">
        <v>234</v>
      </c>
    </row>
    <row r="245" spans="1:7" x14ac:dyDescent="0.25">
      <c r="A245" t="s">
        <v>38</v>
      </c>
      <c r="C245" t="s">
        <v>83</v>
      </c>
      <c r="E245" t="s">
        <v>17</v>
      </c>
      <c r="F245" t="s">
        <v>34</v>
      </c>
      <c r="G245" s="97" t="s">
        <v>237</v>
      </c>
    </row>
    <row r="246" spans="1:7" x14ac:dyDescent="0.25">
      <c r="A246" t="s">
        <v>39</v>
      </c>
      <c r="C246" t="s">
        <v>83</v>
      </c>
      <c r="E246" t="s">
        <v>17</v>
      </c>
      <c r="F246" t="s">
        <v>34</v>
      </c>
      <c r="G246" s="97" t="s">
        <v>87</v>
      </c>
    </row>
    <row r="247" spans="1:7" x14ac:dyDescent="0.25">
      <c r="A247" t="s">
        <v>40</v>
      </c>
      <c r="C247" t="s">
        <v>83</v>
      </c>
      <c r="E247" t="s">
        <v>17</v>
      </c>
      <c r="F247" t="s">
        <v>34</v>
      </c>
      <c r="G247" s="97" t="s">
        <v>244</v>
      </c>
    </row>
    <row r="248" spans="1:7" x14ac:dyDescent="0.25">
      <c r="A248" t="s">
        <v>41</v>
      </c>
      <c r="C248" t="s">
        <v>83</v>
      </c>
      <c r="E248" t="s">
        <v>17</v>
      </c>
      <c r="F248" t="s">
        <v>34</v>
      </c>
      <c r="G248" s="97" t="s">
        <v>245</v>
      </c>
    </row>
    <row r="249" spans="1:7" x14ac:dyDescent="0.25">
      <c r="A249" t="s">
        <v>42</v>
      </c>
      <c r="C249" t="s">
        <v>83</v>
      </c>
      <c r="E249" t="s">
        <v>17</v>
      </c>
      <c r="F249" t="s">
        <v>34</v>
      </c>
      <c r="G249" s="97" t="s">
        <v>246</v>
      </c>
    </row>
    <row r="250" spans="1:7" x14ac:dyDescent="0.25">
      <c r="A250" t="s">
        <v>43</v>
      </c>
      <c r="C250" t="s">
        <v>83</v>
      </c>
      <c r="E250" t="s">
        <v>17</v>
      </c>
      <c r="F250" t="s">
        <v>34</v>
      </c>
      <c r="G250" s="97" t="s">
        <v>247</v>
      </c>
    </row>
    <row r="251" spans="1:7" x14ac:dyDescent="0.25">
      <c r="A251" t="s">
        <v>44</v>
      </c>
      <c r="C251" t="s">
        <v>83</v>
      </c>
      <c r="E251" t="s">
        <v>17</v>
      </c>
      <c r="F251" t="s">
        <v>34</v>
      </c>
      <c r="G251" s="97" t="s">
        <v>85</v>
      </c>
    </row>
    <row r="252" spans="1:7" x14ac:dyDescent="0.25">
      <c r="A252" t="s">
        <v>45</v>
      </c>
      <c r="C252" t="s">
        <v>83</v>
      </c>
      <c r="E252" t="s">
        <v>17</v>
      </c>
      <c r="F252" t="s">
        <v>34</v>
      </c>
      <c r="G252" s="97" t="s">
        <v>160</v>
      </c>
    </row>
    <row r="253" spans="1:7" x14ac:dyDescent="0.25">
      <c r="A253" t="s">
        <v>48</v>
      </c>
      <c r="C253" t="s">
        <v>83</v>
      </c>
      <c r="E253" t="s">
        <v>17</v>
      </c>
      <c r="F253" t="s">
        <v>34</v>
      </c>
      <c r="G253" s="97" t="s">
        <v>248</v>
      </c>
    </row>
    <row r="254" spans="1:7" x14ac:dyDescent="0.25">
      <c r="A254" t="s">
        <v>49</v>
      </c>
      <c r="C254" t="s">
        <v>83</v>
      </c>
      <c r="E254" t="s">
        <v>17</v>
      </c>
      <c r="F254" t="s">
        <v>34</v>
      </c>
      <c r="G254" s="97" t="s">
        <v>232</v>
      </c>
    </row>
    <row r="255" spans="1:7" x14ac:dyDescent="0.25">
      <c r="A255" t="s">
        <v>66</v>
      </c>
      <c r="C255" t="s">
        <v>83</v>
      </c>
      <c r="E255" t="s">
        <v>17</v>
      </c>
      <c r="F255" t="s">
        <v>34</v>
      </c>
      <c r="G255" s="97" t="s">
        <v>241</v>
      </c>
    </row>
    <row r="256" spans="1:7" x14ac:dyDescent="0.25">
      <c r="A256" t="s">
        <v>69</v>
      </c>
      <c r="C256" t="s">
        <v>83</v>
      </c>
      <c r="E256" t="s">
        <v>17</v>
      </c>
      <c r="F256" t="s">
        <v>34</v>
      </c>
      <c r="G256" s="97" t="s">
        <v>249</v>
      </c>
    </row>
    <row r="257" spans="1:7" x14ac:dyDescent="0.25">
      <c r="A257" t="s">
        <v>35</v>
      </c>
      <c r="C257" t="s">
        <v>83</v>
      </c>
      <c r="E257" t="s">
        <v>18</v>
      </c>
      <c r="F257" t="s">
        <v>34</v>
      </c>
      <c r="G257" s="97" t="s">
        <v>87</v>
      </c>
    </row>
    <row r="258" spans="1:7" x14ac:dyDescent="0.25">
      <c r="A258" t="s">
        <v>36</v>
      </c>
      <c r="C258" t="s">
        <v>83</v>
      </c>
      <c r="E258" t="s">
        <v>18</v>
      </c>
      <c r="F258" t="s">
        <v>34</v>
      </c>
      <c r="G258" s="97" t="s">
        <v>234</v>
      </c>
    </row>
    <row r="259" spans="1:7" x14ac:dyDescent="0.25">
      <c r="A259" t="s">
        <v>37</v>
      </c>
      <c r="C259" t="s">
        <v>83</v>
      </c>
      <c r="E259" t="s">
        <v>18</v>
      </c>
      <c r="F259" t="s">
        <v>34</v>
      </c>
      <c r="G259" s="97" t="s">
        <v>250</v>
      </c>
    </row>
    <row r="260" spans="1:7" x14ac:dyDescent="0.25">
      <c r="A260" t="s">
        <v>38</v>
      </c>
      <c r="C260" t="s">
        <v>83</v>
      </c>
      <c r="E260" t="s">
        <v>18</v>
      </c>
      <c r="F260" t="s">
        <v>34</v>
      </c>
      <c r="G260" s="97" t="s">
        <v>251</v>
      </c>
    </row>
    <row r="261" spans="1:7" x14ac:dyDescent="0.25">
      <c r="A261" t="s">
        <v>39</v>
      </c>
      <c r="C261" t="s">
        <v>83</v>
      </c>
      <c r="E261" t="s">
        <v>18</v>
      </c>
      <c r="F261" t="s">
        <v>34</v>
      </c>
      <c r="G261" s="97" t="s">
        <v>233</v>
      </c>
    </row>
    <row r="262" spans="1:7" x14ac:dyDescent="0.25">
      <c r="A262" t="s">
        <v>40</v>
      </c>
      <c r="C262" t="s">
        <v>83</v>
      </c>
      <c r="E262" t="s">
        <v>18</v>
      </c>
      <c r="F262" t="s">
        <v>34</v>
      </c>
      <c r="G262" s="97" t="s">
        <v>235</v>
      </c>
    </row>
    <row r="263" spans="1:7" x14ac:dyDescent="0.25">
      <c r="A263" t="s">
        <v>41</v>
      </c>
      <c r="C263" t="s">
        <v>83</v>
      </c>
      <c r="E263" t="s">
        <v>18</v>
      </c>
      <c r="F263" t="s">
        <v>34</v>
      </c>
      <c r="G263" s="97" t="s">
        <v>252</v>
      </c>
    </row>
    <row r="264" spans="1:7" x14ac:dyDescent="0.25">
      <c r="A264" t="s">
        <v>42</v>
      </c>
      <c r="C264" t="s">
        <v>83</v>
      </c>
      <c r="E264" t="s">
        <v>18</v>
      </c>
      <c r="F264" t="s">
        <v>34</v>
      </c>
      <c r="G264" s="97" t="s">
        <v>253</v>
      </c>
    </row>
    <row r="265" spans="1:7" x14ac:dyDescent="0.25">
      <c r="A265" t="s">
        <v>43</v>
      </c>
      <c r="C265" t="s">
        <v>83</v>
      </c>
      <c r="E265" t="s">
        <v>18</v>
      </c>
      <c r="F265" t="s">
        <v>34</v>
      </c>
      <c r="G265" s="97" t="s">
        <v>254</v>
      </c>
    </row>
    <row r="266" spans="1:7" x14ac:dyDescent="0.25">
      <c r="A266" t="s">
        <v>44</v>
      </c>
      <c r="C266" t="s">
        <v>83</v>
      </c>
      <c r="E266" t="s">
        <v>18</v>
      </c>
      <c r="F266" t="s">
        <v>34</v>
      </c>
      <c r="G266" s="97" t="s">
        <v>176</v>
      </c>
    </row>
    <row r="267" spans="1:7" x14ac:dyDescent="0.25">
      <c r="A267" t="s">
        <v>45</v>
      </c>
      <c r="C267" t="s">
        <v>83</v>
      </c>
      <c r="E267" t="s">
        <v>18</v>
      </c>
      <c r="F267" t="s">
        <v>34</v>
      </c>
      <c r="G267" s="97" t="s">
        <v>151</v>
      </c>
    </row>
    <row r="268" spans="1:7" x14ac:dyDescent="0.25">
      <c r="A268" t="s">
        <v>48</v>
      </c>
      <c r="C268" t="s">
        <v>83</v>
      </c>
      <c r="E268" t="s">
        <v>18</v>
      </c>
      <c r="F268" t="s">
        <v>34</v>
      </c>
      <c r="G268" s="97" t="s">
        <v>247</v>
      </c>
    </row>
    <row r="269" spans="1:7" x14ac:dyDescent="0.25">
      <c r="A269" t="s">
        <v>49</v>
      </c>
      <c r="C269" t="s">
        <v>83</v>
      </c>
      <c r="E269" t="s">
        <v>18</v>
      </c>
      <c r="F269" t="s">
        <v>34</v>
      </c>
      <c r="G269" s="97" t="s">
        <v>241</v>
      </c>
    </row>
    <row r="270" spans="1:7" x14ac:dyDescent="0.25">
      <c r="A270" t="s">
        <v>66</v>
      </c>
      <c r="C270" t="s">
        <v>83</v>
      </c>
      <c r="E270" t="s">
        <v>18</v>
      </c>
      <c r="F270" t="s">
        <v>34</v>
      </c>
      <c r="G270" s="97" t="s">
        <v>255</v>
      </c>
    </row>
    <row r="271" spans="1:7" x14ac:dyDescent="0.25">
      <c r="A271" t="s">
        <v>69</v>
      </c>
      <c r="C271" t="s">
        <v>83</v>
      </c>
      <c r="E271" t="s">
        <v>18</v>
      </c>
      <c r="F271" t="s">
        <v>34</v>
      </c>
      <c r="G271" s="97" t="s">
        <v>234</v>
      </c>
    </row>
    <row r="272" spans="1:7" x14ac:dyDescent="0.25">
      <c r="G272" s="97" t="s">
        <v>256</v>
      </c>
    </row>
    <row r="273" spans="7:7" x14ac:dyDescent="0.25">
      <c r="G273" s="97" t="s">
        <v>256</v>
      </c>
    </row>
    <row r="274" spans="7:7" x14ac:dyDescent="0.25">
      <c r="G274" s="97" t="s">
        <v>256</v>
      </c>
    </row>
    <row r="275" spans="7:7" x14ac:dyDescent="0.25">
      <c r="G275" s="97" t="s">
        <v>256</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6B30-0B0A-4233-B0CF-E709E4BAA613}">
  <sheetPr codeName="Tabelle11"/>
  <dimension ref="A1:E12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s="97" t="s">
        <v>35</v>
      </c>
      <c r="B2" s="116" t="s">
        <v>80</v>
      </c>
      <c r="C2" t="s">
        <v>11</v>
      </c>
      <c r="D2" t="s">
        <v>81</v>
      </c>
      <c r="E2" s="97" t="s">
        <v>88</v>
      </c>
    </row>
    <row r="3" spans="1:5" x14ac:dyDescent="0.25">
      <c r="A3" s="97" t="s">
        <v>36</v>
      </c>
      <c r="B3" s="116" t="s">
        <v>80</v>
      </c>
      <c r="C3" t="s">
        <v>11</v>
      </c>
      <c r="D3" t="s">
        <v>81</v>
      </c>
      <c r="E3" s="97" t="s">
        <v>89</v>
      </c>
    </row>
    <row r="4" spans="1:5" x14ac:dyDescent="0.25">
      <c r="A4" s="97" t="s">
        <v>37</v>
      </c>
      <c r="B4" s="116" t="s">
        <v>80</v>
      </c>
      <c r="C4" t="s">
        <v>11</v>
      </c>
      <c r="D4" t="s">
        <v>81</v>
      </c>
      <c r="E4" s="97" t="s">
        <v>90</v>
      </c>
    </row>
    <row r="5" spans="1:5" x14ac:dyDescent="0.25">
      <c r="A5" s="97" t="s">
        <v>38</v>
      </c>
      <c r="B5" s="116" t="s">
        <v>80</v>
      </c>
      <c r="C5" t="s">
        <v>11</v>
      </c>
      <c r="D5" t="s">
        <v>81</v>
      </c>
      <c r="E5" s="97" t="s">
        <v>91</v>
      </c>
    </row>
    <row r="6" spans="1:5" x14ac:dyDescent="0.25">
      <c r="A6" s="97" t="s">
        <v>39</v>
      </c>
      <c r="B6" s="116" t="s">
        <v>80</v>
      </c>
      <c r="C6" t="s">
        <v>11</v>
      </c>
      <c r="D6" t="s">
        <v>81</v>
      </c>
      <c r="E6" s="97" t="s">
        <v>92</v>
      </c>
    </row>
    <row r="7" spans="1:5" x14ac:dyDescent="0.25">
      <c r="A7" s="97" t="s">
        <v>40</v>
      </c>
      <c r="B7" s="116" t="s">
        <v>80</v>
      </c>
      <c r="C7" t="s">
        <v>11</v>
      </c>
      <c r="D7" t="s">
        <v>81</v>
      </c>
      <c r="E7" s="97" t="s">
        <v>93</v>
      </c>
    </row>
    <row r="8" spans="1:5" x14ac:dyDescent="0.25">
      <c r="A8" s="97" t="s">
        <v>41</v>
      </c>
      <c r="B8" s="116" t="s">
        <v>80</v>
      </c>
      <c r="C8" t="s">
        <v>11</v>
      </c>
      <c r="D8" t="s">
        <v>81</v>
      </c>
      <c r="E8" s="97" t="s">
        <v>94</v>
      </c>
    </row>
    <row r="9" spans="1:5" x14ac:dyDescent="0.25">
      <c r="A9" s="97" t="s">
        <v>42</v>
      </c>
      <c r="B9" s="116" t="s">
        <v>80</v>
      </c>
      <c r="C9" t="s">
        <v>11</v>
      </c>
      <c r="D9" t="s">
        <v>81</v>
      </c>
      <c r="E9" s="97" t="s">
        <v>94</v>
      </c>
    </row>
    <row r="10" spans="1:5" x14ac:dyDescent="0.25">
      <c r="A10" s="97" t="s">
        <v>43</v>
      </c>
      <c r="B10" s="116" t="s">
        <v>80</v>
      </c>
      <c r="C10" t="s">
        <v>11</v>
      </c>
      <c r="D10" t="s">
        <v>81</v>
      </c>
      <c r="E10" s="97" t="s">
        <v>95</v>
      </c>
    </row>
    <row r="11" spans="1:5" x14ac:dyDescent="0.25">
      <c r="A11" s="97" t="s">
        <v>44</v>
      </c>
      <c r="B11" s="116" t="s">
        <v>80</v>
      </c>
      <c r="C11" t="s">
        <v>11</v>
      </c>
      <c r="D11" t="s">
        <v>81</v>
      </c>
      <c r="E11" s="97" t="s">
        <v>96</v>
      </c>
    </row>
    <row r="12" spans="1:5" x14ac:dyDescent="0.25">
      <c r="A12" s="97" t="s">
        <v>45</v>
      </c>
      <c r="B12" s="116" t="s">
        <v>80</v>
      </c>
      <c r="C12" t="s">
        <v>11</v>
      </c>
      <c r="D12" t="s">
        <v>81</v>
      </c>
      <c r="E12" s="97" t="s">
        <v>97</v>
      </c>
    </row>
    <row r="13" spans="1:5" x14ac:dyDescent="0.25">
      <c r="A13" s="97" t="s">
        <v>48</v>
      </c>
      <c r="B13" s="116" t="s">
        <v>80</v>
      </c>
      <c r="C13" t="s">
        <v>11</v>
      </c>
      <c r="D13" t="s">
        <v>81</v>
      </c>
      <c r="E13" s="97" t="s">
        <v>98</v>
      </c>
    </row>
    <row r="14" spans="1:5" x14ac:dyDescent="0.25">
      <c r="A14" s="97" t="s">
        <v>49</v>
      </c>
      <c r="B14" s="116" t="s">
        <v>80</v>
      </c>
      <c r="C14" t="s">
        <v>11</v>
      </c>
      <c r="D14" t="s">
        <v>81</v>
      </c>
      <c r="E14" s="97" t="s">
        <v>99</v>
      </c>
    </row>
    <row r="15" spans="1:5" x14ac:dyDescent="0.25">
      <c r="A15" s="97" t="s">
        <v>66</v>
      </c>
      <c r="B15" s="116" t="s">
        <v>80</v>
      </c>
      <c r="C15" t="s">
        <v>11</v>
      </c>
      <c r="D15" t="s">
        <v>81</v>
      </c>
      <c r="E15" s="97" t="s">
        <v>100</v>
      </c>
    </row>
    <row r="16" spans="1:5" x14ac:dyDescent="0.25">
      <c r="A16" s="97" t="s">
        <v>69</v>
      </c>
      <c r="B16" s="116" t="s">
        <v>80</v>
      </c>
      <c r="C16" t="s">
        <v>11</v>
      </c>
      <c r="D16" t="s">
        <v>81</v>
      </c>
      <c r="E16" s="97" t="s">
        <v>101</v>
      </c>
    </row>
    <row r="17" spans="1:5" x14ac:dyDescent="0.25">
      <c r="A17" s="97" t="s">
        <v>35</v>
      </c>
      <c r="B17" s="116" t="s">
        <v>80</v>
      </c>
      <c r="C17" t="s">
        <v>32</v>
      </c>
      <c r="D17" t="s">
        <v>81</v>
      </c>
      <c r="E17" s="97" t="s">
        <v>102</v>
      </c>
    </row>
    <row r="18" spans="1:5" x14ac:dyDescent="0.25">
      <c r="A18" s="97" t="s">
        <v>36</v>
      </c>
      <c r="B18" s="116" t="s">
        <v>80</v>
      </c>
      <c r="C18" t="s">
        <v>32</v>
      </c>
      <c r="D18" t="s">
        <v>81</v>
      </c>
      <c r="E18" s="97" t="s">
        <v>103</v>
      </c>
    </row>
    <row r="19" spans="1:5" x14ac:dyDescent="0.25">
      <c r="A19" s="97" t="s">
        <v>37</v>
      </c>
      <c r="B19" s="116" t="s">
        <v>80</v>
      </c>
      <c r="C19" t="s">
        <v>32</v>
      </c>
      <c r="D19" t="s">
        <v>81</v>
      </c>
      <c r="E19" s="97" t="s">
        <v>104</v>
      </c>
    </row>
    <row r="20" spans="1:5" x14ac:dyDescent="0.25">
      <c r="A20" s="97" t="s">
        <v>38</v>
      </c>
      <c r="B20" s="116" t="s">
        <v>80</v>
      </c>
      <c r="C20" t="s">
        <v>32</v>
      </c>
      <c r="D20" t="s">
        <v>81</v>
      </c>
      <c r="E20" s="97" t="s">
        <v>91</v>
      </c>
    </row>
    <row r="21" spans="1:5" x14ac:dyDescent="0.25">
      <c r="A21" s="97" t="s">
        <v>39</v>
      </c>
      <c r="B21" s="116" t="s">
        <v>80</v>
      </c>
      <c r="C21" t="s">
        <v>32</v>
      </c>
      <c r="D21" t="s">
        <v>81</v>
      </c>
      <c r="E21" s="97" t="s">
        <v>105</v>
      </c>
    </row>
    <row r="22" spans="1:5" x14ac:dyDescent="0.25">
      <c r="A22" s="97" t="s">
        <v>40</v>
      </c>
      <c r="B22" s="116" t="s">
        <v>80</v>
      </c>
      <c r="C22" t="s">
        <v>32</v>
      </c>
      <c r="D22" t="s">
        <v>81</v>
      </c>
      <c r="E22" s="97" t="s">
        <v>106</v>
      </c>
    </row>
    <row r="23" spans="1:5" x14ac:dyDescent="0.25">
      <c r="A23" s="97" t="s">
        <v>41</v>
      </c>
      <c r="B23" s="116" t="s">
        <v>80</v>
      </c>
      <c r="C23" t="s">
        <v>32</v>
      </c>
      <c r="D23" t="s">
        <v>81</v>
      </c>
      <c r="E23" s="97" t="s">
        <v>94</v>
      </c>
    </row>
    <row r="24" spans="1:5" x14ac:dyDescent="0.25">
      <c r="A24" s="97" t="s">
        <v>42</v>
      </c>
      <c r="B24" s="116" t="s">
        <v>80</v>
      </c>
      <c r="C24" t="s">
        <v>32</v>
      </c>
      <c r="D24" t="s">
        <v>81</v>
      </c>
      <c r="E24" s="97" t="s">
        <v>94</v>
      </c>
    </row>
    <row r="25" spans="1:5" x14ac:dyDescent="0.25">
      <c r="A25" s="97" t="s">
        <v>43</v>
      </c>
      <c r="B25" s="116" t="s">
        <v>80</v>
      </c>
      <c r="C25" t="s">
        <v>32</v>
      </c>
      <c r="D25" t="s">
        <v>81</v>
      </c>
      <c r="E25" s="97" t="s">
        <v>95</v>
      </c>
    </row>
    <row r="26" spans="1:5" x14ac:dyDescent="0.25">
      <c r="A26" s="97" t="s">
        <v>44</v>
      </c>
      <c r="B26" s="116" t="s">
        <v>80</v>
      </c>
      <c r="C26" t="s">
        <v>32</v>
      </c>
      <c r="D26" t="s">
        <v>81</v>
      </c>
      <c r="E26" s="97" t="s">
        <v>100</v>
      </c>
    </row>
    <row r="27" spans="1:5" x14ac:dyDescent="0.25">
      <c r="A27" s="97" t="s">
        <v>45</v>
      </c>
      <c r="B27" s="116" t="s">
        <v>80</v>
      </c>
      <c r="C27" t="s">
        <v>32</v>
      </c>
      <c r="D27" t="s">
        <v>81</v>
      </c>
      <c r="E27" s="97" t="s">
        <v>96</v>
      </c>
    </row>
    <row r="28" spans="1:5" x14ac:dyDescent="0.25">
      <c r="A28" s="97" t="s">
        <v>48</v>
      </c>
      <c r="B28" s="116" t="s">
        <v>80</v>
      </c>
      <c r="C28" t="s">
        <v>32</v>
      </c>
      <c r="D28" t="s">
        <v>81</v>
      </c>
      <c r="E28" s="97" t="s">
        <v>107</v>
      </c>
    </row>
    <row r="29" spans="1:5" x14ac:dyDescent="0.25">
      <c r="A29" s="97" t="s">
        <v>49</v>
      </c>
      <c r="B29" s="116" t="s">
        <v>80</v>
      </c>
      <c r="C29" t="s">
        <v>32</v>
      </c>
      <c r="D29" t="s">
        <v>81</v>
      </c>
      <c r="E29" s="97" t="s">
        <v>98</v>
      </c>
    </row>
    <row r="30" spans="1:5" x14ac:dyDescent="0.25">
      <c r="A30" s="97" t="s">
        <v>66</v>
      </c>
      <c r="B30" s="116" t="s">
        <v>80</v>
      </c>
      <c r="C30" t="s">
        <v>32</v>
      </c>
      <c r="D30" t="s">
        <v>81</v>
      </c>
      <c r="E30" s="97" t="s">
        <v>108</v>
      </c>
    </row>
    <row r="31" spans="1:5" x14ac:dyDescent="0.25">
      <c r="A31" s="97" t="s">
        <v>69</v>
      </c>
      <c r="B31" s="116" t="s">
        <v>80</v>
      </c>
      <c r="C31" t="s">
        <v>32</v>
      </c>
      <c r="D31" t="s">
        <v>81</v>
      </c>
      <c r="E31" s="97" t="s">
        <v>109</v>
      </c>
    </row>
    <row r="32" spans="1:5" x14ac:dyDescent="0.25">
      <c r="A32" s="97" t="s">
        <v>35</v>
      </c>
      <c r="B32" s="116" t="s">
        <v>80</v>
      </c>
      <c r="C32" t="s">
        <v>15</v>
      </c>
      <c r="D32" t="s">
        <v>81</v>
      </c>
      <c r="E32" s="97" t="s">
        <v>110</v>
      </c>
    </row>
    <row r="33" spans="1:5" x14ac:dyDescent="0.25">
      <c r="A33" s="97" t="s">
        <v>36</v>
      </c>
      <c r="B33" s="116" t="s">
        <v>80</v>
      </c>
      <c r="C33" t="s">
        <v>15</v>
      </c>
      <c r="D33" t="s">
        <v>81</v>
      </c>
      <c r="E33" s="97" t="s">
        <v>111</v>
      </c>
    </row>
    <row r="34" spans="1:5" x14ac:dyDescent="0.25">
      <c r="A34" s="97" t="s">
        <v>37</v>
      </c>
      <c r="B34" s="116" t="s">
        <v>80</v>
      </c>
      <c r="C34" t="s">
        <v>15</v>
      </c>
      <c r="D34" t="s">
        <v>81</v>
      </c>
      <c r="E34" s="97" t="s">
        <v>112</v>
      </c>
    </row>
    <row r="35" spans="1:5" x14ac:dyDescent="0.25">
      <c r="A35" s="97" t="s">
        <v>38</v>
      </c>
      <c r="B35" s="116" t="s">
        <v>80</v>
      </c>
      <c r="C35" t="s">
        <v>15</v>
      </c>
      <c r="D35" t="s">
        <v>81</v>
      </c>
      <c r="E35" s="97" t="s">
        <v>91</v>
      </c>
    </row>
    <row r="36" spans="1:5" x14ac:dyDescent="0.25">
      <c r="A36" s="97" t="s">
        <v>39</v>
      </c>
      <c r="B36" s="116" t="s">
        <v>80</v>
      </c>
      <c r="C36" t="s">
        <v>15</v>
      </c>
      <c r="D36" t="s">
        <v>81</v>
      </c>
      <c r="E36" s="97" t="s">
        <v>103</v>
      </c>
    </row>
    <row r="37" spans="1:5" x14ac:dyDescent="0.25">
      <c r="A37" s="97" t="s">
        <v>40</v>
      </c>
      <c r="B37" s="116" t="s">
        <v>80</v>
      </c>
      <c r="C37" t="s">
        <v>15</v>
      </c>
      <c r="D37" t="s">
        <v>81</v>
      </c>
      <c r="E37" s="97" t="s">
        <v>108</v>
      </c>
    </row>
    <row r="38" spans="1:5" x14ac:dyDescent="0.25">
      <c r="A38" s="97" t="s">
        <v>41</v>
      </c>
      <c r="B38" s="116" t="s">
        <v>80</v>
      </c>
      <c r="C38" t="s">
        <v>15</v>
      </c>
      <c r="D38" t="s">
        <v>81</v>
      </c>
      <c r="E38" s="97" t="s">
        <v>108</v>
      </c>
    </row>
    <row r="39" spans="1:5" x14ac:dyDescent="0.25">
      <c r="A39" s="97" t="s">
        <v>42</v>
      </c>
      <c r="B39" s="116" t="s">
        <v>80</v>
      </c>
      <c r="C39" t="s">
        <v>15</v>
      </c>
      <c r="D39" t="s">
        <v>81</v>
      </c>
      <c r="E39" s="97" t="s">
        <v>94</v>
      </c>
    </row>
    <row r="40" spans="1:5" x14ac:dyDescent="0.25">
      <c r="A40" s="97" t="s">
        <v>43</v>
      </c>
      <c r="B40" s="116" t="s">
        <v>80</v>
      </c>
      <c r="C40" t="s">
        <v>15</v>
      </c>
      <c r="D40" t="s">
        <v>81</v>
      </c>
      <c r="E40" s="97" t="s">
        <v>96</v>
      </c>
    </row>
    <row r="41" spans="1:5" x14ac:dyDescent="0.25">
      <c r="A41" s="97" t="s">
        <v>44</v>
      </c>
      <c r="B41" s="116" t="s">
        <v>80</v>
      </c>
      <c r="C41" t="s">
        <v>15</v>
      </c>
      <c r="D41" t="s">
        <v>81</v>
      </c>
      <c r="E41" s="97" t="s">
        <v>97</v>
      </c>
    </row>
    <row r="42" spans="1:5" x14ac:dyDescent="0.25">
      <c r="A42" s="97" t="s">
        <v>45</v>
      </c>
      <c r="B42" s="116" t="s">
        <v>80</v>
      </c>
      <c r="C42" t="s">
        <v>15</v>
      </c>
      <c r="D42" t="s">
        <v>81</v>
      </c>
      <c r="E42" s="97" t="s">
        <v>101</v>
      </c>
    </row>
    <row r="43" spans="1:5" x14ac:dyDescent="0.25">
      <c r="A43" s="97" t="s">
        <v>48</v>
      </c>
      <c r="B43" s="116" t="s">
        <v>80</v>
      </c>
      <c r="C43" t="s">
        <v>15</v>
      </c>
      <c r="D43" t="s">
        <v>81</v>
      </c>
      <c r="E43" s="97" t="s">
        <v>113</v>
      </c>
    </row>
    <row r="44" spans="1:5" x14ac:dyDescent="0.25">
      <c r="A44" s="97" t="s">
        <v>49</v>
      </c>
      <c r="B44" s="116" t="s">
        <v>80</v>
      </c>
      <c r="C44" t="s">
        <v>15</v>
      </c>
      <c r="D44" t="s">
        <v>81</v>
      </c>
      <c r="E44" s="97" t="s">
        <v>114</v>
      </c>
    </row>
    <row r="45" spans="1:5" x14ac:dyDescent="0.25">
      <c r="A45" s="97" t="s">
        <v>66</v>
      </c>
      <c r="B45" s="116" t="s">
        <v>80</v>
      </c>
      <c r="C45" t="s">
        <v>15</v>
      </c>
      <c r="D45" t="s">
        <v>81</v>
      </c>
      <c r="E45" s="97" t="s">
        <v>109</v>
      </c>
    </row>
    <row r="46" spans="1:5" x14ac:dyDescent="0.25">
      <c r="A46" s="97" t="s">
        <v>69</v>
      </c>
      <c r="B46" s="116" t="s">
        <v>80</v>
      </c>
      <c r="C46" t="s">
        <v>15</v>
      </c>
      <c r="D46" t="s">
        <v>81</v>
      </c>
      <c r="E46" s="97" t="s">
        <v>107</v>
      </c>
    </row>
    <row r="47" spans="1:5" x14ac:dyDescent="0.25">
      <c r="A47" s="97" t="s">
        <v>35</v>
      </c>
      <c r="B47" s="116" t="s">
        <v>30</v>
      </c>
      <c r="C47" t="s">
        <v>11</v>
      </c>
      <c r="D47" t="s">
        <v>81</v>
      </c>
      <c r="E47" s="97" t="s">
        <v>115</v>
      </c>
    </row>
    <row r="48" spans="1:5" x14ac:dyDescent="0.25">
      <c r="A48" s="97" t="s">
        <v>36</v>
      </c>
      <c r="B48" s="116" t="s">
        <v>30</v>
      </c>
      <c r="C48" t="s">
        <v>11</v>
      </c>
      <c r="D48" t="s">
        <v>81</v>
      </c>
      <c r="E48" s="97" t="s">
        <v>116</v>
      </c>
    </row>
    <row r="49" spans="1:5" x14ac:dyDescent="0.25">
      <c r="A49" s="97" t="s">
        <v>37</v>
      </c>
      <c r="B49" s="116" t="s">
        <v>30</v>
      </c>
      <c r="C49" t="s">
        <v>11</v>
      </c>
      <c r="D49" t="s">
        <v>81</v>
      </c>
      <c r="E49" s="97" t="s">
        <v>117</v>
      </c>
    </row>
    <row r="50" spans="1:5" x14ac:dyDescent="0.25">
      <c r="A50" s="97" t="s">
        <v>38</v>
      </c>
      <c r="B50" s="116" t="s">
        <v>30</v>
      </c>
      <c r="C50" t="s">
        <v>11</v>
      </c>
      <c r="D50" t="s">
        <v>81</v>
      </c>
      <c r="E50" s="97" t="s">
        <v>118</v>
      </c>
    </row>
    <row r="51" spans="1:5" x14ac:dyDescent="0.25">
      <c r="A51" s="97" t="s">
        <v>39</v>
      </c>
      <c r="B51" s="116" t="s">
        <v>30</v>
      </c>
      <c r="C51" t="s">
        <v>11</v>
      </c>
      <c r="D51" t="s">
        <v>81</v>
      </c>
      <c r="E51" s="97" t="s">
        <v>119</v>
      </c>
    </row>
    <row r="52" spans="1:5" x14ac:dyDescent="0.25">
      <c r="A52" s="97" t="s">
        <v>40</v>
      </c>
      <c r="B52" s="116" t="s">
        <v>30</v>
      </c>
      <c r="C52" t="s">
        <v>11</v>
      </c>
      <c r="D52" t="s">
        <v>81</v>
      </c>
      <c r="E52" s="97" t="s">
        <v>120</v>
      </c>
    </row>
    <row r="53" spans="1:5" x14ac:dyDescent="0.25">
      <c r="A53" s="97" t="s">
        <v>41</v>
      </c>
      <c r="B53" s="116" t="s">
        <v>30</v>
      </c>
      <c r="C53" t="s">
        <v>11</v>
      </c>
      <c r="D53" t="s">
        <v>81</v>
      </c>
      <c r="E53" s="97" t="s">
        <v>121</v>
      </c>
    </row>
    <row r="54" spans="1:5" x14ac:dyDescent="0.25">
      <c r="A54" s="97" t="s">
        <v>42</v>
      </c>
      <c r="B54" s="116" t="s">
        <v>30</v>
      </c>
      <c r="C54" t="s">
        <v>11</v>
      </c>
      <c r="D54" t="s">
        <v>81</v>
      </c>
      <c r="E54" s="97" t="s">
        <v>120</v>
      </c>
    </row>
    <row r="55" spans="1:5" x14ac:dyDescent="0.25">
      <c r="A55" s="97" t="s">
        <v>43</v>
      </c>
      <c r="B55" s="116" t="s">
        <v>30</v>
      </c>
      <c r="C55" t="s">
        <v>11</v>
      </c>
      <c r="D55" t="s">
        <v>81</v>
      </c>
      <c r="E55" s="97" t="s">
        <v>122</v>
      </c>
    </row>
    <row r="56" spans="1:5" x14ac:dyDescent="0.25">
      <c r="A56" s="97" t="s">
        <v>44</v>
      </c>
      <c r="B56" s="116" t="s">
        <v>30</v>
      </c>
      <c r="C56" t="s">
        <v>11</v>
      </c>
      <c r="D56" t="s">
        <v>81</v>
      </c>
      <c r="E56" s="97" t="s">
        <v>123</v>
      </c>
    </row>
    <row r="57" spans="1:5" x14ac:dyDescent="0.25">
      <c r="A57" s="97" t="s">
        <v>45</v>
      </c>
      <c r="B57" s="116" t="s">
        <v>30</v>
      </c>
      <c r="C57" t="s">
        <v>11</v>
      </c>
      <c r="D57" t="s">
        <v>81</v>
      </c>
      <c r="E57" s="97" t="s">
        <v>124</v>
      </c>
    </row>
    <row r="58" spans="1:5" x14ac:dyDescent="0.25">
      <c r="A58" s="97" t="s">
        <v>48</v>
      </c>
      <c r="B58" s="116" t="s">
        <v>30</v>
      </c>
      <c r="C58" t="s">
        <v>11</v>
      </c>
      <c r="D58" t="s">
        <v>81</v>
      </c>
      <c r="E58" s="97" t="s">
        <v>125</v>
      </c>
    </row>
    <row r="59" spans="1:5" x14ac:dyDescent="0.25">
      <c r="A59" s="97" t="s">
        <v>49</v>
      </c>
      <c r="B59" s="116" t="s">
        <v>30</v>
      </c>
      <c r="C59" t="s">
        <v>11</v>
      </c>
      <c r="D59" t="s">
        <v>81</v>
      </c>
      <c r="E59" s="97" t="s">
        <v>126</v>
      </c>
    </row>
    <row r="60" spans="1:5" x14ac:dyDescent="0.25">
      <c r="A60" s="97" t="s">
        <v>66</v>
      </c>
      <c r="B60" s="116" t="s">
        <v>30</v>
      </c>
      <c r="C60" t="s">
        <v>11</v>
      </c>
      <c r="D60" t="s">
        <v>81</v>
      </c>
      <c r="E60" s="97" t="s">
        <v>127</v>
      </c>
    </row>
    <row r="61" spans="1:5" x14ac:dyDescent="0.25">
      <c r="A61" s="97" t="s">
        <v>69</v>
      </c>
      <c r="B61" s="116" t="s">
        <v>30</v>
      </c>
      <c r="C61" t="s">
        <v>11</v>
      </c>
      <c r="D61" t="s">
        <v>81</v>
      </c>
      <c r="E61" s="97" t="s">
        <v>121</v>
      </c>
    </row>
    <row r="62" spans="1:5" x14ac:dyDescent="0.25">
      <c r="A62" s="97" t="s">
        <v>35</v>
      </c>
      <c r="B62" s="116" t="s">
        <v>30</v>
      </c>
      <c r="C62" t="s">
        <v>32</v>
      </c>
      <c r="D62" t="s">
        <v>81</v>
      </c>
      <c r="E62" s="97" t="s">
        <v>128</v>
      </c>
    </row>
    <row r="63" spans="1:5" x14ac:dyDescent="0.25">
      <c r="A63" s="97" t="s">
        <v>36</v>
      </c>
      <c r="B63" s="116" t="s">
        <v>30</v>
      </c>
      <c r="C63" t="s">
        <v>32</v>
      </c>
      <c r="D63" t="s">
        <v>81</v>
      </c>
      <c r="E63" s="97" t="s">
        <v>119</v>
      </c>
    </row>
    <row r="64" spans="1:5" x14ac:dyDescent="0.25">
      <c r="A64" s="97" t="s">
        <v>37</v>
      </c>
      <c r="B64" s="116" t="s">
        <v>30</v>
      </c>
      <c r="C64" t="s">
        <v>32</v>
      </c>
      <c r="D64" t="s">
        <v>81</v>
      </c>
      <c r="E64" s="97" t="s">
        <v>129</v>
      </c>
    </row>
    <row r="65" spans="1:5" x14ac:dyDescent="0.25">
      <c r="A65" s="97" t="s">
        <v>38</v>
      </c>
      <c r="B65" s="116" t="s">
        <v>30</v>
      </c>
      <c r="C65" t="s">
        <v>32</v>
      </c>
      <c r="D65" t="s">
        <v>81</v>
      </c>
      <c r="E65" s="97" t="s">
        <v>130</v>
      </c>
    </row>
    <row r="66" spans="1:5" x14ac:dyDescent="0.25">
      <c r="A66" s="97" t="s">
        <v>39</v>
      </c>
      <c r="B66" s="116" t="s">
        <v>30</v>
      </c>
      <c r="C66" t="s">
        <v>32</v>
      </c>
      <c r="D66" t="s">
        <v>81</v>
      </c>
      <c r="E66" s="97" t="s">
        <v>131</v>
      </c>
    </row>
    <row r="67" spans="1:5" x14ac:dyDescent="0.25">
      <c r="A67" s="97" t="s">
        <v>40</v>
      </c>
      <c r="B67" s="116" t="s">
        <v>30</v>
      </c>
      <c r="C67" t="s">
        <v>32</v>
      </c>
      <c r="D67" t="s">
        <v>81</v>
      </c>
      <c r="E67" s="97" t="s">
        <v>132</v>
      </c>
    </row>
    <row r="68" spans="1:5" x14ac:dyDescent="0.25">
      <c r="A68" s="97" t="s">
        <v>41</v>
      </c>
      <c r="B68" s="116" t="s">
        <v>30</v>
      </c>
      <c r="C68" t="s">
        <v>32</v>
      </c>
      <c r="D68" t="s">
        <v>81</v>
      </c>
      <c r="E68" s="97" t="s">
        <v>133</v>
      </c>
    </row>
    <row r="69" spans="1:5" x14ac:dyDescent="0.25">
      <c r="A69" s="97" t="s">
        <v>42</v>
      </c>
      <c r="B69" s="116" t="s">
        <v>30</v>
      </c>
      <c r="C69" t="s">
        <v>32</v>
      </c>
      <c r="D69" t="s">
        <v>81</v>
      </c>
      <c r="E69" s="97" t="s">
        <v>133</v>
      </c>
    </row>
    <row r="70" spans="1:5" x14ac:dyDescent="0.25">
      <c r="A70" s="97" t="s">
        <v>43</v>
      </c>
      <c r="B70" s="116" t="s">
        <v>30</v>
      </c>
      <c r="C70" t="s">
        <v>32</v>
      </c>
      <c r="D70" t="s">
        <v>81</v>
      </c>
      <c r="E70" s="97" t="s">
        <v>132</v>
      </c>
    </row>
    <row r="71" spans="1:5" x14ac:dyDescent="0.25">
      <c r="A71" s="97" t="s">
        <v>44</v>
      </c>
      <c r="B71" s="116" t="s">
        <v>30</v>
      </c>
      <c r="C71" t="s">
        <v>32</v>
      </c>
      <c r="D71" t="s">
        <v>81</v>
      </c>
      <c r="E71" s="97" t="s">
        <v>134</v>
      </c>
    </row>
    <row r="72" spans="1:5" x14ac:dyDescent="0.25">
      <c r="A72" s="97" t="s">
        <v>45</v>
      </c>
      <c r="B72" s="116" t="s">
        <v>30</v>
      </c>
      <c r="C72" t="s">
        <v>32</v>
      </c>
      <c r="D72" t="s">
        <v>81</v>
      </c>
      <c r="E72" s="97" t="s">
        <v>122</v>
      </c>
    </row>
    <row r="73" spans="1:5" x14ac:dyDescent="0.25">
      <c r="A73" s="97" t="s">
        <v>48</v>
      </c>
      <c r="B73" s="116" t="s">
        <v>30</v>
      </c>
      <c r="C73" t="s">
        <v>32</v>
      </c>
      <c r="D73" t="s">
        <v>81</v>
      </c>
      <c r="E73" s="97" t="s">
        <v>133</v>
      </c>
    </row>
    <row r="74" spans="1:5" x14ac:dyDescent="0.25">
      <c r="A74" s="97" t="s">
        <v>49</v>
      </c>
      <c r="B74" s="116" t="s">
        <v>30</v>
      </c>
      <c r="C74" t="s">
        <v>32</v>
      </c>
      <c r="D74" t="s">
        <v>81</v>
      </c>
      <c r="E74" s="97" t="s">
        <v>135</v>
      </c>
    </row>
    <row r="75" spans="1:5" x14ac:dyDescent="0.25">
      <c r="A75" s="97" t="s">
        <v>66</v>
      </c>
      <c r="B75" s="116" t="s">
        <v>30</v>
      </c>
      <c r="C75" t="s">
        <v>32</v>
      </c>
      <c r="D75" t="s">
        <v>81</v>
      </c>
      <c r="E75" s="97" t="s">
        <v>122</v>
      </c>
    </row>
    <row r="76" spans="1:5" x14ac:dyDescent="0.25">
      <c r="A76" s="97" t="s">
        <v>69</v>
      </c>
      <c r="B76" s="116" t="s">
        <v>30</v>
      </c>
      <c r="C76" t="s">
        <v>32</v>
      </c>
      <c r="D76" t="s">
        <v>81</v>
      </c>
      <c r="E76" s="97" t="s">
        <v>136</v>
      </c>
    </row>
    <row r="77" spans="1:5" x14ac:dyDescent="0.25">
      <c r="A77" s="97" t="s">
        <v>35</v>
      </c>
      <c r="B77" s="116" t="s">
        <v>30</v>
      </c>
      <c r="C77" t="s">
        <v>15</v>
      </c>
      <c r="D77" t="s">
        <v>81</v>
      </c>
      <c r="E77" s="97" t="s">
        <v>137</v>
      </c>
    </row>
    <row r="78" spans="1:5" x14ac:dyDescent="0.25">
      <c r="A78" s="97" t="s">
        <v>36</v>
      </c>
      <c r="B78" s="116" t="s">
        <v>30</v>
      </c>
      <c r="C78" t="s">
        <v>15</v>
      </c>
      <c r="D78" t="s">
        <v>81</v>
      </c>
      <c r="E78" s="97" t="s">
        <v>138</v>
      </c>
    </row>
    <row r="79" spans="1:5" x14ac:dyDescent="0.25">
      <c r="A79" s="97" t="s">
        <v>37</v>
      </c>
      <c r="B79" s="116" t="s">
        <v>30</v>
      </c>
      <c r="C79" t="s">
        <v>15</v>
      </c>
      <c r="D79" t="s">
        <v>81</v>
      </c>
      <c r="E79" s="97" t="s">
        <v>139</v>
      </c>
    </row>
    <row r="80" spans="1:5" x14ac:dyDescent="0.25">
      <c r="A80" s="97" t="s">
        <v>38</v>
      </c>
      <c r="B80" s="116" t="s">
        <v>30</v>
      </c>
      <c r="C80" t="s">
        <v>15</v>
      </c>
      <c r="D80" t="s">
        <v>81</v>
      </c>
      <c r="E80" s="97" t="s">
        <v>140</v>
      </c>
    </row>
    <row r="81" spans="1:5" x14ac:dyDescent="0.25">
      <c r="A81" s="97" t="s">
        <v>39</v>
      </c>
      <c r="B81" s="116" t="s">
        <v>30</v>
      </c>
      <c r="C81" t="s">
        <v>15</v>
      </c>
      <c r="D81" t="s">
        <v>81</v>
      </c>
      <c r="E81" s="97" t="s">
        <v>141</v>
      </c>
    </row>
    <row r="82" spans="1:5" x14ac:dyDescent="0.25">
      <c r="A82" s="97" t="s">
        <v>40</v>
      </c>
      <c r="B82" s="116" t="s">
        <v>30</v>
      </c>
      <c r="C82" t="s">
        <v>15</v>
      </c>
      <c r="D82" t="s">
        <v>81</v>
      </c>
      <c r="E82" s="97" t="s">
        <v>142</v>
      </c>
    </row>
    <row r="83" spans="1:5" x14ac:dyDescent="0.25">
      <c r="A83" s="97" t="s">
        <v>41</v>
      </c>
      <c r="B83" s="116" t="s">
        <v>30</v>
      </c>
      <c r="C83" t="s">
        <v>15</v>
      </c>
      <c r="D83" t="s">
        <v>81</v>
      </c>
      <c r="E83" s="97" t="s">
        <v>129</v>
      </c>
    </row>
    <row r="84" spans="1:5" x14ac:dyDescent="0.25">
      <c r="A84" s="97" t="s">
        <v>42</v>
      </c>
      <c r="B84" s="116" t="s">
        <v>30</v>
      </c>
      <c r="C84" t="s">
        <v>15</v>
      </c>
      <c r="D84" t="s">
        <v>81</v>
      </c>
      <c r="E84" s="97" t="s">
        <v>128</v>
      </c>
    </row>
    <row r="85" spans="1:5" x14ac:dyDescent="0.25">
      <c r="A85" s="97" t="s">
        <v>43</v>
      </c>
      <c r="B85" s="116" t="s">
        <v>30</v>
      </c>
      <c r="C85" t="s">
        <v>15</v>
      </c>
      <c r="D85" t="s">
        <v>81</v>
      </c>
      <c r="E85" s="97" t="s">
        <v>143</v>
      </c>
    </row>
    <row r="86" spans="1:5" x14ac:dyDescent="0.25">
      <c r="A86" s="97" t="s">
        <v>44</v>
      </c>
      <c r="B86" s="116" t="s">
        <v>30</v>
      </c>
      <c r="C86" t="s">
        <v>15</v>
      </c>
      <c r="D86" t="s">
        <v>81</v>
      </c>
      <c r="E86" s="97" t="s">
        <v>144</v>
      </c>
    </row>
    <row r="87" spans="1:5" x14ac:dyDescent="0.25">
      <c r="A87" s="97" t="s">
        <v>45</v>
      </c>
      <c r="B87" s="116" t="s">
        <v>30</v>
      </c>
      <c r="C87" t="s">
        <v>15</v>
      </c>
      <c r="D87" t="s">
        <v>81</v>
      </c>
      <c r="E87" s="97" t="s">
        <v>145</v>
      </c>
    </row>
    <row r="88" spans="1:5" x14ac:dyDescent="0.25">
      <c r="A88" s="97" t="s">
        <v>48</v>
      </c>
      <c r="B88" s="116" t="s">
        <v>30</v>
      </c>
      <c r="C88" t="s">
        <v>15</v>
      </c>
      <c r="D88" t="s">
        <v>81</v>
      </c>
      <c r="E88" s="97" t="s">
        <v>146</v>
      </c>
    </row>
    <row r="89" spans="1:5" x14ac:dyDescent="0.25">
      <c r="A89" s="97" t="s">
        <v>49</v>
      </c>
      <c r="B89" s="116" t="s">
        <v>30</v>
      </c>
      <c r="C89" t="s">
        <v>15</v>
      </c>
      <c r="D89" t="s">
        <v>81</v>
      </c>
      <c r="E89" s="97" t="s">
        <v>119</v>
      </c>
    </row>
    <row r="90" spans="1:5" x14ac:dyDescent="0.25">
      <c r="A90" s="97" t="s">
        <v>66</v>
      </c>
      <c r="B90" s="116" t="s">
        <v>30</v>
      </c>
      <c r="C90" t="s">
        <v>15</v>
      </c>
      <c r="D90" t="s">
        <v>81</v>
      </c>
      <c r="E90" s="97" t="s">
        <v>147</v>
      </c>
    </row>
    <row r="91" spans="1:5" x14ac:dyDescent="0.25">
      <c r="A91" s="97" t="s">
        <v>69</v>
      </c>
      <c r="B91" s="116" t="s">
        <v>30</v>
      </c>
      <c r="C91" t="s">
        <v>15</v>
      </c>
      <c r="D91" t="s">
        <v>81</v>
      </c>
      <c r="E91" s="97" t="s">
        <v>148</v>
      </c>
    </row>
    <row r="92" spans="1:5" x14ac:dyDescent="0.25">
      <c r="A92" s="97" t="s">
        <v>35</v>
      </c>
      <c r="B92" s="116" t="s">
        <v>47</v>
      </c>
      <c r="C92" t="s">
        <v>11</v>
      </c>
      <c r="D92" t="s">
        <v>82</v>
      </c>
      <c r="E92" s="97" t="s">
        <v>111</v>
      </c>
    </row>
    <row r="93" spans="1:5" x14ac:dyDescent="0.25">
      <c r="A93" s="97" t="s">
        <v>36</v>
      </c>
      <c r="B93" s="116" t="s">
        <v>47</v>
      </c>
      <c r="C93" t="s">
        <v>11</v>
      </c>
      <c r="D93" t="s">
        <v>82</v>
      </c>
      <c r="E93" s="97" t="s">
        <v>94</v>
      </c>
    </row>
    <row r="94" spans="1:5" x14ac:dyDescent="0.25">
      <c r="A94" s="97" t="s">
        <v>37</v>
      </c>
      <c r="B94" s="116" t="s">
        <v>47</v>
      </c>
      <c r="C94" t="s">
        <v>11</v>
      </c>
      <c r="D94" t="s">
        <v>82</v>
      </c>
      <c r="E94" s="97" t="s">
        <v>89</v>
      </c>
    </row>
    <row r="95" spans="1:5" x14ac:dyDescent="0.25">
      <c r="A95" s="97" t="s">
        <v>38</v>
      </c>
      <c r="B95" s="116" t="s">
        <v>47</v>
      </c>
      <c r="C95" t="s">
        <v>11</v>
      </c>
      <c r="D95" t="s">
        <v>82</v>
      </c>
      <c r="E95" s="97" t="s">
        <v>183</v>
      </c>
    </row>
    <row r="96" spans="1:5" x14ac:dyDescent="0.25">
      <c r="A96" s="97" t="s">
        <v>39</v>
      </c>
      <c r="B96" s="116" t="s">
        <v>47</v>
      </c>
      <c r="C96" t="s">
        <v>11</v>
      </c>
      <c r="D96" t="s">
        <v>82</v>
      </c>
      <c r="E96" s="97" t="s">
        <v>184</v>
      </c>
    </row>
    <row r="97" spans="1:5" x14ac:dyDescent="0.25">
      <c r="A97" s="97" t="s">
        <v>40</v>
      </c>
      <c r="B97" s="116" t="s">
        <v>47</v>
      </c>
      <c r="C97" t="s">
        <v>11</v>
      </c>
      <c r="D97" t="s">
        <v>82</v>
      </c>
      <c r="E97" s="97" t="s">
        <v>185</v>
      </c>
    </row>
    <row r="98" spans="1:5" x14ac:dyDescent="0.25">
      <c r="A98" s="97" t="s">
        <v>41</v>
      </c>
      <c r="B98" s="116" t="s">
        <v>47</v>
      </c>
      <c r="C98" t="s">
        <v>11</v>
      </c>
      <c r="D98" t="s">
        <v>82</v>
      </c>
      <c r="E98" s="97" t="s">
        <v>109</v>
      </c>
    </row>
    <row r="99" spans="1:5" x14ac:dyDescent="0.25">
      <c r="A99" s="97" t="s">
        <v>42</v>
      </c>
      <c r="B99" s="116" t="s">
        <v>47</v>
      </c>
      <c r="C99" t="s">
        <v>11</v>
      </c>
      <c r="D99" t="s">
        <v>82</v>
      </c>
      <c r="E99" s="97" t="s">
        <v>107</v>
      </c>
    </row>
    <row r="100" spans="1:5" x14ac:dyDescent="0.25">
      <c r="A100" s="97" t="s">
        <v>43</v>
      </c>
      <c r="B100" s="116" t="s">
        <v>47</v>
      </c>
      <c r="C100" t="s">
        <v>11</v>
      </c>
      <c r="D100" t="s">
        <v>82</v>
      </c>
      <c r="E100" s="97" t="s">
        <v>186</v>
      </c>
    </row>
    <row r="101" spans="1:5" x14ac:dyDescent="0.25">
      <c r="A101" s="97" t="s">
        <v>44</v>
      </c>
      <c r="B101" s="116" t="s">
        <v>47</v>
      </c>
      <c r="C101" t="s">
        <v>11</v>
      </c>
      <c r="D101" t="s">
        <v>82</v>
      </c>
      <c r="E101" s="97" t="s">
        <v>97</v>
      </c>
    </row>
    <row r="102" spans="1:5" x14ac:dyDescent="0.25">
      <c r="A102" s="97" t="s">
        <v>45</v>
      </c>
      <c r="B102" s="116" t="s">
        <v>47</v>
      </c>
      <c r="C102" t="s">
        <v>11</v>
      </c>
      <c r="D102" t="s">
        <v>82</v>
      </c>
      <c r="E102" s="97" t="s">
        <v>107</v>
      </c>
    </row>
    <row r="103" spans="1:5" x14ac:dyDescent="0.25">
      <c r="A103" s="97" t="s">
        <v>48</v>
      </c>
      <c r="B103" s="116" t="s">
        <v>47</v>
      </c>
      <c r="C103" t="s">
        <v>11</v>
      </c>
      <c r="D103" t="s">
        <v>82</v>
      </c>
      <c r="E103" s="97" t="s">
        <v>114</v>
      </c>
    </row>
    <row r="104" spans="1:5" x14ac:dyDescent="0.25">
      <c r="A104" s="97" t="s">
        <v>49</v>
      </c>
      <c r="B104" s="116" t="s">
        <v>47</v>
      </c>
      <c r="C104" t="s">
        <v>11</v>
      </c>
      <c r="D104" t="s">
        <v>82</v>
      </c>
      <c r="E104" s="97" t="s">
        <v>187</v>
      </c>
    </row>
    <row r="105" spans="1:5" x14ac:dyDescent="0.25">
      <c r="A105" s="97" t="s">
        <v>66</v>
      </c>
      <c r="B105" s="116" t="s">
        <v>47</v>
      </c>
      <c r="C105" t="s">
        <v>11</v>
      </c>
      <c r="D105" t="s">
        <v>82</v>
      </c>
      <c r="E105" s="97" t="s">
        <v>100</v>
      </c>
    </row>
    <row r="106" spans="1:5" x14ac:dyDescent="0.25">
      <c r="A106" s="97" t="s">
        <v>69</v>
      </c>
      <c r="B106" s="116" t="s">
        <v>47</v>
      </c>
      <c r="C106" t="s">
        <v>11</v>
      </c>
      <c r="D106" t="s">
        <v>82</v>
      </c>
      <c r="E106" s="97" t="s">
        <v>114</v>
      </c>
    </row>
    <row r="107" spans="1:5" x14ac:dyDescent="0.25">
      <c r="A107" s="97" t="s">
        <v>35</v>
      </c>
      <c r="B107" s="116" t="s">
        <v>46</v>
      </c>
      <c r="C107" t="s">
        <v>11</v>
      </c>
      <c r="D107" t="s">
        <v>82</v>
      </c>
      <c r="E107" s="97" t="s">
        <v>200</v>
      </c>
    </row>
    <row r="108" spans="1:5" x14ac:dyDescent="0.25">
      <c r="A108" s="97" t="s">
        <v>36</v>
      </c>
      <c r="B108" s="116" t="s">
        <v>46</v>
      </c>
      <c r="C108" t="s">
        <v>11</v>
      </c>
      <c r="D108" t="s">
        <v>82</v>
      </c>
      <c r="E108" s="97" t="s">
        <v>201</v>
      </c>
    </row>
    <row r="109" spans="1:5" x14ac:dyDescent="0.25">
      <c r="A109" s="97" t="s">
        <v>37</v>
      </c>
      <c r="B109" s="116" t="s">
        <v>46</v>
      </c>
      <c r="C109" t="s">
        <v>11</v>
      </c>
      <c r="D109" t="s">
        <v>82</v>
      </c>
      <c r="E109" s="97" t="s">
        <v>136</v>
      </c>
    </row>
    <row r="110" spans="1:5" x14ac:dyDescent="0.25">
      <c r="A110" s="97" t="s">
        <v>38</v>
      </c>
      <c r="B110" s="116" t="s">
        <v>46</v>
      </c>
      <c r="C110" t="s">
        <v>11</v>
      </c>
      <c r="D110" t="s">
        <v>82</v>
      </c>
      <c r="E110" s="97" t="s">
        <v>202</v>
      </c>
    </row>
    <row r="111" spans="1:5" x14ac:dyDescent="0.25">
      <c r="A111" s="97" t="s">
        <v>39</v>
      </c>
      <c r="B111" s="116" t="s">
        <v>46</v>
      </c>
      <c r="C111" t="s">
        <v>11</v>
      </c>
      <c r="D111" t="s">
        <v>82</v>
      </c>
      <c r="E111" s="97" t="s">
        <v>203</v>
      </c>
    </row>
    <row r="112" spans="1:5" x14ac:dyDescent="0.25">
      <c r="A112" s="97" t="s">
        <v>40</v>
      </c>
      <c r="B112" s="116" t="s">
        <v>46</v>
      </c>
      <c r="C112" t="s">
        <v>11</v>
      </c>
      <c r="D112" t="s">
        <v>82</v>
      </c>
      <c r="E112" s="97" t="s">
        <v>204</v>
      </c>
    </row>
    <row r="113" spans="1:5" x14ac:dyDescent="0.25">
      <c r="A113" s="97" t="s">
        <v>41</v>
      </c>
      <c r="B113" s="116" t="s">
        <v>46</v>
      </c>
      <c r="C113" t="s">
        <v>11</v>
      </c>
      <c r="D113" t="s">
        <v>82</v>
      </c>
      <c r="E113" s="97" t="s">
        <v>205</v>
      </c>
    </row>
    <row r="114" spans="1:5" x14ac:dyDescent="0.25">
      <c r="A114" s="97" t="s">
        <v>42</v>
      </c>
      <c r="B114" s="116" t="s">
        <v>46</v>
      </c>
      <c r="C114" t="s">
        <v>11</v>
      </c>
      <c r="D114" t="s">
        <v>82</v>
      </c>
      <c r="E114" s="97" t="s">
        <v>203</v>
      </c>
    </row>
    <row r="115" spans="1:5" x14ac:dyDescent="0.25">
      <c r="A115" s="97" t="s">
        <v>43</v>
      </c>
      <c r="B115" s="116" t="s">
        <v>46</v>
      </c>
      <c r="C115" t="s">
        <v>11</v>
      </c>
      <c r="D115" t="s">
        <v>82</v>
      </c>
      <c r="E115" s="97" t="s">
        <v>206</v>
      </c>
    </row>
    <row r="116" spans="1:5" x14ac:dyDescent="0.25">
      <c r="A116" s="97" t="s">
        <v>44</v>
      </c>
      <c r="B116" s="116" t="s">
        <v>46</v>
      </c>
      <c r="C116" t="s">
        <v>11</v>
      </c>
      <c r="D116" t="s">
        <v>82</v>
      </c>
      <c r="E116" s="97" t="s">
        <v>142</v>
      </c>
    </row>
    <row r="117" spans="1:5" x14ac:dyDescent="0.25">
      <c r="A117" s="97" t="s">
        <v>45</v>
      </c>
      <c r="B117" s="116" t="s">
        <v>46</v>
      </c>
      <c r="C117" t="s">
        <v>11</v>
      </c>
      <c r="D117" t="s">
        <v>82</v>
      </c>
      <c r="E117" s="97" t="s">
        <v>207</v>
      </c>
    </row>
    <row r="118" spans="1:5" x14ac:dyDescent="0.25">
      <c r="A118" s="97" t="s">
        <v>48</v>
      </c>
      <c r="B118" s="116" t="s">
        <v>46</v>
      </c>
      <c r="C118" t="s">
        <v>11</v>
      </c>
      <c r="D118" t="s">
        <v>82</v>
      </c>
      <c r="E118" s="97" t="s">
        <v>208</v>
      </c>
    </row>
    <row r="119" spans="1:5" x14ac:dyDescent="0.25">
      <c r="A119" s="97" t="s">
        <v>49</v>
      </c>
      <c r="B119" s="116" t="s">
        <v>46</v>
      </c>
      <c r="C119" t="s">
        <v>11</v>
      </c>
      <c r="D119" t="s">
        <v>82</v>
      </c>
      <c r="E119" s="97" t="s">
        <v>209</v>
      </c>
    </row>
    <row r="120" spans="1:5" x14ac:dyDescent="0.25">
      <c r="A120" s="97" t="s">
        <v>66</v>
      </c>
      <c r="B120" s="116" t="s">
        <v>46</v>
      </c>
      <c r="C120" t="s">
        <v>11</v>
      </c>
      <c r="D120" t="s">
        <v>82</v>
      </c>
      <c r="E120" s="97" t="s">
        <v>200</v>
      </c>
    </row>
    <row r="121" spans="1:5" x14ac:dyDescent="0.25">
      <c r="A121" s="97" t="s">
        <v>69</v>
      </c>
      <c r="B121" s="116" t="s">
        <v>46</v>
      </c>
      <c r="C121" t="s">
        <v>11</v>
      </c>
      <c r="D121" t="s">
        <v>82</v>
      </c>
      <c r="E121" s="97" t="s">
        <v>210</v>
      </c>
    </row>
    <row r="122" spans="1:5" x14ac:dyDescent="0.25">
      <c r="A122" s="97"/>
      <c r="B122" s="116"/>
      <c r="E122" s="97" t="s">
        <v>256</v>
      </c>
    </row>
    <row r="123" spans="1:5" x14ac:dyDescent="0.25">
      <c r="A123" s="97"/>
      <c r="B123" s="116"/>
      <c r="E123" s="97" t="s">
        <v>256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E3317-E1B4-4867-949C-F38140DDC5A3}">
  <sheetPr codeName="Tabelle12"/>
  <dimension ref="A1:E6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t="s">
        <v>35</v>
      </c>
      <c r="B2" t="s">
        <v>31</v>
      </c>
      <c r="C2" t="s">
        <v>11</v>
      </c>
      <c r="D2" t="s">
        <v>34</v>
      </c>
      <c r="E2" s="97" t="s">
        <v>149</v>
      </c>
    </row>
    <row r="3" spans="1:5" x14ac:dyDescent="0.25">
      <c r="A3" t="s">
        <v>36</v>
      </c>
      <c r="B3" t="s">
        <v>31</v>
      </c>
      <c r="C3" t="s">
        <v>11</v>
      </c>
      <c r="D3" t="s">
        <v>34</v>
      </c>
      <c r="E3" s="97" t="s">
        <v>149</v>
      </c>
    </row>
    <row r="4" spans="1:5" x14ac:dyDescent="0.25">
      <c r="A4" t="s">
        <v>37</v>
      </c>
      <c r="B4" t="s">
        <v>31</v>
      </c>
      <c r="C4" t="s">
        <v>11</v>
      </c>
      <c r="D4" t="s">
        <v>34</v>
      </c>
      <c r="E4" s="97" t="s">
        <v>150</v>
      </c>
    </row>
    <row r="5" spans="1:5" x14ac:dyDescent="0.25">
      <c r="A5" t="s">
        <v>38</v>
      </c>
      <c r="B5" t="s">
        <v>31</v>
      </c>
      <c r="C5" t="s">
        <v>11</v>
      </c>
      <c r="D5" t="s">
        <v>34</v>
      </c>
      <c r="E5" s="97" t="s">
        <v>151</v>
      </c>
    </row>
    <row r="6" spans="1:5" x14ac:dyDescent="0.25">
      <c r="A6" t="s">
        <v>39</v>
      </c>
      <c r="B6" t="s">
        <v>31</v>
      </c>
      <c r="C6" t="s">
        <v>11</v>
      </c>
      <c r="D6" t="s">
        <v>34</v>
      </c>
      <c r="E6" s="97" t="s">
        <v>152</v>
      </c>
    </row>
    <row r="7" spans="1:5" x14ac:dyDescent="0.25">
      <c r="A7" t="s">
        <v>40</v>
      </c>
      <c r="B7" t="s">
        <v>31</v>
      </c>
      <c r="C7" t="s">
        <v>11</v>
      </c>
      <c r="D7" t="s">
        <v>34</v>
      </c>
      <c r="E7" s="97" t="s">
        <v>153</v>
      </c>
    </row>
    <row r="8" spans="1:5" x14ac:dyDescent="0.25">
      <c r="A8" t="s">
        <v>41</v>
      </c>
      <c r="B8" t="s">
        <v>31</v>
      </c>
      <c r="C8" t="s">
        <v>11</v>
      </c>
      <c r="D8" t="s">
        <v>34</v>
      </c>
      <c r="E8" s="97" t="s">
        <v>154</v>
      </c>
    </row>
    <row r="9" spans="1:5" x14ac:dyDescent="0.25">
      <c r="A9" t="s">
        <v>42</v>
      </c>
      <c r="B9" t="s">
        <v>31</v>
      </c>
      <c r="C9" t="s">
        <v>11</v>
      </c>
      <c r="D9" t="s">
        <v>34</v>
      </c>
      <c r="E9" s="97" t="s">
        <v>155</v>
      </c>
    </row>
    <row r="10" spans="1:5" x14ac:dyDescent="0.25">
      <c r="A10" t="s">
        <v>43</v>
      </c>
      <c r="B10" t="s">
        <v>31</v>
      </c>
      <c r="C10" t="s">
        <v>11</v>
      </c>
      <c r="D10" t="s">
        <v>34</v>
      </c>
      <c r="E10" s="97" t="s">
        <v>156</v>
      </c>
    </row>
    <row r="11" spans="1:5" x14ac:dyDescent="0.25">
      <c r="A11" t="s">
        <v>44</v>
      </c>
      <c r="B11" t="s">
        <v>31</v>
      </c>
      <c r="C11" t="s">
        <v>11</v>
      </c>
      <c r="D11" t="s">
        <v>34</v>
      </c>
      <c r="E11" s="97" t="s">
        <v>149</v>
      </c>
    </row>
    <row r="12" spans="1:5" x14ac:dyDescent="0.25">
      <c r="A12" t="s">
        <v>45</v>
      </c>
      <c r="B12" t="s">
        <v>31</v>
      </c>
      <c r="C12" t="s">
        <v>11</v>
      </c>
      <c r="D12" t="s">
        <v>34</v>
      </c>
      <c r="E12" s="97" t="s">
        <v>157</v>
      </c>
    </row>
    <row r="13" spans="1:5" x14ac:dyDescent="0.25">
      <c r="A13" t="s">
        <v>48</v>
      </c>
      <c r="B13" t="s">
        <v>31</v>
      </c>
      <c r="C13" t="s">
        <v>11</v>
      </c>
      <c r="D13" t="s">
        <v>34</v>
      </c>
      <c r="E13" s="97" t="s">
        <v>152</v>
      </c>
    </row>
    <row r="14" spans="1:5" x14ac:dyDescent="0.25">
      <c r="A14" t="s">
        <v>49</v>
      </c>
      <c r="B14" t="s">
        <v>31</v>
      </c>
      <c r="C14" t="s">
        <v>11</v>
      </c>
      <c r="D14" t="s">
        <v>34</v>
      </c>
      <c r="E14" s="97" t="s">
        <v>153</v>
      </c>
    </row>
    <row r="15" spans="1:5" x14ac:dyDescent="0.25">
      <c r="A15" t="s">
        <v>66</v>
      </c>
      <c r="B15" t="s">
        <v>31</v>
      </c>
      <c r="C15" t="s">
        <v>11</v>
      </c>
      <c r="D15" t="s">
        <v>34</v>
      </c>
      <c r="E15" s="97" t="s">
        <v>150</v>
      </c>
    </row>
    <row r="16" spans="1:5" x14ac:dyDescent="0.25">
      <c r="A16" t="s">
        <v>69</v>
      </c>
      <c r="B16" t="s">
        <v>31</v>
      </c>
      <c r="C16" t="s">
        <v>11</v>
      </c>
      <c r="D16" t="s">
        <v>34</v>
      </c>
      <c r="E16" s="97" t="s">
        <v>158</v>
      </c>
    </row>
    <row r="17" spans="1:5" x14ac:dyDescent="0.25">
      <c r="A17" t="s">
        <v>35</v>
      </c>
      <c r="B17" t="s">
        <v>31</v>
      </c>
      <c r="C17" t="s">
        <v>32</v>
      </c>
      <c r="D17" t="s">
        <v>34</v>
      </c>
      <c r="E17" s="97" t="s">
        <v>159</v>
      </c>
    </row>
    <row r="18" spans="1:5" x14ac:dyDescent="0.25">
      <c r="A18" t="s">
        <v>36</v>
      </c>
      <c r="B18" t="s">
        <v>31</v>
      </c>
      <c r="C18" t="s">
        <v>32</v>
      </c>
      <c r="D18" t="s">
        <v>34</v>
      </c>
      <c r="E18" s="97" t="s">
        <v>160</v>
      </c>
    </row>
    <row r="19" spans="1:5" x14ac:dyDescent="0.25">
      <c r="A19" t="s">
        <v>37</v>
      </c>
      <c r="B19" t="s">
        <v>31</v>
      </c>
      <c r="C19" t="s">
        <v>32</v>
      </c>
      <c r="D19" t="s">
        <v>34</v>
      </c>
      <c r="E19" s="97" t="s">
        <v>160</v>
      </c>
    </row>
    <row r="20" spans="1:5" x14ac:dyDescent="0.25">
      <c r="A20" t="s">
        <v>38</v>
      </c>
      <c r="B20" t="s">
        <v>31</v>
      </c>
      <c r="C20" t="s">
        <v>32</v>
      </c>
      <c r="D20" t="s">
        <v>34</v>
      </c>
      <c r="E20" s="97" t="s">
        <v>161</v>
      </c>
    </row>
    <row r="21" spans="1:5" x14ac:dyDescent="0.25">
      <c r="A21" t="s">
        <v>39</v>
      </c>
      <c r="B21" t="s">
        <v>31</v>
      </c>
      <c r="C21" t="s">
        <v>32</v>
      </c>
      <c r="D21" t="s">
        <v>34</v>
      </c>
      <c r="E21" s="97" t="s">
        <v>84</v>
      </c>
    </row>
    <row r="22" spans="1:5" x14ac:dyDescent="0.25">
      <c r="A22" t="s">
        <v>40</v>
      </c>
      <c r="B22" t="s">
        <v>31</v>
      </c>
      <c r="C22" t="s">
        <v>32</v>
      </c>
      <c r="D22" t="s">
        <v>34</v>
      </c>
      <c r="E22" s="97" t="s">
        <v>162</v>
      </c>
    </row>
    <row r="23" spans="1:5" x14ac:dyDescent="0.25">
      <c r="A23" t="s">
        <v>41</v>
      </c>
      <c r="B23" t="s">
        <v>31</v>
      </c>
      <c r="C23" t="s">
        <v>32</v>
      </c>
      <c r="D23" t="s">
        <v>34</v>
      </c>
      <c r="E23" s="97" t="s">
        <v>163</v>
      </c>
    </row>
    <row r="24" spans="1:5" x14ac:dyDescent="0.25">
      <c r="A24" t="s">
        <v>42</v>
      </c>
      <c r="B24" t="s">
        <v>31</v>
      </c>
      <c r="C24" t="s">
        <v>32</v>
      </c>
      <c r="D24" t="s">
        <v>34</v>
      </c>
      <c r="E24" s="97" t="s">
        <v>163</v>
      </c>
    </row>
    <row r="25" spans="1:5" x14ac:dyDescent="0.25">
      <c r="A25" t="s">
        <v>43</v>
      </c>
      <c r="B25" t="s">
        <v>31</v>
      </c>
      <c r="C25" t="s">
        <v>32</v>
      </c>
      <c r="D25" t="s">
        <v>34</v>
      </c>
      <c r="E25" s="97" t="s">
        <v>164</v>
      </c>
    </row>
    <row r="26" spans="1:5" x14ac:dyDescent="0.25">
      <c r="A26" t="s">
        <v>44</v>
      </c>
      <c r="B26" t="s">
        <v>31</v>
      </c>
      <c r="C26" t="s">
        <v>32</v>
      </c>
      <c r="D26" t="s">
        <v>34</v>
      </c>
      <c r="E26" s="97" t="s">
        <v>165</v>
      </c>
    </row>
    <row r="27" spans="1:5" x14ac:dyDescent="0.25">
      <c r="A27" t="s">
        <v>45</v>
      </c>
      <c r="B27" t="s">
        <v>31</v>
      </c>
      <c r="C27" t="s">
        <v>32</v>
      </c>
      <c r="D27" t="s">
        <v>34</v>
      </c>
      <c r="E27" s="97" t="s">
        <v>152</v>
      </c>
    </row>
    <row r="28" spans="1:5" x14ac:dyDescent="0.25">
      <c r="A28" t="s">
        <v>48</v>
      </c>
      <c r="B28" t="s">
        <v>31</v>
      </c>
      <c r="C28" t="s">
        <v>32</v>
      </c>
      <c r="D28" t="s">
        <v>34</v>
      </c>
      <c r="E28" s="97" t="s">
        <v>166</v>
      </c>
    </row>
    <row r="29" spans="1:5" x14ac:dyDescent="0.25">
      <c r="A29" t="s">
        <v>49</v>
      </c>
      <c r="B29" t="s">
        <v>31</v>
      </c>
      <c r="C29" t="s">
        <v>32</v>
      </c>
      <c r="D29" t="s">
        <v>34</v>
      </c>
      <c r="E29" s="97" t="s">
        <v>167</v>
      </c>
    </row>
    <row r="30" spans="1:5" x14ac:dyDescent="0.25">
      <c r="A30" t="s">
        <v>66</v>
      </c>
      <c r="B30" t="s">
        <v>31</v>
      </c>
      <c r="C30" t="s">
        <v>32</v>
      </c>
      <c r="D30" t="s">
        <v>34</v>
      </c>
      <c r="E30" s="97" t="s">
        <v>168</v>
      </c>
    </row>
    <row r="31" spans="1:5" x14ac:dyDescent="0.25">
      <c r="A31" t="s">
        <v>69</v>
      </c>
      <c r="B31" t="s">
        <v>31</v>
      </c>
      <c r="C31" t="s">
        <v>32</v>
      </c>
      <c r="D31" t="s">
        <v>34</v>
      </c>
      <c r="E31" s="97" t="s">
        <v>169</v>
      </c>
    </row>
    <row r="32" spans="1:5" x14ac:dyDescent="0.25">
      <c r="A32" t="s">
        <v>35</v>
      </c>
      <c r="B32" t="s">
        <v>31</v>
      </c>
      <c r="C32" t="s">
        <v>15</v>
      </c>
      <c r="D32" t="s">
        <v>34</v>
      </c>
      <c r="E32" s="97" t="s">
        <v>170</v>
      </c>
    </row>
    <row r="33" spans="1:5" x14ac:dyDescent="0.25">
      <c r="A33" t="s">
        <v>36</v>
      </c>
      <c r="B33" t="s">
        <v>31</v>
      </c>
      <c r="C33" t="s">
        <v>15</v>
      </c>
      <c r="D33" t="s">
        <v>34</v>
      </c>
      <c r="E33" s="97" t="s">
        <v>171</v>
      </c>
    </row>
    <row r="34" spans="1:5" x14ac:dyDescent="0.25">
      <c r="A34" t="s">
        <v>37</v>
      </c>
      <c r="B34" t="s">
        <v>31</v>
      </c>
      <c r="C34" t="s">
        <v>15</v>
      </c>
      <c r="D34" t="s">
        <v>34</v>
      </c>
      <c r="E34" s="97" t="s">
        <v>172</v>
      </c>
    </row>
    <row r="35" spans="1:5" x14ac:dyDescent="0.25">
      <c r="A35" t="s">
        <v>38</v>
      </c>
      <c r="B35" t="s">
        <v>31</v>
      </c>
      <c r="C35" t="s">
        <v>15</v>
      </c>
      <c r="D35" t="s">
        <v>34</v>
      </c>
      <c r="E35" s="97" t="s">
        <v>85</v>
      </c>
    </row>
    <row r="36" spans="1:5" x14ac:dyDescent="0.25">
      <c r="A36" t="s">
        <v>39</v>
      </c>
      <c r="B36" t="s">
        <v>31</v>
      </c>
      <c r="C36" t="s">
        <v>15</v>
      </c>
      <c r="D36" t="s">
        <v>34</v>
      </c>
      <c r="E36" s="97" t="s">
        <v>173</v>
      </c>
    </row>
    <row r="37" spans="1:5" x14ac:dyDescent="0.25">
      <c r="A37" t="s">
        <v>40</v>
      </c>
      <c r="B37" t="s">
        <v>31</v>
      </c>
      <c r="C37" t="s">
        <v>15</v>
      </c>
      <c r="D37" t="s">
        <v>34</v>
      </c>
      <c r="E37" s="97" t="s">
        <v>174</v>
      </c>
    </row>
    <row r="38" spans="1:5" x14ac:dyDescent="0.25">
      <c r="A38" t="s">
        <v>41</v>
      </c>
      <c r="B38" t="s">
        <v>31</v>
      </c>
      <c r="C38" t="s">
        <v>15</v>
      </c>
      <c r="D38" t="s">
        <v>34</v>
      </c>
      <c r="E38" s="97" t="s">
        <v>175</v>
      </c>
    </row>
    <row r="39" spans="1:5" x14ac:dyDescent="0.25">
      <c r="A39" t="s">
        <v>42</v>
      </c>
      <c r="B39" t="s">
        <v>31</v>
      </c>
      <c r="C39" t="s">
        <v>15</v>
      </c>
      <c r="D39" t="s">
        <v>34</v>
      </c>
      <c r="E39" s="97" t="s">
        <v>176</v>
      </c>
    </row>
    <row r="40" spans="1:5" x14ac:dyDescent="0.25">
      <c r="A40" t="s">
        <v>43</v>
      </c>
      <c r="B40" t="s">
        <v>31</v>
      </c>
      <c r="C40" t="s">
        <v>15</v>
      </c>
      <c r="D40" t="s">
        <v>34</v>
      </c>
      <c r="E40" s="97" t="s">
        <v>177</v>
      </c>
    </row>
    <row r="41" spans="1:5" x14ac:dyDescent="0.25">
      <c r="A41" t="s">
        <v>44</v>
      </c>
      <c r="B41" t="s">
        <v>31</v>
      </c>
      <c r="C41" t="s">
        <v>15</v>
      </c>
      <c r="D41" t="s">
        <v>34</v>
      </c>
      <c r="E41" s="97" t="s">
        <v>178</v>
      </c>
    </row>
    <row r="42" spans="1:5" x14ac:dyDescent="0.25">
      <c r="A42" t="s">
        <v>45</v>
      </c>
      <c r="B42" t="s">
        <v>31</v>
      </c>
      <c r="C42" t="s">
        <v>15</v>
      </c>
      <c r="D42" t="s">
        <v>34</v>
      </c>
      <c r="E42" s="97" t="s">
        <v>179</v>
      </c>
    </row>
    <row r="43" spans="1:5" x14ac:dyDescent="0.25">
      <c r="A43" t="s">
        <v>48</v>
      </c>
      <c r="B43" t="s">
        <v>31</v>
      </c>
      <c r="C43" t="s">
        <v>15</v>
      </c>
      <c r="D43" t="s">
        <v>34</v>
      </c>
      <c r="E43" s="97" t="s">
        <v>180</v>
      </c>
    </row>
    <row r="44" spans="1:5" x14ac:dyDescent="0.25">
      <c r="A44" t="s">
        <v>49</v>
      </c>
      <c r="B44" t="s">
        <v>31</v>
      </c>
      <c r="C44" t="s">
        <v>15</v>
      </c>
      <c r="D44" t="s">
        <v>34</v>
      </c>
      <c r="E44" s="97" t="s">
        <v>181</v>
      </c>
    </row>
    <row r="45" spans="1:5" x14ac:dyDescent="0.25">
      <c r="A45" t="s">
        <v>66</v>
      </c>
      <c r="B45" t="s">
        <v>31</v>
      </c>
      <c r="C45" t="s">
        <v>15</v>
      </c>
      <c r="D45" t="s">
        <v>34</v>
      </c>
      <c r="E45" s="97" t="s">
        <v>182</v>
      </c>
    </row>
    <row r="46" spans="1:5" x14ac:dyDescent="0.25">
      <c r="A46" t="s">
        <v>69</v>
      </c>
      <c r="B46" t="s">
        <v>31</v>
      </c>
      <c r="C46" t="s">
        <v>15</v>
      </c>
      <c r="D46" t="s">
        <v>34</v>
      </c>
      <c r="E46" s="97" t="s">
        <v>178</v>
      </c>
    </row>
    <row r="47" spans="1:5" x14ac:dyDescent="0.25">
      <c r="A47" t="s">
        <v>35</v>
      </c>
      <c r="B47" t="s">
        <v>83</v>
      </c>
      <c r="C47" t="s">
        <v>11</v>
      </c>
      <c r="D47" t="s">
        <v>34</v>
      </c>
      <c r="E47" s="97" t="s">
        <v>86</v>
      </c>
    </row>
    <row r="48" spans="1:5" x14ac:dyDescent="0.25">
      <c r="A48" t="s">
        <v>36</v>
      </c>
      <c r="B48" t="s">
        <v>83</v>
      </c>
      <c r="C48" t="s">
        <v>11</v>
      </c>
      <c r="D48" t="s">
        <v>34</v>
      </c>
      <c r="E48" s="97" t="s">
        <v>232</v>
      </c>
    </row>
    <row r="49" spans="1:5" x14ac:dyDescent="0.25">
      <c r="A49" t="s">
        <v>37</v>
      </c>
      <c r="B49" t="s">
        <v>83</v>
      </c>
      <c r="C49" t="s">
        <v>11</v>
      </c>
      <c r="D49" t="s">
        <v>34</v>
      </c>
      <c r="E49" s="97" t="s">
        <v>233</v>
      </c>
    </row>
    <row r="50" spans="1:5" x14ac:dyDescent="0.25">
      <c r="A50" t="s">
        <v>38</v>
      </c>
      <c r="B50" t="s">
        <v>83</v>
      </c>
      <c r="C50" t="s">
        <v>11</v>
      </c>
      <c r="D50" t="s">
        <v>34</v>
      </c>
      <c r="E50" s="97" t="s">
        <v>87</v>
      </c>
    </row>
    <row r="51" spans="1:5" x14ac:dyDescent="0.25">
      <c r="A51" t="s">
        <v>39</v>
      </c>
      <c r="B51" t="s">
        <v>83</v>
      </c>
      <c r="C51" t="s">
        <v>11</v>
      </c>
      <c r="D51" t="s">
        <v>34</v>
      </c>
      <c r="E51" s="97" t="s">
        <v>234</v>
      </c>
    </row>
    <row r="52" spans="1:5" x14ac:dyDescent="0.25">
      <c r="A52" t="s">
        <v>40</v>
      </c>
      <c r="B52" t="s">
        <v>83</v>
      </c>
      <c r="C52" t="s">
        <v>11</v>
      </c>
      <c r="D52" t="s">
        <v>34</v>
      </c>
      <c r="E52" s="97" t="s">
        <v>235</v>
      </c>
    </row>
    <row r="53" spans="1:5" x14ac:dyDescent="0.25">
      <c r="A53" t="s">
        <v>41</v>
      </c>
      <c r="B53" t="s">
        <v>83</v>
      </c>
      <c r="C53" t="s">
        <v>11</v>
      </c>
      <c r="D53" t="s">
        <v>34</v>
      </c>
      <c r="E53" s="97" t="s">
        <v>236</v>
      </c>
    </row>
    <row r="54" spans="1:5" x14ac:dyDescent="0.25">
      <c r="A54" t="s">
        <v>42</v>
      </c>
      <c r="B54" t="s">
        <v>83</v>
      </c>
      <c r="C54" t="s">
        <v>11</v>
      </c>
      <c r="D54" t="s">
        <v>34</v>
      </c>
      <c r="E54" s="97" t="s">
        <v>237</v>
      </c>
    </row>
    <row r="55" spans="1:5" x14ac:dyDescent="0.25">
      <c r="A55" t="s">
        <v>43</v>
      </c>
      <c r="B55" t="s">
        <v>83</v>
      </c>
      <c r="C55" t="s">
        <v>11</v>
      </c>
      <c r="D55" t="s">
        <v>34</v>
      </c>
      <c r="E55" s="97" t="s">
        <v>238</v>
      </c>
    </row>
    <row r="56" spans="1:5" x14ac:dyDescent="0.25">
      <c r="A56" t="s">
        <v>44</v>
      </c>
      <c r="B56" t="s">
        <v>83</v>
      </c>
      <c r="C56" t="s">
        <v>11</v>
      </c>
      <c r="D56" t="s">
        <v>34</v>
      </c>
      <c r="E56" s="97" t="s">
        <v>239</v>
      </c>
    </row>
    <row r="57" spans="1:5" x14ac:dyDescent="0.25">
      <c r="A57" t="s">
        <v>45</v>
      </c>
      <c r="B57" t="s">
        <v>83</v>
      </c>
      <c r="C57" t="s">
        <v>11</v>
      </c>
      <c r="D57" t="s">
        <v>34</v>
      </c>
      <c r="E57" s="97" t="s">
        <v>240</v>
      </c>
    </row>
    <row r="58" spans="1:5" x14ac:dyDescent="0.25">
      <c r="A58" t="s">
        <v>48</v>
      </c>
      <c r="B58" t="s">
        <v>83</v>
      </c>
      <c r="C58" t="s">
        <v>11</v>
      </c>
      <c r="D58" t="s">
        <v>34</v>
      </c>
      <c r="E58" s="97" t="s">
        <v>166</v>
      </c>
    </row>
    <row r="59" spans="1:5" x14ac:dyDescent="0.25">
      <c r="A59" t="s">
        <v>49</v>
      </c>
      <c r="B59" t="s">
        <v>83</v>
      </c>
      <c r="C59" t="s">
        <v>11</v>
      </c>
      <c r="D59" t="s">
        <v>34</v>
      </c>
      <c r="E59" s="97" t="s">
        <v>241</v>
      </c>
    </row>
    <row r="60" spans="1:5" x14ac:dyDescent="0.25">
      <c r="A60" t="s">
        <v>66</v>
      </c>
      <c r="B60" t="s">
        <v>83</v>
      </c>
      <c r="C60" t="s">
        <v>11</v>
      </c>
      <c r="D60" t="s">
        <v>34</v>
      </c>
      <c r="E60" s="97" t="s">
        <v>242</v>
      </c>
    </row>
    <row r="61" spans="1:5" x14ac:dyDescent="0.25">
      <c r="A61" t="s">
        <v>69</v>
      </c>
      <c r="B61" t="s">
        <v>83</v>
      </c>
      <c r="C61" t="s">
        <v>11</v>
      </c>
      <c r="D61" t="s">
        <v>34</v>
      </c>
      <c r="E61" s="97" t="s">
        <v>243</v>
      </c>
    </row>
    <row r="62" spans="1:5" x14ac:dyDescent="0.25">
      <c r="E62" s="97" t="s">
        <v>256</v>
      </c>
    </row>
    <row r="63" spans="1:5" x14ac:dyDescent="0.25">
      <c r="E63" s="97" t="s">
        <v>256</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G8:P22"/>
  <sheetViews>
    <sheetView workbookViewId="0"/>
  </sheetViews>
  <sheetFormatPr baseColWidth="10" defaultRowHeight="15" x14ac:dyDescent="0.25"/>
  <sheetData>
    <row r="8" spans="7:16" x14ac:dyDescent="0.25">
      <c r="G8" s="129" t="s">
        <v>28</v>
      </c>
      <c r="H8" s="132" t="s">
        <v>29</v>
      </c>
      <c r="I8" s="125"/>
      <c r="J8" s="125"/>
      <c r="K8" s="125" t="s">
        <v>30</v>
      </c>
      <c r="L8" s="125"/>
      <c r="M8" s="125"/>
      <c r="N8" s="125" t="s">
        <v>31</v>
      </c>
      <c r="O8" s="125"/>
      <c r="P8" s="126"/>
    </row>
    <row r="9" spans="7:16" x14ac:dyDescent="0.25">
      <c r="G9" s="130"/>
      <c r="H9" s="37" t="s">
        <v>11</v>
      </c>
      <c r="I9" s="37" t="s">
        <v>32</v>
      </c>
      <c r="J9" s="37" t="s">
        <v>15</v>
      </c>
      <c r="K9" s="37" t="s">
        <v>11</v>
      </c>
      <c r="L9" s="37" t="s">
        <v>14</v>
      </c>
      <c r="M9" s="37" t="s">
        <v>15</v>
      </c>
      <c r="N9" s="37" t="s">
        <v>11</v>
      </c>
      <c r="O9" s="37" t="s">
        <v>32</v>
      </c>
      <c r="P9" s="38" t="s">
        <v>15</v>
      </c>
    </row>
    <row r="10" spans="7:16" x14ac:dyDescent="0.25">
      <c r="G10" s="131"/>
      <c r="H10" s="135" t="s">
        <v>33</v>
      </c>
      <c r="I10" s="127"/>
      <c r="J10" s="127"/>
      <c r="K10" s="127"/>
      <c r="L10" s="127"/>
      <c r="M10" s="127"/>
      <c r="N10" s="127" t="s">
        <v>34</v>
      </c>
      <c r="O10" s="127"/>
      <c r="P10" s="128"/>
    </row>
    <row r="11" spans="7:16" x14ac:dyDescent="0.25">
      <c r="G11" s="39">
        <v>1</v>
      </c>
      <c r="H11" s="39">
        <v>2</v>
      </c>
      <c r="I11" s="39">
        <v>3</v>
      </c>
      <c r="J11" s="39">
        <v>4</v>
      </c>
      <c r="K11" s="39">
        <v>5</v>
      </c>
      <c r="L11" s="39">
        <v>6</v>
      </c>
      <c r="M11" s="39">
        <v>7</v>
      </c>
      <c r="N11" s="39">
        <v>8</v>
      </c>
      <c r="O11" s="39">
        <v>9</v>
      </c>
      <c r="P11" s="39">
        <v>10</v>
      </c>
    </row>
    <row r="12" spans="7:16" x14ac:dyDescent="0.25">
      <c r="G12" s="40" t="s">
        <v>35</v>
      </c>
      <c r="H12" s="41">
        <v>8.5</v>
      </c>
      <c r="I12" s="41">
        <v>7.8</v>
      </c>
      <c r="J12" s="41">
        <v>9.1999999999999993</v>
      </c>
      <c r="K12" s="41">
        <v>20.8</v>
      </c>
      <c r="L12" s="41">
        <v>18.5</v>
      </c>
      <c r="M12" s="41">
        <v>24.1</v>
      </c>
      <c r="N12" s="42">
        <v>12.3</v>
      </c>
      <c r="O12" s="42">
        <v>10.7</v>
      </c>
      <c r="P12" s="42">
        <v>14.900000000000002</v>
      </c>
    </row>
    <row r="13" spans="7:16" x14ac:dyDescent="0.25">
      <c r="G13" s="40" t="s">
        <v>36</v>
      </c>
      <c r="H13" s="41">
        <v>7.4</v>
      </c>
      <c r="I13" s="41">
        <v>6.9</v>
      </c>
      <c r="J13" s="41">
        <v>7.9</v>
      </c>
      <c r="K13" s="41">
        <v>19.7</v>
      </c>
      <c r="L13" s="41">
        <v>17.2</v>
      </c>
      <c r="M13" s="41">
        <v>23.3</v>
      </c>
      <c r="N13" s="42">
        <v>12.299999999999999</v>
      </c>
      <c r="O13" s="42">
        <v>10.299999999999999</v>
      </c>
      <c r="P13" s="42">
        <v>15.4</v>
      </c>
    </row>
    <row r="14" spans="7:16" x14ac:dyDescent="0.25">
      <c r="G14" s="40" t="s">
        <v>37</v>
      </c>
      <c r="H14" s="41">
        <v>7.6</v>
      </c>
      <c r="I14" s="41">
        <v>7.7</v>
      </c>
      <c r="J14" s="41">
        <v>7.5</v>
      </c>
      <c r="K14" s="41">
        <v>19.399999999999999</v>
      </c>
      <c r="L14" s="41">
        <v>18</v>
      </c>
      <c r="M14" s="41">
        <v>21.3</v>
      </c>
      <c r="N14" s="42">
        <v>11.799999999999999</v>
      </c>
      <c r="O14" s="42">
        <v>10.3</v>
      </c>
      <c r="P14" s="42">
        <v>13.8</v>
      </c>
    </row>
    <row r="15" spans="7:16" x14ac:dyDescent="0.25">
      <c r="G15" s="40" t="s">
        <v>38</v>
      </c>
      <c r="H15" s="41">
        <v>7.3</v>
      </c>
      <c r="I15" s="41">
        <v>7.3</v>
      </c>
      <c r="J15" s="41">
        <v>7.3</v>
      </c>
      <c r="K15" s="41">
        <v>18.2</v>
      </c>
      <c r="L15" s="41">
        <v>16.600000000000001</v>
      </c>
      <c r="M15" s="41">
        <v>20.3</v>
      </c>
      <c r="N15" s="42">
        <v>10.899999999999999</v>
      </c>
      <c r="O15" s="42">
        <v>9.3000000000000007</v>
      </c>
      <c r="P15" s="42">
        <v>13</v>
      </c>
    </row>
    <row r="16" spans="7:16" x14ac:dyDescent="0.25">
      <c r="G16" s="40" t="s">
        <v>39</v>
      </c>
      <c r="H16" s="41">
        <v>6.7</v>
      </c>
      <c r="I16" s="41">
        <v>6.5</v>
      </c>
      <c r="J16" s="41">
        <v>6.9</v>
      </c>
      <c r="K16" s="41">
        <v>17.2</v>
      </c>
      <c r="L16" s="41">
        <v>15.5</v>
      </c>
      <c r="M16" s="41">
        <v>19.5</v>
      </c>
      <c r="N16" s="42">
        <v>10.5</v>
      </c>
      <c r="O16" s="42">
        <v>9</v>
      </c>
      <c r="P16" s="42">
        <v>12.6</v>
      </c>
    </row>
    <row r="17" spans="7:16" x14ac:dyDescent="0.25">
      <c r="G17" s="40" t="s">
        <v>40</v>
      </c>
      <c r="H17" s="43">
        <v>6.2</v>
      </c>
      <c r="I17" s="43">
        <v>6.1</v>
      </c>
      <c r="J17" s="43">
        <v>6.4</v>
      </c>
      <c r="K17" s="43">
        <v>16</v>
      </c>
      <c r="L17" s="43">
        <v>14.3</v>
      </c>
      <c r="M17" s="43">
        <v>18.3</v>
      </c>
      <c r="N17" s="44">
        <v>9.8000000000000007</v>
      </c>
      <c r="O17" s="44">
        <v>8.2000000000000011</v>
      </c>
      <c r="P17" s="44">
        <v>11.9</v>
      </c>
    </row>
    <row r="18" spans="7:16" x14ac:dyDescent="0.25">
      <c r="G18" s="40" t="s">
        <v>41</v>
      </c>
      <c r="H18" s="43">
        <v>6.3</v>
      </c>
      <c r="I18" s="43">
        <v>6.3</v>
      </c>
      <c r="J18" s="43">
        <v>6.4</v>
      </c>
      <c r="K18" s="43">
        <v>15.7</v>
      </c>
      <c r="L18" s="43">
        <v>14.1</v>
      </c>
      <c r="M18" s="43">
        <v>18</v>
      </c>
      <c r="N18" s="44">
        <v>9.3999999999999986</v>
      </c>
      <c r="O18" s="44">
        <v>7.8</v>
      </c>
      <c r="P18" s="44">
        <v>11.6</v>
      </c>
    </row>
    <row r="19" spans="7:16" x14ac:dyDescent="0.25">
      <c r="G19" s="40" t="s">
        <v>42</v>
      </c>
      <c r="H19" s="43">
        <v>6.3</v>
      </c>
      <c r="I19" s="43">
        <v>6.3</v>
      </c>
      <c r="J19" s="43">
        <v>6.3</v>
      </c>
      <c r="K19" s="43">
        <v>16</v>
      </c>
      <c r="L19" s="43">
        <v>14.1</v>
      </c>
      <c r="M19" s="43">
        <v>18.5</v>
      </c>
      <c r="N19" s="44">
        <v>9.6999999999999993</v>
      </c>
      <c r="O19" s="44">
        <v>7.8</v>
      </c>
      <c r="P19" s="44">
        <v>12.2</v>
      </c>
    </row>
    <row r="20" spans="7:16" x14ac:dyDescent="0.25">
      <c r="G20" s="40" t="s">
        <v>43</v>
      </c>
      <c r="H20" s="43">
        <v>5.9</v>
      </c>
      <c r="I20" s="43">
        <v>5.9</v>
      </c>
      <c r="J20" s="43">
        <v>5.8</v>
      </c>
      <c r="K20" s="43">
        <v>16.3</v>
      </c>
      <c r="L20" s="43">
        <v>14.3</v>
      </c>
      <c r="M20" s="43">
        <v>19.100000000000001</v>
      </c>
      <c r="N20" s="44">
        <v>10.4</v>
      </c>
      <c r="O20" s="44">
        <v>8.4</v>
      </c>
      <c r="P20" s="44">
        <v>13.3</v>
      </c>
    </row>
    <row r="21" spans="7:16" x14ac:dyDescent="0.25">
      <c r="G21" s="40" t="s">
        <v>44</v>
      </c>
      <c r="H21" s="43">
        <v>5.8</v>
      </c>
      <c r="I21" s="43">
        <v>6</v>
      </c>
      <c r="J21" s="43">
        <v>5.6</v>
      </c>
      <c r="K21" s="43">
        <v>18.100000000000001</v>
      </c>
      <c r="L21" s="43">
        <v>17.3</v>
      </c>
      <c r="M21" s="43">
        <v>19.3</v>
      </c>
      <c r="N21" s="44">
        <v>12.3</v>
      </c>
      <c r="O21" s="44">
        <v>11.3</v>
      </c>
      <c r="P21" s="44">
        <v>13.700000000000001</v>
      </c>
    </row>
    <row r="22" spans="7:16" x14ac:dyDescent="0.25">
      <c r="G22" s="40" t="s">
        <v>45</v>
      </c>
      <c r="H22" s="43">
        <v>5.6</v>
      </c>
      <c r="I22" s="43">
        <v>5.8</v>
      </c>
      <c r="J22" s="43">
        <v>5.5</v>
      </c>
      <c r="K22" s="43">
        <v>17.7</v>
      </c>
      <c r="L22" s="43">
        <v>16.3</v>
      </c>
      <c r="M22" s="43">
        <v>19.8</v>
      </c>
      <c r="N22" s="44">
        <v>12.1</v>
      </c>
      <c r="O22" s="44">
        <v>10.5</v>
      </c>
      <c r="P22" s="44">
        <v>14.3</v>
      </c>
    </row>
  </sheetData>
  <mergeCells count="6">
    <mergeCell ref="G8:G10"/>
    <mergeCell ref="H8:J8"/>
    <mergeCell ref="K8:M8"/>
    <mergeCell ref="N8:P8"/>
    <mergeCell ref="H10:M10"/>
    <mergeCell ref="N10:P1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AF82"/>
  <sheetViews>
    <sheetView workbookViewId="0"/>
  </sheetViews>
  <sheetFormatPr baseColWidth="10" defaultColWidth="9.140625" defaultRowHeight="11.25" x14ac:dyDescent="0.2"/>
  <cols>
    <col min="1" max="1" width="8.5703125" style="49" customWidth="1"/>
    <col min="2" max="2" width="26.5703125" style="49" customWidth="1"/>
    <col min="3" max="32" width="7.5703125" style="49" customWidth="1"/>
    <col min="33" max="16384" width="9.140625" style="49"/>
  </cols>
  <sheetData>
    <row r="1" spans="1:32" ht="33.75" customHeight="1" x14ac:dyDescent="0.2">
      <c r="A1" s="47"/>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8" t="s">
        <v>0</v>
      </c>
    </row>
    <row r="2" spans="1:32" ht="11.25" customHeight="1" x14ac:dyDescent="0.2"/>
    <row r="3" spans="1:32" ht="15" customHeight="1" x14ac:dyDescent="0.2">
      <c r="A3" s="50" t="s">
        <v>1</v>
      </c>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row>
    <row r="4" spans="1:32" ht="11.25" customHeight="1" x14ac:dyDescent="0.2">
      <c r="A4" s="51" t="s">
        <v>2</v>
      </c>
    </row>
    <row r="5" spans="1:32" ht="11.25" customHeight="1" x14ac:dyDescent="0.2">
      <c r="A5" s="52" t="s">
        <v>3</v>
      </c>
    </row>
    <row r="6" spans="1:32" ht="11.25" customHeight="1" x14ac:dyDescent="0.2"/>
    <row r="7" spans="1:32" s="53" customFormat="1" ht="17.25" customHeight="1" x14ac:dyDescent="0.25">
      <c r="A7" s="140" t="s">
        <v>4</v>
      </c>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row>
    <row r="8" spans="1:32" s="53" customFormat="1" ht="17.25" customHeight="1" x14ac:dyDescent="0.25">
      <c r="A8" s="140" t="s">
        <v>5</v>
      </c>
      <c r="B8" s="140"/>
      <c r="C8" s="140"/>
      <c r="D8" s="140"/>
      <c r="E8" s="140"/>
      <c r="F8" s="140"/>
      <c r="G8" s="140"/>
      <c r="H8" s="140"/>
      <c r="I8" s="140"/>
      <c r="J8" s="140"/>
      <c r="K8" s="140"/>
      <c r="L8" s="140"/>
      <c r="M8" s="140"/>
      <c r="N8" s="140"/>
      <c r="O8" s="140"/>
      <c r="P8" s="140"/>
      <c r="Q8" s="140"/>
      <c r="R8" s="54"/>
      <c r="S8" s="55"/>
      <c r="T8" s="55"/>
      <c r="U8" s="55"/>
      <c r="V8" s="55"/>
      <c r="W8" s="55"/>
      <c r="X8" s="55"/>
      <c r="Y8" s="55"/>
      <c r="Z8" s="55"/>
      <c r="AA8" s="55"/>
      <c r="AB8" s="55"/>
      <c r="AC8" s="55"/>
      <c r="AD8" s="55"/>
      <c r="AE8" s="55"/>
      <c r="AF8" s="55"/>
    </row>
    <row r="9" spans="1:32" s="53" customFormat="1" ht="45" customHeight="1" x14ac:dyDescent="0.25">
      <c r="A9" s="140" t="s">
        <v>6</v>
      </c>
      <c r="B9" s="140"/>
      <c r="C9" s="140"/>
      <c r="D9" s="140"/>
      <c r="E9" s="140"/>
      <c r="F9" s="140"/>
      <c r="G9" s="140"/>
      <c r="H9" s="140"/>
      <c r="I9" s="140"/>
      <c r="J9" s="140"/>
      <c r="K9" s="140"/>
      <c r="L9" s="140"/>
      <c r="M9" s="140"/>
      <c r="N9" s="140"/>
      <c r="O9" s="140"/>
      <c r="P9" s="140"/>
      <c r="Q9" s="140"/>
      <c r="R9" s="54"/>
      <c r="S9" s="55"/>
      <c r="T9" s="55"/>
      <c r="U9" s="55"/>
      <c r="V9" s="55"/>
      <c r="W9" s="55"/>
      <c r="X9" s="55"/>
      <c r="Y9" s="55"/>
      <c r="Z9" s="55"/>
      <c r="AA9" s="55"/>
      <c r="AB9" s="55"/>
      <c r="AC9" s="55"/>
      <c r="AD9" s="55"/>
      <c r="AE9" s="55"/>
      <c r="AF9" s="55"/>
    </row>
    <row r="10" spans="1:32" ht="16.5" customHeight="1" x14ac:dyDescent="0.2"/>
    <row r="11" spans="1:32" x14ac:dyDescent="0.2">
      <c r="A11" s="141" t="s">
        <v>7</v>
      </c>
      <c r="B11" s="141" t="s">
        <v>8</v>
      </c>
      <c r="C11" s="141" t="s">
        <v>9</v>
      </c>
      <c r="D11" s="141"/>
      <c r="E11" s="141"/>
      <c r="F11" s="141"/>
      <c r="G11" s="141"/>
      <c r="H11" s="141"/>
      <c r="I11" s="141"/>
      <c r="J11" s="141"/>
      <c r="K11" s="141"/>
      <c r="L11" s="141"/>
      <c r="M11" s="141"/>
      <c r="N11" s="141"/>
      <c r="O11" s="141"/>
      <c r="P11" s="141"/>
      <c r="Q11" s="141"/>
      <c r="R11" s="144" t="s">
        <v>10</v>
      </c>
      <c r="S11" s="141"/>
      <c r="T11" s="141"/>
      <c r="U11" s="141"/>
      <c r="V11" s="141"/>
      <c r="W11" s="141"/>
      <c r="X11" s="141"/>
      <c r="Y11" s="141"/>
      <c r="Z11" s="141"/>
      <c r="AA11" s="141"/>
      <c r="AB11" s="141"/>
      <c r="AC11" s="141"/>
      <c r="AD11" s="141"/>
      <c r="AE11" s="141"/>
      <c r="AF11" s="141"/>
    </row>
    <row r="12" spans="1:32" ht="11.25" customHeight="1" x14ac:dyDescent="0.2">
      <c r="A12" s="142"/>
      <c r="B12" s="142"/>
      <c r="C12" s="145" t="s">
        <v>11</v>
      </c>
      <c r="D12" s="145"/>
      <c r="E12" s="146"/>
      <c r="F12" s="145" t="s">
        <v>12</v>
      </c>
      <c r="G12" s="145"/>
      <c r="H12" s="146"/>
      <c r="I12" s="145" t="s">
        <v>13</v>
      </c>
      <c r="J12" s="145"/>
      <c r="K12" s="146"/>
      <c r="L12" s="145" t="s">
        <v>14</v>
      </c>
      <c r="M12" s="145"/>
      <c r="N12" s="146"/>
      <c r="O12" s="145" t="s">
        <v>15</v>
      </c>
      <c r="P12" s="145"/>
      <c r="Q12" s="145"/>
      <c r="R12" s="149" t="s">
        <v>11</v>
      </c>
      <c r="S12" s="145"/>
      <c r="T12" s="146"/>
      <c r="U12" s="145" t="s">
        <v>12</v>
      </c>
      <c r="V12" s="145"/>
      <c r="W12" s="146"/>
      <c r="X12" s="145" t="s">
        <v>13</v>
      </c>
      <c r="Y12" s="145"/>
      <c r="Z12" s="146"/>
      <c r="AA12" s="145" t="s">
        <v>14</v>
      </c>
      <c r="AB12" s="145"/>
      <c r="AC12" s="146"/>
      <c r="AD12" s="145" t="s">
        <v>15</v>
      </c>
      <c r="AE12" s="145"/>
      <c r="AF12" s="145"/>
    </row>
    <row r="13" spans="1:32" ht="51" customHeight="1" x14ac:dyDescent="0.2">
      <c r="A13" s="142"/>
      <c r="B13" s="142"/>
      <c r="C13" s="56" t="s">
        <v>16</v>
      </c>
      <c r="D13" s="56" t="s">
        <v>17</v>
      </c>
      <c r="E13" s="57" t="s">
        <v>18</v>
      </c>
      <c r="F13" s="56" t="s">
        <v>16</v>
      </c>
      <c r="G13" s="56" t="s">
        <v>17</v>
      </c>
      <c r="H13" s="57" t="s">
        <v>18</v>
      </c>
      <c r="I13" s="56" t="s">
        <v>16</v>
      </c>
      <c r="J13" s="56" t="s">
        <v>17</v>
      </c>
      <c r="K13" s="57" t="s">
        <v>18</v>
      </c>
      <c r="L13" s="56" t="s">
        <v>16</v>
      </c>
      <c r="M13" s="56" t="s">
        <v>17</v>
      </c>
      <c r="N13" s="57" t="s">
        <v>18</v>
      </c>
      <c r="O13" s="56" t="s">
        <v>16</v>
      </c>
      <c r="P13" s="56" t="s">
        <v>17</v>
      </c>
      <c r="Q13" s="56" t="s">
        <v>18</v>
      </c>
      <c r="R13" s="56" t="s">
        <v>16</v>
      </c>
      <c r="S13" s="56" t="s">
        <v>17</v>
      </c>
      <c r="T13" s="57" t="s">
        <v>18</v>
      </c>
      <c r="U13" s="56" t="s">
        <v>16</v>
      </c>
      <c r="V13" s="56" t="s">
        <v>17</v>
      </c>
      <c r="W13" s="57" t="s">
        <v>18</v>
      </c>
      <c r="X13" s="56" t="s">
        <v>16</v>
      </c>
      <c r="Y13" s="56" t="s">
        <v>17</v>
      </c>
      <c r="Z13" s="57" t="s">
        <v>18</v>
      </c>
      <c r="AA13" s="56" t="s">
        <v>16</v>
      </c>
      <c r="AB13" s="56" t="s">
        <v>17</v>
      </c>
      <c r="AC13" s="57" t="s">
        <v>18</v>
      </c>
      <c r="AD13" s="56" t="s">
        <v>16</v>
      </c>
      <c r="AE13" s="56" t="s">
        <v>17</v>
      </c>
      <c r="AF13" s="56" t="s">
        <v>18</v>
      </c>
    </row>
    <row r="14" spans="1:32" s="61" customFormat="1" ht="9" customHeight="1" x14ac:dyDescent="0.2">
      <c r="A14" s="143"/>
      <c r="B14" s="143"/>
      <c r="C14" s="58">
        <v>1</v>
      </c>
      <c r="D14" s="58">
        <v>2</v>
      </c>
      <c r="E14" s="59">
        <v>3</v>
      </c>
      <c r="F14" s="58">
        <v>4</v>
      </c>
      <c r="G14" s="58">
        <v>5</v>
      </c>
      <c r="H14" s="59">
        <v>6</v>
      </c>
      <c r="I14" s="58">
        <v>7</v>
      </c>
      <c r="J14" s="58">
        <v>8</v>
      </c>
      <c r="K14" s="59">
        <v>9</v>
      </c>
      <c r="L14" s="58">
        <v>10</v>
      </c>
      <c r="M14" s="58">
        <v>11</v>
      </c>
      <c r="N14" s="59">
        <v>12</v>
      </c>
      <c r="O14" s="58">
        <v>13</v>
      </c>
      <c r="P14" s="58">
        <v>14</v>
      </c>
      <c r="Q14" s="58">
        <v>15</v>
      </c>
      <c r="R14" s="60">
        <v>16</v>
      </c>
      <c r="S14" s="58">
        <v>17</v>
      </c>
      <c r="T14" s="59">
        <v>18</v>
      </c>
      <c r="U14" s="58">
        <v>19</v>
      </c>
      <c r="V14" s="58">
        <v>20</v>
      </c>
      <c r="W14" s="59">
        <v>21</v>
      </c>
      <c r="X14" s="58">
        <v>22</v>
      </c>
      <c r="Y14" s="58">
        <v>23</v>
      </c>
      <c r="Z14" s="59">
        <v>24</v>
      </c>
      <c r="AA14" s="58">
        <v>25</v>
      </c>
      <c r="AB14" s="58">
        <v>26</v>
      </c>
      <c r="AC14" s="59">
        <v>27</v>
      </c>
      <c r="AD14" s="58">
        <v>28</v>
      </c>
      <c r="AE14" s="58">
        <v>29</v>
      </c>
      <c r="AF14" s="58">
        <v>30</v>
      </c>
    </row>
    <row r="15" spans="1:32" ht="12.6" customHeight="1" x14ac:dyDescent="0.2">
      <c r="A15" s="150">
        <v>39263</v>
      </c>
      <c r="B15" s="62" t="s">
        <v>19</v>
      </c>
      <c r="C15" s="63">
        <v>34111</v>
      </c>
      <c r="D15" s="64">
        <v>6349</v>
      </c>
      <c r="E15" s="64">
        <v>27762</v>
      </c>
      <c r="F15" s="63">
        <v>30652</v>
      </c>
      <c r="G15" s="64">
        <v>5602</v>
      </c>
      <c r="H15" s="64">
        <v>25050</v>
      </c>
      <c r="I15" s="63">
        <v>3373</v>
      </c>
      <c r="J15" s="64">
        <v>721</v>
      </c>
      <c r="K15" s="64">
        <v>2652</v>
      </c>
      <c r="L15" s="63">
        <v>19095</v>
      </c>
      <c r="M15" s="64">
        <v>3465</v>
      </c>
      <c r="N15" s="64">
        <v>15630</v>
      </c>
      <c r="O15" s="63">
        <v>15012</v>
      </c>
      <c r="P15" s="64">
        <v>2881</v>
      </c>
      <c r="Q15" s="65">
        <v>12131</v>
      </c>
      <c r="R15" s="66">
        <v>7.9</v>
      </c>
      <c r="S15" s="66">
        <v>4.7</v>
      </c>
      <c r="T15" s="66">
        <v>9.3000000000000007</v>
      </c>
      <c r="U15" s="67">
        <v>7.4</v>
      </c>
      <c r="V15" s="66">
        <v>4.3</v>
      </c>
      <c r="W15" s="66">
        <v>8.9</v>
      </c>
      <c r="X15" s="67">
        <v>14.9</v>
      </c>
      <c r="Y15" s="66">
        <v>13.7</v>
      </c>
      <c r="Z15" s="66">
        <v>15.3</v>
      </c>
      <c r="AA15" s="67">
        <v>8.5</v>
      </c>
      <c r="AB15" s="66">
        <v>4.7</v>
      </c>
      <c r="AC15" s="66">
        <v>10.3</v>
      </c>
      <c r="AD15" s="67">
        <v>7.2</v>
      </c>
      <c r="AE15" s="66">
        <v>4.7</v>
      </c>
      <c r="AF15" s="68">
        <v>8.1999999999999993</v>
      </c>
    </row>
    <row r="16" spans="1:32" ht="12.6" customHeight="1" x14ac:dyDescent="0.2">
      <c r="A16" s="148"/>
      <c r="B16" s="69" t="s">
        <v>20</v>
      </c>
      <c r="C16" s="70">
        <v>7573</v>
      </c>
      <c r="D16" s="71">
        <v>1344</v>
      </c>
      <c r="E16" s="71">
        <v>6229</v>
      </c>
      <c r="F16" s="70">
        <v>6821</v>
      </c>
      <c r="G16" s="71">
        <v>1190</v>
      </c>
      <c r="H16" s="71">
        <v>5631</v>
      </c>
      <c r="I16" s="70">
        <v>722</v>
      </c>
      <c r="J16" s="71">
        <v>149</v>
      </c>
      <c r="K16" s="71">
        <v>573</v>
      </c>
      <c r="L16" s="70">
        <v>4252</v>
      </c>
      <c r="M16" s="71">
        <v>725</v>
      </c>
      <c r="N16" s="71">
        <v>3527</v>
      </c>
      <c r="O16" s="70">
        <v>3317</v>
      </c>
      <c r="P16" s="71">
        <v>616</v>
      </c>
      <c r="Q16" s="72">
        <v>2701</v>
      </c>
      <c r="R16" s="73">
        <v>9</v>
      </c>
      <c r="S16" s="73">
        <v>5.7</v>
      </c>
      <c r="T16" s="73">
        <v>10.3</v>
      </c>
      <c r="U16" s="74">
        <v>8.6</v>
      </c>
      <c r="V16" s="73">
        <v>5.2</v>
      </c>
      <c r="W16" s="73">
        <v>9.9</v>
      </c>
      <c r="X16" s="74">
        <v>16.2</v>
      </c>
      <c r="Y16" s="73" t="s">
        <v>21</v>
      </c>
      <c r="Z16" s="73">
        <v>16.100000000000001</v>
      </c>
      <c r="AA16" s="74">
        <v>9.8000000000000007</v>
      </c>
      <c r="AB16" s="73">
        <v>5.7</v>
      </c>
      <c r="AC16" s="73">
        <v>11.5</v>
      </c>
      <c r="AD16" s="74">
        <v>8.1999999999999993</v>
      </c>
      <c r="AE16" s="73">
        <v>5.6</v>
      </c>
      <c r="AF16" s="75">
        <v>9.1</v>
      </c>
    </row>
    <row r="17" spans="1:32" ht="12.6" customHeight="1" x14ac:dyDescent="0.2">
      <c r="A17" s="148"/>
      <c r="B17" s="69" t="s">
        <v>22</v>
      </c>
      <c r="C17" s="70">
        <v>9741</v>
      </c>
      <c r="D17" s="71">
        <v>1647</v>
      </c>
      <c r="E17" s="71">
        <v>8094</v>
      </c>
      <c r="F17" s="70">
        <v>8413</v>
      </c>
      <c r="G17" s="71">
        <v>1383</v>
      </c>
      <c r="H17" s="71">
        <v>7030</v>
      </c>
      <c r="I17" s="70">
        <v>1301</v>
      </c>
      <c r="J17" s="71">
        <v>257</v>
      </c>
      <c r="K17" s="71">
        <v>1044</v>
      </c>
      <c r="L17" s="70">
        <v>5515</v>
      </c>
      <c r="M17" s="71">
        <v>910</v>
      </c>
      <c r="N17" s="71">
        <v>4605</v>
      </c>
      <c r="O17" s="70">
        <v>4226</v>
      </c>
      <c r="P17" s="71">
        <v>737</v>
      </c>
      <c r="Q17" s="72">
        <v>3489</v>
      </c>
      <c r="R17" s="73">
        <v>8.6999999999999993</v>
      </c>
      <c r="S17" s="73">
        <v>5.3</v>
      </c>
      <c r="T17" s="73">
        <v>10.1</v>
      </c>
      <c r="U17" s="74">
        <v>8.1999999999999993</v>
      </c>
      <c r="V17" s="73">
        <v>4.7</v>
      </c>
      <c r="W17" s="73">
        <v>9.5</v>
      </c>
      <c r="X17" s="74">
        <v>15.5</v>
      </c>
      <c r="Y17" s="73">
        <v>13.3</v>
      </c>
      <c r="Z17" s="73">
        <v>16.2</v>
      </c>
      <c r="AA17" s="74">
        <v>9.6999999999999993</v>
      </c>
      <c r="AB17" s="73">
        <v>5.4</v>
      </c>
      <c r="AC17" s="73">
        <v>11.5</v>
      </c>
      <c r="AD17" s="74">
        <v>7.7</v>
      </c>
      <c r="AE17" s="73">
        <v>5.0999999999999996</v>
      </c>
      <c r="AF17" s="75">
        <v>8.6999999999999993</v>
      </c>
    </row>
    <row r="18" spans="1:32" ht="12.6" customHeight="1" x14ac:dyDescent="0.2">
      <c r="A18" s="148"/>
      <c r="B18" s="69" t="s">
        <v>23</v>
      </c>
      <c r="C18" s="70">
        <v>7615</v>
      </c>
      <c r="D18" s="71">
        <v>1651</v>
      </c>
      <c r="E18" s="71">
        <v>5964</v>
      </c>
      <c r="F18" s="70">
        <v>6967</v>
      </c>
      <c r="G18" s="71">
        <v>1490</v>
      </c>
      <c r="H18" s="71">
        <v>5477</v>
      </c>
      <c r="I18" s="70">
        <v>638</v>
      </c>
      <c r="J18" s="71">
        <v>158</v>
      </c>
      <c r="K18" s="71">
        <v>480</v>
      </c>
      <c r="L18" s="70">
        <v>4324</v>
      </c>
      <c r="M18" s="71">
        <v>905</v>
      </c>
      <c r="N18" s="71">
        <v>3419</v>
      </c>
      <c r="O18" s="70">
        <v>3291</v>
      </c>
      <c r="P18" s="71">
        <v>746</v>
      </c>
      <c r="Q18" s="72">
        <v>2545</v>
      </c>
      <c r="R18" s="73">
        <v>8.4</v>
      </c>
      <c r="S18" s="73">
        <v>5.3</v>
      </c>
      <c r="T18" s="73">
        <v>10</v>
      </c>
      <c r="U18" s="74">
        <v>8</v>
      </c>
      <c r="V18" s="73">
        <v>5</v>
      </c>
      <c r="W18" s="73">
        <v>9.6</v>
      </c>
      <c r="X18" s="74">
        <v>18.600000000000001</v>
      </c>
      <c r="Y18" s="73" t="s">
        <v>21</v>
      </c>
      <c r="Z18" s="73">
        <v>19.100000000000001</v>
      </c>
      <c r="AA18" s="74">
        <v>9.1</v>
      </c>
      <c r="AB18" s="73">
        <v>5.3</v>
      </c>
      <c r="AC18" s="73">
        <v>11.2</v>
      </c>
      <c r="AD18" s="74">
        <v>7.6</v>
      </c>
      <c r="AE18" s="73">
        <v>5.4</v>
      </c>
      <c r="AF18" s="75">
        <v>8.6999999999999993</v>
      </c>
    </row>
    <row r="19" spans="1:32" ht="12.6" customHeight="1" x14ac:dyDescent="0.2">
      <c r="A19" s="148"/>
      <c r="B19" s="69" t="s">
        <v>24</v>
      </c>
      <c r="C19" s="70">
        <v>9182</v>
      </c>
      <c r="D19" s="71">
        <v>1707</v>
      </c>
      <c r="E19" s="71">
        <v>7475</v>
      </c>
      <c r="F19" s="70">
        <v>8451</v>
      </c>
      <c r="G19" s="71">
        <v>1539</v>
      </c>
      <c r="H19" s="71">
        <v>6912</v>
      </c>
      <c r="I19" s="70">
        <v>712</v>
      </c>
      <c r="J19" s="71">
        <v>157</v>
      </c>
      <c r="K19" s="71">
        <v>555</v>
      </c>
      <c r="L19" s="70">
        <v>5004</v>
      </c>
      <c r="M19" s="71">
        <v>925</v>
      </c>
      <c r="N19" s="71">
        <v>4079</v>
      </c>
      <c r="O19" s="70">
        <v>4178</v>
      </c>
      <c r="P19" s="71">
        <v>782</v>
      </c>
      <c r="Q19" s="72">
        <v>3396</v>
      </c>
      <c r="R19" s="73">
        <v>6.2</v>
      </c>
      <c r="S19" s="73">
        <v>3.5</v>
      </c>
      <c r="T19" s="73">
        <v>7.5</v>
      </c>
      <c r="U19" s="74">
        <v>6</v>
      </c>
      <c r="V19" s="73">
        <v>3.3</v>
      </c>
      <c r="W19" s="73">
        <v>7.3</v>
      </c>
      <c r="X19" s="74">
        <v>11.3</v>
      </c>
      <c r="Y19" s="73">
        <v>10.5</v>
      </c>
      <c r="Z19" s="73">
        <v>11.5</v>
      </c>
      <c r="AA19" s="74">
        <v>6.4</v>
      </c>
      <c r="AB19" s="73">
        <v>3.4</v>
      </c>
      <c r="AC19" s="73">
        <v>8</v>
      </c>
      <c r="AD19" s="74">
        <v>5.9</v>
      </c>
      <c r="AE19" s="73">
        <v>3.6</v>
      </c>
      <c r="AF19" s="75">
        <v>7</v>
      </c>
    </row>
    <row r="20" spans="1:32" ht="12.6" customHeight="1" x14ac:dyDescent="0.2">
      <c r="A20" s="147">
        <v>39629</v>
      </c>
      <c r="B20" s="76" t="s">
        <v>19</v>
      </c>
      <c r="C20" s="63">
        <v>27501</v>
      </c>
      <c r="D20" s="64">
        <v>4815</v>
      </c>
      <c r="E20" s="64">
        <v>22686</v>
      </c>
      <c r="F20" s="63">
        <v>24548</v>
      </c>
      <c r="G20" s="64">
        <v>4169</v>
      </c>
      <c r="H20" s="64">
        <v>20379</v>
      </c>
      <c r="I20" s="63">
        <v>2866</v>
      </c>
      <c r="J20" s="64">
        <v>610</v>
      </c>
      <c r="K20" s="64">
        <v>2256</v>
      </c>
      <c r="L20" s="63">
        <v>15335</v>
      </c>
      <c r="M20" s="64">
        <v>2560</v>
      </c>
      <c r="N20" s="64">
        <v>12775</v>
      </c>
      <c r="O20" s="63">
        <v>12166</v>
      </c>
      <c r="P20" s="64">
        <v>2255</v>
      </c>
      <c r="Q20" s="65">
        <v>9911</v>
      </c>
      <c r="R20" s="66">
        <v>6.3</v>
      </c>
      <c r="S20" s="66">
        <v>3.5</v>
      </c>
      <c r="T20" s="66">
        <v>7.5</v>
      </c>
      <c r="U20" s="67">
        <v>5.9</v>
      </c>
      <c r="V20" s="66">
        <v>3.2</v>
      </c>
      <c r="W20" s="66">
        <v>7.2</v>
      </c>
      <c r="X20" s="67">
        <v>13.1</v>
      </c>
      <c r="Y20" s="66">
        <v>11.3</v>
      </c>
      <c r="Z20" s="66">
        <v>13.8</v>
      </c>
      <c r="AA20" s="67">
        <v>6.7</v>
      </c>
      <c r="AB20" s="66">
        <v>3.5</v>
      </c>
      <c r="AC20" s="66">
        <v>8.3000000000000007</v>
      </c>
      <c r="AD20" s="67">
        <v>5.8</v>
      </c>
      <c r="AE20" s="66">
        <v>3.6</v>
      </c>
      <c r="AF20" s="68">
        <v>6.7</v>
      </c>
    </row>
    <row r="21" spans="1:32" ht="12.6" customHeight="1" x14ac:dyDescent="0.2">
      <c r="A21" s="148"/>
      <c r="B21" s="69" t="s">
        <v>20</v>
      </c>
      <c r="C21" s="70">
        <v>5735</v>
      </c>
      <c r="D21" s="71">
        <v>958</v>
      </c>
      <c r="E21" s="71">
        <v>4777</v>
      </c>
      <c r="F21" s="70">
        <v>5191</v>
      </c>
      <c r="G21" s="71">
        <v>838</v>
      </c>
      <c r="H21" s="71">
        <v>4353</v>
      </c>
      <c r="I21" s="70">
        <v>532</v>
      </c>
      <c r="J21" s="71">
        <v>118</v>
      </c>
      <c r="K21" s="71">
        <v>414</v>
      </c>
      <c r="L21" s="70">
        <v>3167</v>
      </c>
      <c r="M21" s="71">
        <v>510</v>
      </c>
      <c r="N21" s="71">
        <v>2657</v>
      </c>
      <c r="O21" s="70">
        <v>2568</v>
      </c>
      <c r="P21" s="71">
        <v>448</v>
      </c>
      <c r="Q21" s="72">
        <v>2120</v>
      </c>
      <c r="R21" s="73">
        <v>6.9</v>
      </c>
      <c r="S21" s="73">
        <v>4.0999999999999996</v>
      </c>
      <c r="T21" s="73">
        <v>8</v>
      </c>
      <c r="U21" s="74">
        <v>6.6</v>
      </c>
      <c r="V21" s="73">
        <v>3.7</v>
      </c>
      <c r="W21" s="73">
        <v>7.7</v>
      </c>
      <c r="X21" s="74">
        <v>12.5</v>
      </c>
      <c r="Y21" s="73" t="s">
        <v>21</v>
      </c>
      <c r="Z21" s="73">
        <v>12.5</v>
      </c>
      <c r="AA21" s="74">
        <v>7.3</v>
      </c>
      <c r="AB21" s="73">
        <v>4</v>
      </c>
      <c r="AC21" s="73">
        <v>8.6999999999999993</v>
      </c>
      <c r="AD21" s="74">
        <v>6.4</v>
      </c>
      <c r="AE21" s="73">
        <v>4.0999999999999996</v>
      </c>
      <c r="AF21" s="75">
        <v>7.2</v>
      </c>
    </row>
    <row r="22" spans="1:32" ht="12.6" customHeight="1" x14ac:dyDescent="0.2">
      <c r="A22" s="148"/>
      <c r="B22" s="69" t="s">
        <v>22</v>
      </c>
      <c r="C22" s="70">
        <v>8753</v>
      </c>
      <c r="D22" s="71">
        <v>1486</v>
      </c>
      <c r="E22" s="71">
        <v>7267</v>
      </c>
      <c r="F22" s="70">
        <v>7448</v>
      </c>
      <c r="G22" s="71">
        <v>1209</v>
      </c>
      <c r="H22" s="71">
        <v>6239</v>
      </c>
      <c r="I22" s="70">
        <v>1248</v>
      </c>
      <c r="J22" s="71">
        <v>251</v>
      </c>
      <c r="K22" s="71">
        <v>997</v>
      </c>
      <c r="L22" s="70">
        <v>4985</v>
      </c>
      <c r="M22" s="71">
        <v>805</v>
      </c>
      <c r="N22" s="71">
        <v>4180</v>
      </c>
      <c r="O22" s="70">
        <v>3768</v>
      </c>
      <c r="P22" s="71">
        <v>681</v>
      </c>
      <c r="Q22" s="72">
        <v>3087</v>
      </c>
      <c r="R22" s="73">
        <v>7.9</v>
      </c>
      <c r="S22" s="73">
        <v>4.8</v>
      </c>
      <c r="T22" s="73">
        <v>9.1999999999999993</v>
      </c>
      <c r="U22" s="74">
        <v>7.3</v>
      </c>
      <c r="V22" s="73">
        <v>4.2</v>
      </c>
      <c r="W22" s="73">
        <v>8.5</v>
      </c>
      <c r="X22" s="74">
        <v>15.6</v>
      </c>
      <c r="Y22" s="73">
        <v>13</v>
      </c>
      <c r="Z22" s="73">
        <v>16.399999999999999</v>
      </c>
      <c r="AA22" s="74">
        <v>8.8000000000000007</v>
      </c>
      <c r="AB22" s="73">
        <v>4.8</v>
      </c>
      <c r="AC22" s="73">
        <v>10.5</v>
      </c>
      <c r="AD22" s="74">
        <v>7</v>
      </c>
      <c r="AE22" s="73">
        <v>4.8</v>
      </c>
      <c r="AF22" s="75">
        <v>7.8</v>
      </c>
    </row>
    <row r="23" spans="1:32" ht="12.6" customHeight="1" x14ac:dyDescent="0.2">
      <c r="A23" s="148"/>
      <c r="B23" s="69" t="s">
        <v>23</v>
      </c>
      <c r="C23" s="70">
        <v>5687</v>
      </c>
      <c r="D23" s="71">
        <v>1053</v>
      </c>
      <c r="E23" s="71">
        <v>4634</v>
      </c>
      <c r="F23" s="70">
        <v>5225</v>
      </c>
      <c r="G23" s="71">
        <v>951</v>
      </c>
      <c r="H23" s="71">
        <v>4274</v>
      </c>
      <c r="I23" s="70">
        <v>458</v>
      </c>
      <c r="J23" s="71">
        <v>100</v>
      </c>
      <c r="K23" s="71">
        <v>358</v>
      </c>
      <c r="L23" s="70">
        <v>3277</v>
      </c>
      <c r="M23" s="71">
        <v>558</v>
      </c>
      <c r="N23" s="71">
        <v>2719</v>
      </c>
      <c r="O23" s="70">
        <v>2410</v>
      </c>
      <c r="P23" s="71">
        <v>495</v>
      </c>
      <c r="Q23" s="72">
        <v>1915</v>
      </c>
      <c r="R23" s="73">
        <v>6.2</v>
      </c>
      <c r="S23" s="73">
        <v>3.4</v>
      </c>
      <c r="T23" s="73">
        <v>7.7</v>
      </c>
      <c r="U23" s="74">
        <v>6</v>
      </c>
      <c r="V23" s="73">
        <v>3.2</v>
      </c>
      <c r="W23" s="73">
        <v>7.4</v>
      </c>
      <c r="X23" s="74">
        <v>13.2</v>
      </c>
      <c r="Y23" s="73" t="s">
        <v>21</v>
      </c>
      <c r="Z23" s="73">
        <v>14.2</v>
      </c>
      <c r="AA23" s="74">
        <v>6.8</v>
      </c>
      <c r="AB23" s="73">
        <v>3.3</v>
      </c>
      <c r="AC23" s="73">
        <v>8.8000000000000007</v>
      </c>
      <c r="AD23" s="74">
        <v>5.6</v>
      </c>
      <c r="AE23" s="73">
        <v>3.6</v>
      </c>
      <c r="AF23" s="75">
        <v>6.5</v>
      </c>
    </row>
    <row r="24" spans="1:32" ht="12.6" customHeight="1" x14ac:dyDescent="0.2">
      <c r="A24" s="148"/>
      <c r="B24" s="69" t="s">
        <v>24</v>
      </c>
      <c r="C24" s="70">
        <v>7326</v>
      </c>
      <c r="D24" s="71">
        <v>1318</v>
      </c>
      <c r="E24" s="71">
        <v>6008</v>
      </c>
      <c r="F24" s="70">
        <v>6684</v>
      </c>
      <c r="G24" s="71">
        <v>1171</v>
      </c>
      <c r="H24" s="71">
        <v>5513</v>
      </c>
      <c r="I24" s="70">
        <v>628</v>
      </c>
      <c r="J24" s="71">
        <v>141</v>
      </c>
      <c r="K24" s="71">
        <v>487</v>
      </c>
      <c r="L24" s="70">
        <v>3906</v>
      </c>
      <c r="M24" s="71">
        <v>687</v>
      </c>
      <c r="N24" s="71">
        <v>3219</v>
      </c>
      <c r="O24" s="70">
        <v>3420</v>
      </c>
      <c r="P24" s="71">
        <v>631</v>
      </c>
      <c r="Q24" s="72">
        <v>2789</v>
      </c>
      <c r="R24" s="73">
        <v>4.8</v>
      </c>
      <c r="S24" s="73">
        <v>2.6</v>
      </c>
      <c r="T24" s="73">
        <v>5.9</v>
      </c>
      <c r="U24" s="74">
        <v>4.5999999999999996</v>
      </c>
      <c r="V24" s="73">
        <v>2.4</v>
      </c>
      <c r="W24" s="73">
        <v>5.7</v>
      </c>
      <c r="X24" s="74">
        <v>10.3</v>
      </c>
      <c r="Y24" s="73">
        <v>8.9</v>
      </c>
      <c r="Z24" s="73">
        <v>10.8</v>
      </c>
      <c r="AA24" s="74">
        <v>4.9000000000000004</v>
      </c>
      <c r="AB24" s="73">
        <v>2.5</v>
      </c>
      <c r="AC24" s="73">
        <v>6.2</v>
      </c>
      <c r="AD24" s="74">
        <v>4.8</v>
      </c>
      <c r="AE24" s="73">
        <v>2.8</v>
      </c>
      <c r="AF24" s="75">
        <v>5.7</v>
      </c>
    </row>
    <row r="25" spans="1:32" ht="12.6" customHeight="1" x14ac:dyDescent="0.2">
      <c r="A25" s="147">
        <v>39994</v>
      </c>
      <c r="B25" s="76" t="s">
        <v>19</v>
      </c>
      <c r="C25" s="63">
        <v>32478</v>
      </c>
      <c r="D25" s="64">
        <v>5025</v>
      </c>
      <c r="E25" s="64">
        <v>27453</v>
      </c>
      <c r="F25" s="63">
        <v>29472</v>
      </c>
      <c r="G25" s="64">
        <v>4432</v>
      </c>
      <c r="H25" s="64">
        <v>25040</v>
      </c>
      <c r="I25" s="63">
        <v>2910</v>
      </c>
      <c r="J25" s="64">
        <v>557</v>
      </c>
      <c r="K25" s="64">
        <v>2353</v>
      </c>
      <c r="L25" s="63">
        <v>19676</v>
      </c>
      <c r="M25" s="64">
        <v>2714</v>
      </c>
      <c r="N25" s="64">
        <v>16962</v>
      </c>
      <c r="O25" s="63">
        <v>12802</v>
      </c>
      <c r="P25" s="64">
        <v>2311</v>
      </c>
      <c r="Q25" s="65">
        <v>10491</v>
      </c>
      <c r="R25" s="66">
        <v>7.4</v>
      </c>
      <c r="S25" s="66">
        <v>3.7</v>
      </c>
      <c r="T25" s="66">
        <v>9</v>
      </c>
      <c r="U25" s="67">
        <v>7</v>
      </c>
      <c r="V25" s="66">
        <v>3.4</v>
      </c>
      <c r="W25" s="66">
        <v>8.6</v>
      </c>
      <c r="X25" s="67">
        <v>13.6</v>
      </c>
      <c r="Y25" s="66">
        <v>10</v>
      </c>
      <c r="Z25" s="66">
        <v>14.8</v>
      </c>
      <c r="AA25" s="67">
        <v>8.5</v>
      </c>
      <c r="AB25" s="66">
        <v>3.7</v>
      </c>
      <c r="AC25" s="66">
        <v>10.7</v>
      </c>
      <c r="AD25" s="67">
        <v>6.1</v>
      </c>
      <c r="AE25" s="66">
        <v>3.7</v>
      </c>
      <c r="AF25" s="68">
        <v>7.1</v>
      </c>
    </row>
    <row r="26" spans="1:32" ht="12.6" customHeight="1" x14ac:dyDescent="0.2">
      <c r="A26" s="148"/>
      <c r="B26" s="69" t="s">
        <v>20</v>
      </c>
      <c r="C26" s="70">
        <v>6830</v>
      </c>
      <c r="D26" s="71">
        <v>1037</v>
      </c>
      <c r="E26" s="71">
        <v>5793</v>
      </c>
      <c r="F26" s="70">
        <v>6222</v>
      </c>
      <c r="G26" s="71">
        <v>923</v>
      </c>
      <c r="H26" s="71">
        <v>5299</v>
      </c>
      <c r="I26" s="70">
        <v>581</v>
      </c>
      <c r="J26" s="71">
        <v>110</v>
      </c>
      <c r="K26" s="71">
        <v>471</v>
      </c>
      <c r="L26" s="70">
        <v>4158</v>
      </c>
      <c r="M26" s="71">
        <v>550</v>
      </c>
      <c r="N26" s="71">
        <v>3608</v>
      </c>
      <c r="O26" s="70">
        <v>2672</v>
      </c>
      <c r="P26" s="71">
        <v>487</v>
      </c>
      <c r="Q26" s="72">
        <v>2185</v>
      </c>
      <c r="R26" s="73">
        <v>8.1</v>
      </c>
      <c r="S26" s="73">
        <v>4.5</v>
      </c>
      <c r="T26" s="73">
        <v>9.5</v>
      </c>
      <c r="U26" s="74">
        <v>7.8</v>
      </c>
      <c r="V26" s="73">
        <v>4.2</v>
      </c>
      <c r="W26" s="73">
        <v>9.1999999999999993</v>
      </c>
      <c r="X26" s="74">
        <v>13.8</v>
      </c>
      <c r="Y26" s="73" t="s">
        <v>21</v>
      </c>
      <c r="Z26" s="73">
        <v>14.7</v>
      </c>
      <c r="AA26" s="74">
        <v>9.5</v>
      </c>
      <c r="AB26" s="73">
        <v>4.5</v>
      </c>
      <c r="AC26" s="73">
        <v>11.4</v>
      </c>
      <c r="AD26" s="74">
        <v>6.7</v>
      </c>
      <c r="AE26" s="73">
        <v>4.5999999999999996</v>
      </c>
      <c r="AF26" s="75">
        <v>7.4</v>
      </c>
    </row>
    <row r="27" spans="1:32" ht="12.6" customHeight="1" x14ac:dyDescent="0.2">
      <c r="A27" s="148"/>
      <c r="B27" s="69" t="s">
        <v>22</v>
      </c>
      <c r="C27" s="70">
        <v>9864</v>
      </c>
      <c r="D27" s="71">
        <v>1485</v>
      </c>
      <c r="E27" s="71">
        <v>8379</v>
      </c>
      <c r="F27" s="70">
        <v>8594</v>
      </c>
      <c r="G27" s="71">
        <v>1257</v>
      </c>
      <c r="H27" s="71">
        <v>7337</v>
      </c>
      <c r="I27" s="70">
        <v>1221</v>
      </c>
      <c r="J27" s="71">
        <v>206</v>
      </c>
      <c r="K27" s="71">
        <v>1015</v>
      </c>
      <c r="L27" s="70">
        <v>6081</v>
      </c>
      <c r="M27" s="71">
        <v>816</v>
      </c>
      <c r="N27" s="71">
        <v>5265</v>
      </c>
      <c r="O27" s="70">
        <v>3783</v>
      </c>
      <c r="P27" s="71">
        <v>669</v>
      </c>
      <c r="Q27" s="72">
        <v>3114</v>
      </c>
      <c r="R27" s="73">
        <v>8.9</v>
      </c>
      <c r="S27" s="73">
        <v>4.8</v>
      </c>
      <c r="T27" s="73">
        <v>10.4</v>
      </c>
      <c r="U27" s="74">
        <v>8.3000000000000007</v>
      </c>
      <c r="V27" s="73">
        <v>4.3</v>
      </c>
      <c r="W27" s="73">
        <v>9.9</v>
      </c>
      <c r="X27" s="74">
        <v>15.3</v>
      </c>
      <c r="Y27" s="73">
        <v>10.4</v>
      </c>
      <c r="Z27" s="73">
        <v>16.899999999999999</v>
      </c>
      <c r="AA27" s="74">
        <v>10.6</v>
      </c>
      <c r="AB27" s="73">
        <v>4.9000000000000004</v>
      </c>
      <c r="AC27" s="73">
        <v>12.9</v>
      </c>
      <c r="AD27" s="74">
        <v>7</v>
      </c>
      <c r="AE27" s="73">
        <v>4.7</v>
      </c>
      <c r="AF27" s="75">
        <v>7.9</v>
      </c>
    </row>
    <row r="28" spans="1:32" ht="12.6" customHeight="1" x14ac:dyDescent="0.2">
      <c r="A28" s="148"/>
      <c r="B28" s="69" t="s">
        <v>23</v>
      </c>
      <c r="C28" s="70">
        <v>6365</v>
      </c>
      <c r="D28" s="71">
        <v>1032</v>
      </c>
      <c r="E28" s="71">
        <v>5333</v>
      </c>
      <c r="F28" s="70">
        <v>5917</v>
      </c>
      <c r="G28" s="71">
        <v>935</v>
      </c>
      <c r="H28" s="71">
        <v>4982</v>
      </c>
      <c r="I28" s="70">
        <v>440</v>
      </c>
      <c r="J28" s="71">
        <v>92</v>
      </c>
      <c r="K28" s="71">
        <v>348</v>
      </c>
      <c r="L28" s="70">
        <v>3860</v>
      </c>
      <c r="M28" s="71">
        <v>568</v>
      </c>
      <c r="N28" s="71">
        <v>3292</v>
      </c>
      <c r="O28" s="70">
        <v>2505</v>
      </c>
      <c r="P28" s="71">
        <v>464</v>
      </c>
      <c r="Q28" s="72">
        <v>2041</v>
      </c>
      <c r="R28" s="73">
        <v>6.9</v>
      </c>
      <c r="S28" s="73">
        <v>3.4</v>
      </c>
      <c r="T28" s="73">
        <v>8.6999999999999993</v>
      </c>
      <c r="U28" s="74">
        <v>6.7</v>
      </c>
      <c r="V28" s="73">
        <v>3.2</v>
      </c>
      <c r="W28" s="73">
        <v>8.5</v>
      </c>
      <c r="X28" s="74">
        <v>12.9</v>
      </c>
      <c r="Y28" s="73" t="s">
        <v>21</v>
      </c>
      <c r="Z28" s="73">
        <v>14.4</v>
      </c>
      <c r="AA28" s="74">
        <v>8</v>
      </c>
      <c r="AB28" s="73">
        <v>3.4</v>
      </c>
      <c r="AC28" s="73">
        <v>10.4</v>
      </c>
      <c r="AD28" s="74">
        <v>5.8</v>
      </c>
      <c r="AE28" s="73">
        <v>3.4</v>
      </c>
      <c r="AF28" s="75">
        <v>6.9</v>
      </c>
    </row>
    <row r="29" spans="1:32" ht="12.6" customHeight="1" x14ac:dyDescent="0.2">
      <c r="A29" s="148"/>
      <c r="B29" s="69" t="s">
        <v>24</v>
      </c>
      <c r="C29" s="70">
        <v>9419</v>
      </c>
      <c r="D29" s="71">
        <v>1471</v>
      </c>
      <c r="E29" s="71">
        <v>7948</v>
      </c>
      <c r="F29" s="70">
        <v>8739</v>
      </c>
      <c r="G29" s="71">
        <v>1317</v>
      </c>
      <c r="H29" s="71">
        <v>7422</v>
      </c>
      <c r="I29" s="70">
        <v>668</v>
      </c>
      <c r="J29" s="71">
        <v>149</v>
      </c>
      <c r="K29" s="71">
        <v>519</v>
      </c>
      <c r="L29" s="70">
        <v>5577</v>
      </c>
      <c r="M29" s="71">
        <v>780</v>
      </c>
      <c r="N29" s="71">
        <v>4797</v>
      </c>
      <c r="O29" s="70">
        <v>3842</v>
      </c>
      <c r="P29" s="71">
        <v>691</v>
      </c>
      <c r="Q29" s="72">
        <v>3151</v>
      </c>
      <c r="R29" s="73">
        <v>6.1</v>
      </c>
      <c r="S29" s="73">
        <v>2.9</v>
      </c>
      <c r="T29" s="73">
        <v>7.7</v>
      </c>
      <c r="U29" s="74">
        <v>5.9</v>
      </c>
      <c r="V29" s="73">
        <v>2.7</v>
      </c>
      <c r="W29" s="73">
        <v>7.5</v>
      </c>
      <c r="X29" s="74">
        <v>11.4</v>
      </c>
      <c r="Y29" s="73">
        <v>9.3000000000000007</v>
      </c>
      <c r="Z29" s="73">
        <v>12.3</v>
      </c>
      <c r="AA29" s="74">
        <v>6.9</v>
      </c>
      <c r="AB29" s="73">
        <v>2.9</v>
      </c>
      <c r="AC29" s="73">
        <v>8.9</v>
      </c>
      <c r="AD29" s="74">
        <v>5.3</v>
      </c>
      <c r="AE29" s="73">
        <v>3</v>
      </c>
      <c r="AF29" s="75">
        <v>6.3</v>
      </c>
    </row>
    <row r="30" spans="1:32" ht="12.6" customHeight="1" x14ac:dyDescent="0.2">
      <c r="A30" s="147">
        <v>40359</v>
      </c>
      <c r="B30" s="76" t="s">
        <v>19</v>
      </c>
      <c r="C30" s="63">
        <v>29456</v>
      </c>
      <c r="D30" s="64">
        <v>4834</v>
      </c>
      <c r="E30" s="64">
        <v>24622</v>
      </c>
      <c r="F30" s="63">
        <v>26689</v>
      </c>
      <c r="G30" s="64">
        <v>4228</v>
      </c>
      <c r="H30" s="64">
        <v>22461</v>
      </c>
      <c r="I30" s="63">
        <v>2681</v>
      </c>
      <c r="J30" s="64">
        <v>572</v>
      </c>
      <c r="K30" s="64">
        <v>2109</v>
      </c>
      <c r="L30" s="63">
        <v>17057</v>
      </c>
      <c r="M30" s="64">
        <v>2590</v>
      </c>
      <c r="N30" s="64">
        <v>14467</v>
      </c>
      <c r="O30" s="63">
        <v>12399</v>
      </c>
      <c r="P30" s="64">
        <v>2244</v>
      </c>
      <c r="Q30" s="65">
        <v>10155</v>
      </c>
      <c r="R30" s="66">
        <v>6.6</v>
      </c>
      <c r="S30" s="66">
        <v>3.5</v>
      </c>
      <c r="T30" s="66">
        <v>8</v>
      </c>
      <c r="U30" s="67">
        <v>6.3</v>
      </c>
      <c r="V30" s="66">
        <v>3.2</v>
      </c>
      <c r="W30" s="66">
        <v>7.7</v>
      </c>
      <c r="X30" s="67">
        <v>12.6</v>
      </c>
      <c r="Y30" s="66">
        <v>9.9</v>
      </c>
      <c r="Z30" s="66">
        <v>13.5</v>
      </c>
      <c r="AA30" s="67">
        <v>7.4</v>
      </c>
      <c r="AB30" s="66">
        <v>3.5</v>
      </c>
      <c r="AC30" s="66">
        <v>9.1999999999999993</v>
      </c>
      <c r="AD30" s="67">
        <v>5.9</v>
      </c>
      <c r="AE30" s="66">
        <v>3.5</v>
      </c>
      <c r="AF30" s="68">
        <v>6.9</v>
      </c>
    </row>
    <row r="31" spans="1:32" ht="12.6" customHeight="1" x14ac:dyDescent="0.2">
      <c r="A31" s="148"/>
      <c r="B31" s="69" t="s">
        <v>20</v>
      </c>
      <c r="C31" s="70">
        <v>6190</v>
      </c>
      <c r="D31" s="71">
        <v>982</v>
      </c>
      <c r="E31" s="71">
        <v>5208</v>
      </c>
      <c r="F31" s="70">
        <v>5658</v>
      </c>
      <c r="G31" s="71">
        <v>865</v>
      </c>
      <c r="H31" s="71">
        <v>4793</v>
      </c>
      <c r="I31" s="70">
        <v>514</v>
      </c>
      <c r="J31" s="71">
        <v>111</v>
      </c>
      <c r="K31" s="71">
        <v>403</v>
      </c>
      <c r="L31" s="70">
        <v>3602</v>
      </c>
      <c r="M31" s="71">
        <v>536</v>
      </c>
      <c r="N31" s="71">
        <v>3066</v>
      </c>
      <c r="O31" s="70">
        <v>2588</v>
      </c>
      <c r="P31" s="71">
        <v>446</v>
      </c>
      <c r="Q31" s="72">
        <v>2142</v>
      </c>
      <c r="R31" s="73">
        <v>7.4</v>
      </c>
      <c r="S31" s="73">
        <v>4.2</v>
      </c>
      <c r="T31" s="73">
        <v>8.6</v>
      </c>
      <c r="U31" s="74">
        <v>7.1</v>
      </c>
      <c r="V31" s="73">
        <v>3.9</v>
      </c>
      <c r="W31" s="73">
        <v>8.4</v>
      </c>
      <c r="X31" s="74">
        <v>12.4</v>
      </c>
      <c r="Y31" s="73">
        <v>10.8</v>
      </c>
      <c r="Z31" s="73">
        <v>12.9</v>
      </c>
      <c r="AA31" s="74">
        <v>8.1999999999999993</v>
      </c>
      <c r="AB31" s="73">
        <v>4.3</v>
      </c>
      <c r="AC31" s="73">
        <v>9.8000000000000007</v>
      </c>
      <c r="AD31" s="74">
        <v>6.5</v>
      </c>
      <c r="AE31" s="73">
        <v>4.2</v>
      </c>
      <c r="AF31" s="75">
        <v>7.4</v>
      </c>
    </row>
    <row r="32" spans="1:32" ht="12.6" customHeight="1" x14ac:dyDescent="0.2">
      <c r="A32" s="148"/>
      <c r="B32" s="69" t="s">
        <v>22</v>
      </c>
      <c r="C32" s="70">
        <v>9090</v>
      </c>
      <c r="D32" s="71">
        <v>1489</v>
      </c>
      <c r="E32" s="71">
        <v>7601</v>
      </c>
      <c r="F32" s="70">
        <v>7877</v>
      </c>
      <c r="G32" s="71">
        <v>1209</v>
      </c>
      <c r="H32" s="71">
        <v>6668</v>
      </c>
      <c r="I32" s="70">
        <v>1161</v>
      </c>
      <c r="J32" s="71">
        <v>255</v>
      </c>
      <c r="K32" s="71">
        <v>906</v>
      </c>
      <c r="L32" s="70">
        <v>5316</v>
      </c>
      <c r="M32" s="71">
        <v>793</v>
      </c>
      <c r="N32" s="71">
        <v>4523</v>
      </c>
      <c r="O32" s="70">
        <v>3774</v>
      </c>
      <c r="P32" s="71">
        <v>696</v>
      </c>
      <c r="Q32" s="72">
        <v>3078</v>
      </c>
      <c r="R32" s="73">
        <v>8.1999999999999993</v>
      </c>
      <c r="S32" s="73">
        <v>4.8</v>
      </c>
      <c r="T32" s="73">
        <v>9.5</v>
      </c>
      <c r="U32" s="74">
        <v>7.7</v>
      </c>
      <c r="V32" s="73">
        <v>4.2</v>
      </c>
      <c r="W32" s="73">
        <v>9</v>
      </c>
      <c r="X32" s="74">
        <v>14.9</v>
      </c>
      <c r="Y32" s="73">
        <v>12.2</v>
      </c>
      <c r="Z32" s="73">
        <v>15.8</v>
      </c>
      <c r="AA32" s="74">
        <v>9.3000000000000007</v>
      </c>
      <c r="AB32" s="73">
        <v>4.8</v>
      </c>
      <c r="AC32" s="73">
        <v>11.2</v>
      </c>
      <c r="AD32" s="74">
        <v>7</v>
      </c>
      <c r="AE32" s="73">
        <v>4.7</v>
      </c>
      <c r="AF32" s="75">
        <v>7.8</v>
      </c>
    </row>
    <row r="33" spans="1:32" ht="12.6" customHeight="1" x14ac:dyDescent="0.2">
      <c r="A33" s="148"/>
      <c r="B33" s="69" t="s">
        <v>23</v>
      </c>
      <c r="C33" s="70">
        <v>5920</v>
      </c>
      <c r="D33" s="71">
        <v>964</v>
      </c>
      <c r="E33" s="71">
        <v>4956</v>
      </c>
      <c r="F33" s="70">
        <v>5470</v>
      </c>
      <c r="G33" s="71">
        <v>872</v>
      </c>
      <c r="H33" s="71">
        <v>4598</v>
      </c>
      <c r="I33" s="70">
        <v>445</v>
      </c>
      <c r="J33" s="71">
        <v>92</v>
      </c>
      <c r="K33" s="71">
        <v>353</v>
      </c>
      <c r="L33" s="70">
        <v>3500</v>
      </c>
      <c r="M33" s="71">
        <v>537</v>
      </c>
      <c r="N33" s="71">
        <v>2963</v>
      </c>
      <c r="O33" s="70">
        <v>2420</v>
      </c>
      <c r="P33" s="71">
        <v>427</v>
      </c>
      <c r="Q33" s="72">
        <v>1993</v>
      </c>
      <c r="R33" s="73">
        <v>6.4</v>
      </c>
      <c r="S33" s="73">
        <v>3.1</v>
      </c>
      <c r="T33" s="73">
        <v>8.1</v>
      </c>
      <c r="U33" s="74">
        <v>6.1</v>
      </c>
      <c r="V33" s="73">
        <v>2.9</v>
      </c>
      <c r="W33" s="73">
        <v>7.8</v>
      </c>
      <c r="X33" s="74">
        <v>13.4</v>
      </c>
      <c r="Y33" s="73" t="s">
        <v>21</v>
      </c>
      <c r="Z33" s="73">
        <v>14.7</v>
      </c>
      <c r="AA33" s="74">
        <v>7.2</v>
      </c>
      <c r="AB33" s="73">
        <v>3.2</v>
      </c>
      <c r="AC33" s="73">
        <v>9.3000000000000007</v>
      </c>
      <c r="AD33" s="74">
        <v>5.5</v>
      </c>
      <c r="AE33" s="73">
        <v>3</v>
      </c>
      <c r="AF33" s="75">
        <v>6.7</v>
      </c>
    </row>
    <row r="34" spans="1:32" ht="12.6" customHeight="1" x14ac:dyDescent="0.2">
      <c r="A34" s="148"/>
      <c r="B34" s="69" t="s">
        <v>24</v>
      </c>
      <c r="C34" s="70">
        <v>8256</v>
      </c>
      <c r="D34" s="71">
        <v>1399</v>
      </c>
      <c r="E34" s="71">
        <v>6857</v>
      </c>
      <c r="F34" s="70">
        <v>7684</v>
      </c>
      <c r="G34" s="71">
        <v>1282</v>
      </c>
      <c r="H34" s="71">
        <v>6402</v>
      </c>
      <c r="I34" s="70">
        <v>561</v>
      </c>
      <c r="J34" s="71">
        <v>114</v>
      </c>
      <c r="K34" s="71">
        <v>447</v>
      </c>
      <c r="L34" s="70">
        <v>4639</v>
      </c>
      <c r="M34" s="71">
        <v>724</v>
      </c>
      <c r="N34" s="71">
        <v>3915</v>
      </c>
      <c r="O34" s="70">
        <v>3617</v>
      </c>
      <c r="P34" s="71">
        <v>675</v>
      </c>
      <c r="Q34" s="72">
        <v>2942</v>
      </c>
      <c r="R34" s="73">
        <v>5.3</v>
      </c>
      <c r="S34" s="73">
        <v>2.7</v>
      </c>
      <c r="T34" s="73">
        <v>6.6</v>
      </c>
      <c r="U34" s="74">
        <v>5.0999999999999996</v>
      </c>
      <c r="V34" s="73">
        <v>2.6</v>
      </c>
      <c r="W34" s="73">
        <v>6.4</v>
      </c>
      <c r="X34" s="74">
        <v>9.3000000000000007</v>
      </c>
      <c r="Y34" s="73">
        <v>6.7</v>
      </c>
      <c r="Z34" s="73">
        <v>10.3</v>
      </c>
      <c r="AA34" s="74">
        <v>5.7</v>
      </c>
      <c r="AB34" s="73">
        <v>2.6</v>
      </c>
      <c r="AC34" s="73">
        <v>7.2</v>
      </c>
      <c r="AD34" s="74">
        <v>4.9000000000000004</v>
      </c>
      <c r="AE34" s="73">
        <v>2.8</v>
      </c>
      <c r="AF34" s="75">
        <v>5.9</v>
      </c>
    </row>
    <row r="35" spans="1:32" ht="12.6" customHeight="1" x14ac:dyDescent="0.2">
      <c r="A35" s="147">
        <v>40724</v>
      </c>
      <c r="B35" s="76" t="s">
        <v>19</v>
      </c>
      <c r="C35" s="63">
        <v>24220</v>
      </c>
      <c r="D35" s="64">
        <v>3968</v>
      </c>
      <c r="E35" s="64">
        <v>20252</v>
      </c>
      <c r="F35" s="63">
        <v>21595</v>
      </c>
      <c r="G35" s="64">
        <v>3438</v>
      </c>
      <c r="H35" s="64">
        <v>18157</v>
      </c>
      <c r="I35" s="63">
        <v>2561</v>
      </c>
      <c r="J35" s="64">
        <v>504</v>
      </c>
      <c r="K35" s="64">
        <v>2057</v>
      </c>
      <c r="L35" s="63">
        <v>13555</v>
      </c>
      <c r="M35" s="64">
        <v>2147</v>
      </c>
      <c r="N35" s="64">
        <v>11408</v>
      </c>
      <c r="O35" s="63">
        <v>10665</v>
      </c>
      <c r="P35" s="64">
        <v>1821</v>
      </c>
      <c r="Q35" s="65">
        <v>8844</v>
      </c>
      <c r="R35" s="66">
        <v>5.4</v>
      </c>
      <c r="S35" s="66">
        <v>2.9</v>
      </c>
      <c r="T35" s="66">
        <v>6.5</v>
      </c>
      <c r="U35" s="67">
        <v>5.0999999999999996</v>
      </c>
      <c r="V35" s="66">
        <v>2.6</v>
      </c>
      <c r="W35" s="66">
        <v>6.1</v>
      </c>
      <c r="X35" s="67">
        <v>11.7</v>
      </c>
      <c r="Y35" s="66">
        <v>8.9</v>
      </c>
      <c r="Z35" s="66">
        <v>12.7</v>
      </c>
      <c r="AA35" s="67">
        <v>5.8</v>
      </c>
      <c r="AB35" s="66">
        <v>2.9</v>
      </c>
      <c r="AC35" s="66">
        <v>7.1</v>
      </c>
      <c r="AD35" s="67">
        <v>5</v>
      </c>
      <c r="AE35" s="66">
        <v>2.9</v>
      </c>
      <c r="AF35" s="68">
        <v>5.9</v>
      </c>
    </row>
    <row r="36" spans="1:32" ht="12.6" customHeight="1" x14ac:dyDescent="0.2">
      <c r="A36" s="148"/>
      <c r="B36" s="69" t="s">
        <v>20</v>
      </c>
      <c r="C36" s="70">
        <v>4921</v>
      </c>
      <c r="D36" s="71">
        <v>838</v>
      </c>
      <c r="E36" s="71">
        <v>4083</v>
      </c>
      <c r="F36" s="70">
        <v>4464</v>
      </c>
      <c r="G36" s="71">
        <v>729</v>
      </c>
      <c r="H36" s="71">
        <v>3735</v>
      </c>
      <c r="I36" s="70">
        <v>445</v>
      </c>
      <c r="J36" s="71">
        <v>106</v>
      </c>
      <c r="K36" s="71">
        <v>339</v>
      </c>
      <c r="L36" s="70">
        <v>2777</v>
      </c>
      <c r="M36" s="71">
        <v>455</v>
      </c>
      <c r="N36" s="71">
        <v>2322</v>
      </c>
      <c r="O36" s="70">
        <v>2144</v>
      </c>
      <c r="P36" s="71">
        <v>383</v>
      </c>
      <c r="Q36" s="72">
        <v>1761</v>
      </c>
      <c r="R36" s="73">
        <v>5.8</v>
      </c>
      <c r="S36" s="73">
        <v>3.7</v>
      </c>
      <c r="T36" s="73">
        <v>6.6</v>
      </c>
      <c r="U36" s="74">
        <v>5.6</v>
      </c>
      <c r="V36" s="73">
        <v>3.4</v>
      </c>
      <c r="W36" s="73">
        <v>6.4</v>
      </c>
      <c r="X36" s="74">
        <v>10.7</v>
      </c>
      <c r="Y36" s="73">
        <v>10.199999999999999</v>
      </c>
      <c r="Z36" s="73">
        <v>10.9</v>
      </c>
      <c r="AA36" s="74">
        <v>6.3</v>
      </c>
      <c r="AB36" s="73">
        <v>3.7</v>
      </c>
      <c r="AC36" s="73">
        <v>7.3</v>
      </c>
      <c r="AD36" s="74">
        <v>5.3</v>
      </c>
      <c r="AE36" s="73">
        <v>3.6</v>
      </c>
      <c r="AF36" s="75">
        <v>5.9</v>
      </c>
    </row>
    <row r="37" spans="1:32" ht="12.6" customHeight="1" x14ac:dyDescent="0.2">
      <c r="A37" s="148"/>
      <c r="B37" s="69" t="s">
        <v>22</v>
      </c>
      <c r="C37" s="70">
        <v>7866</v>
      </c>
      <c r="D37" s="71">
        <v>1328</v>
      </c>
      <c r="E37" s="71">
        <v>6538</v>
      </c>
      <c r="F37" s="70">
        <v>6601</v>
      </c>
      <c r="G37" s="71">
        <v>1074</v>
      </c>
      <c r="H37" s="71">
        <v>5527</v>
      </c>
      <c r="I37" s="70">
        <v>1229</v>
      </c>
      <c r="J37" s="71">
        <v>237</v>
      </c>
      <c r="K37" s="71">
        <v>992</v>
      </c>
      <c r="L37" s="70">
        <v>4432</v>
      </c>
      <c r="M37" s="71">
        <v>714</v>
      </c>
      <c r="N37" s="71">
        <v>3718</v>
      </c>
      <c r="O37" s="70">
        <v>3434</v>
      </c>
      <c r="P37" s="71">
        <v>614</v>
      </c>
      <c r="Q37" s="72">
        <v>2820</v>
      </c>
      <c r="R37" s="73">
        <v>7</v>
      </c>
      <c r="S37" s="73">
        <v>4.2</v>
      </c>
      <c r="T37" s="73">
        <v>8.1</v>
      </c>
      <c r="U37" s="74">
        <v>6.4</v>
      </c>
      <c r="V37" s="73">
        <v>3.7</v>
      </c>
      <c r="W37" s="73">
        <v>7.4</v>
      </c>
      <c r="X37" s="74">
        <v>15.7</v>
      </c>
      <c r="Y37" s="73">
        <v>11.8</v>
      </c>
      <c r="Z37" s="73">
        <v>17.100000000000001</v>
      </c>
      <c r="AA37" s="74">
        <v>7.7</v>
      </c>
      <c r="AB37" s="73">
        <v>4.3</v>
      </c>
      <c r="AC37" s="73">
        <v>9.1999999999999993</v>
      </c>
      <c r="AD37" s="74">
        <v>6.3</v>
      </c>
      <c r="AE37" s="73">
        <v>4.2</v>
      </c>
      <c r="AF37" s="75">
        <v>7.1</v>
      </c>
    </row>
    <row r="38" spans="1:32" ht="12.6" customHeight="1" x14ac:dyDescent="0.2">
      <c r="A38" s="148"/>
      <c r="B38" s="69" t="s">
        <v>23</v>
      </c>
      <c r="C38" s="70">
        <v>5005</v>
      </c>
      <c r="D38" s="71">
        <v>814</v>
      </c>
      <c r="E38" s="71">
        <v>4191</v>
      </c>
      <c r="F38" s="70">
        <v>4623</v>
      </c>
      <c r="G38" s="71">
        <v>744</v>
      </c>
      <c r="H38" s="71">
        <v>3879</v>
      </c>
      <c r="I38" s="70">
        <v>377</v>
      </c>
      <c r="J38" s="71">
        <v>68</v>
      </c>
      <c r="K38" s="71">
        <v>309</v>
      </c>
      <c r="L38" s="70">
        <v>2839</v>
      </c>
      <c r="M38" s="71">
        <v>451</v>
      </c>
      <c r="N38" s="71">
        <v>2388</v>
      </c>
      <c r="O38" s="70">
        <v>2166</v>
      </c>
      <c r="P38" s="71">
        <v>363</v>
      </c>
      <c r="Q38" s="72">
        <v>1803</v>
      </c>
      <c r="R38" s="73">
        <v>5.4</v>
      </c>
      <c r="S38" s="73">
        <v>2.7</v>
      </c>
      <c r="T38" s="73">
        <v>6.8</v>
      </c>
      <c r="U38" s="74">
        <v>5.2</v>
      </c>
      <c r="V38" s="73">
        <v>2.5</v>
      </c>
      <c r="W38" s="73">
        <v>6.5</v>
      </c>
      <c r="X38" s="74">
        <v>12.2</v>
      </c>
      <c r="Y38" s="73" t="s">
        <v>21</v>
      </c>
      <c r="Z38" s="73">
        <v>13.4</v>
      </c>
      <c r="AA38" s="74">
        <v>5.8</v>
      </c>
      <c r="AB38" s="73">
        <v>2.7</v>
      </c>
      <c r="AC38" s="73">
        <v>7.4</v>
      </c>
      <c r="AD38" s="74">
        <v>5</v>
      </c>
      <c r="AE38" s="73">
        <v>2.6</v>
      </c>
      <c r="AF38" s="75">
        <v>6.1</v>
      </c>
    </row>
    <row r="39" spans="1:32" ht="12.6" customHeight="1" x14ac:dyDescent="0.2">
      <c r="A39" s="148"/>
      <c r="B39" s="69" t="s">
        <v>24</v>
      </c>
      <c r="C39" s="70">
        <v>6428</v>
      </c>
      <c r="D39" s="71">
        <v>988</v>
      </c>
      <c r="E39" s="71">
        <v>5440</v>
      </c>
      <c r="F39" s="70">
        <v>5907</v>
      </c>
      <c r="G39" s="71">
        <v>891</v>
      </c>
      <c r="H39" s="71">
        <v>5016</v>
      </c>
      <c r="I39" s="70">
        <v>510</v>
      </c>
      <c r="J39" s="71">
        <v>93</v>
      </c>
      <c r="K39" s="71">
        <v>417</v>
      </c>
      <c r="L39" s="70">
        <v>3507</v>
      </c>
      <c r="M39" s="71">
        <v>527</v>
      </c>
      <c r="N39" s="71">
        <v>2980</v>
      </c>
      <c r="O39" s="70">
        <v>2921</v>
      </c>
      <c r="P39" s="71">
        <v>461</v>
      </c>
      <c r="Q39" s="72">
        <v>2460</v>
      </c>
      <c r="R39" s="73">
        <v>4</v>
      </c>
      <c r="S39" s="73">
        <v>1.9</v>
      </c>
      <c r="T39" s="73">
        <v>5</v>
      </c>
      <c r="U39" s="74">
        <v>3.9</v>
      </c>
      <c r="V39" s="73">
        <v>1.8</v>
      </c>
      <c r="W39" s="73">
        <v>4.9000000000000004</v>
      </c>
      <c r="X39" s="74">
        <v>7.5</v>
      </c>
      <c r="Y39" s="73">
        <v>5.2</v>
      </c>
      <c r="Z39" s="73">
        <v>8.3000000000000007</v>
      </c>
      <c r="AA39" s="74">
        <v>4.0999999999999996</v>
      </c>
      <c r="AB39" s="73">
        <v>1.9</v>
      </c>
      <c r="AC39" s="73">
        <v>5.3</v>
      </c>
      <c r="AD39" s="74">
        <v>3.9</v>
      </c>
      <c r="AE39" s="73">
        <v>1.9</v>
      </c>
      <c r="AF39" s="75">
        <v>4.8</v>
      </c>
    </row>
    <row r="40" spans="1:32" ht="12.6" customHeight="1" x14ac:dyDescent="0.2">
      <c r="A40" s="147">
        <v>41090</v>
      </c>
      <c r="B40" s="76" t="s">
        <v>19</v>
      </c>
      <c r="C40" s="63">
        <v>23340</v>
      </c>
      <c r="D40" s="64">
        <v>3989</v>
      </c>
      <c r="E40" s="64">
        <v>19351</v>
      </c>
      <c r="F40" s="63">
        <v>20614</v>
      </c>
      <c r="G40" s="64">
        <v>3445</v>
      </c>
      <c r="H40" s="64">
        <v>17169</v>
      </c>
      <c r="I40" s="63">
        <v>2633</v>
      </c>
      <c r="J40" s="64">
        <v>510</v>
      </c>
      <c r="K40" s="64">
        <v>2123</v>
      </c>
      <c r="L40" s="63">
        <v>13209</v>
      </c>
      <c r="M40" s="64">
        <v>2198</v>
      </c>
      <c r="N40" s="64">
        <v>11011</v>
      </c>
      <c r="O40" s="63">
        <v>10131</v>
      </c>
      <c r="P40" s="64">
        <v>1791</v>
      </c>
      <c r="Q40" s="65">
        <v>8340</v>
      </c>
      <c r="R40" s="66">
        <v>5.2</v>
      </c>
      <c r="S40" s="66">
        <v>3</v>
      </c>
      <c r="T40" s="66">
        <v>6.1</v>
      </c>
      <c r="U40" s="67">
        <v>4.8</v>
      </c>
      <c r="V40" s="66">
        <v>2.7</v>
      </c>
      <c r="W40" s="66">
        <v>5.7</v>
      </c>
      <c r="X40" s="67">
        <v>10.9</v>
      </c>
      <c r="Y40" s="66">
        <v>8.1999999999999993</v>
      </c>
      <c r="Z40" s="66">
        <v>11.8</v>
      </c>
      <c r="AA40" s="67">
        <v>5.5</v>
      </c>
      <c r="AB40" s="66">
        <v>3.1</v>
      </c>
      <c r="AC40" s="66">
        <v>6.6</v>
      </c>
      <c r="AD40" s="67">
        <v>4.7</v>
      </c>
      <c r="AE40" s="66">
        <v>2.9</v>
      </c>
      <c r="AF40" s="68">
        <v>5.5</v>
      </c>
    </row>
    <row r="41" spans="1:32" ht="12.6" customHeight="1" x14ac:dyDescent="0.2">
      <c r="A41" s="148"/>
      <c r="B41" s="69" t="s">
        <v>20</v>
      </c>
      <c r="C41" s="70">
        <v>4291</v>
      </c>
      <c r="D41" s="71">
        <v>732</v>
      </c>
      <c r="E41" s="71">
        <v>3559</v>
      </c>
      <c r="F41" s="70">
        <v>3872</v>
      </c>
      <c r="G41" s="71">
        <v>653</v>
      </c>
      <c r="H41" s="71">
        <v>3219</v>
      </c>
      <c r="I41" s="70">
        <v>408</v>
      </c>
      <c r="J41" s="71">
        <v>74</v>
      </c>
      <c r="K41" s="71">
        <v>334</v>
      </c>
      <c r="L41" s="70">
        <v>2436</v>
      </c>
      <c r="M41" s="71">
        <v>403</v>
      </c>
      <c r="N41" s="71">
        <v>2033</v>
      </c>
      <c r="O41" s="70">
        <v>1855</v>
      </c>
      <c r="P41" s="71">
        <v>329</v>
      </c>
      <c r="Q41" s="72">
        <v>1526</v>
      </c>
      <c r="R41" s="73">
        <v>5.0999999999999996</v>
      </c>
      <c r="S41" s="73">
        <v>3.3</v>
      </c>
      <c r="T41" s="73">
        <v>5.6</v>
      </c>
      <c r="U41" s="74">
        <v>4.8</v>
      </c>
      <c r="V41" s="73">
        <v>3.1</v>
      </c>
      <c r="W41" s="73">
        <v>5.4</v>
      </c>
      <c r="X41" s="74">
        <v>9.6</v>
      </c>
      <c r="Y41" s="73" t="s">
        <v>21</v>
      </c>
      <c r="Z41" s="73">
        <v>10.3</v>
      </c>
      <c r="AA41" s="74">
        <v>5.4</v>
      </c>
      <c r="AB41" s="73">
        <v>3.5</v>
      </c>
      <c r="AC41" s="73">
        <v>6.1</v>
      </c>
      <c r="AD41" s="74">
        <v>4.5999999999999996</v>
      </c>
      <c r="AE41" s="73">
        <v>3.2</v>
      </c>
      <c r="AF41" s="75">
        <v>5.0999999999999996</v>
      </c>
    </row>
    <row r="42" spans="1:32" ht="12.6" customHeight="1" x14ac:dyDescent="0.2">
      <c r="A42" s="148"/>
      <c r="B42" s="69" t="s">
        <v>22</v>
      </c>
      <c r="C42" s="70">
        <v>7587</v>
      </c>
      <c r="D42" s="71">
        <v>1339</v>
      </c>
      <c r="E42" s="71">
        <v>6248</v>
      </c>
      <c r="F42" s="70">
        <v>6333</v>
      </c>
      <c r="G42" s="71">
        <v>1088</v>
      </c>
      <c r="H42" s="71">
        <v>5245</v>
      </c>
      <c r="I42" s="70">
        <v>1199</v>
      </c>
      <c r="J42" s="71">
        <v>231</v>
      </c>
      <c r="K42" s="71">
        <v>968</v>
      </c>
      <c r="L42" s="70">
        <v>4341</v>
      </c>
      <c r="M42" s="71">
        <v>723</v>
      </c>
      <c r="N42" s="71">
        <v>3618</v>
      </c>
      <c r="O42" s="70">
        <v>3246</v>
      </c>
      <c r="P42" s="71">
        <v>616</v>
      </c>
      <c r="Q42" s="72">
        <v>2630</v>
      </c>
      <c r="R42" s="73">
        <v>6.8</v>
      </c>
      <c r="S42" s="73">
        <v>4.4000000000000004</v>
      </c>
      <c r="T42" s="73">
        <v>7.6</v>
      </c>
      <c r="U42" s="74">
        <v>6.1</v>
      </c>
      <c r="V42" s="73">
        <v>3.9</v>
      </c>
      <c r="W42" s="73">
        <v>6.9</v>
      </c>
      <c r="X42" s="74">
        <v>14.7</v>
      </c>
      <c r="Y42" s="73">
        <v>11.2</v>
      </c>
      <c r="Z42" s="73">
        <v>15.9</v>
      </c>
      <c r="AA42" s="74">
        <v>7.5</v>
      </c>
      <c r="AB42" s="73">
        <v>4.5</v>
      </c>
      <c r="AC42" s="73">
        <v>8.6</v>
      </c>
      <c r="AD42" s="74">
        <v>6</v>
      </c>
      <c r="AE42" s="73">
        <v>4.3</v>
      </c>
      <c r="AF42" s="75">
        <v>6.6</v>
      </c>
    </row>
    <row r="43" spans="1:32" ht="12.6" customHeight="1" x14ac:dyDescent="0.2">
      <c r="A43" s="148"/>
      <c r="B43" s="69" t="s">
        <v>23</v>
      </c>
      <c r="C43" s="70">
        <v>5018</v>
      </c>
      <c r="D43" s="71">
        <v>825</v>
      </c>
      <c r="E43" s="71">
        <v>4193</v>
      </c>
      <c r="F43" s="70">
        <v>4604</v>
      </c>
      <c r="G43" s="71">
        <v>738</v>
      </c>
      <c r="H43" s="71">
        <v>3866</v>
      </c>
      <c r="I43" s="70">
        <v>403</v>
      </c>
      <c r="J43" s="71">
        <v>84</v>
      </c>
      <c r="K43" s="71">
        <v>319</v>
      </c>
      <c r="L43" s="70">
        <v>2926</v>
      </c>
      <c r="M43" s="71">
        <v>472</v>
      </c>
      <c r="N43" s="71">
        <v>2454</v>
      </c>
      <c r="O43" s="70">
        <v>2092</v>
      </c>
      <c r="P43" s="71">
        <v>353</v>
      </c>
      <c r="Q43" s="72">
        <v>1739</v>
      </c>
      <c r="R43" s="73">
        <v>5.3</v>
      </c>
      <c r="S43" s="73">
        <v>2.7</v>
      </c>
      <c r="T43" s="73">
        <v>6.6</v>
      </c>
      <c r="U43" s="74">
        <v>5.0999999999999996</v>
      </c>
      <c r="V43" s="73">
        <v>2.5</v>
      </c>
      <c r="W43" s="73">
        <v>6.4</v>
      </c>
      <c r="X43" s="74">
        <v>11</v>
      </c>
      <c r="Y43" s="73" t="s">
        <v>21</v>
      </c>
      <c r="Z43" s="73">
        <v>11.8</v>
      </c>
      <c r="AA43" s="74">
        <v>5.8</v>
      </c>
      <c r="AB43" s="73">
        <v>2.9</v>
      </c>
      <c r="AC43" s="73">
        <v>7.3</v>
      </c>
      <c r="AD43" s="74">
        <v>4.8</v>
      </c>
      <c r="AE43" s="73">
        <v>2.6</v>
      </c>
      <c r="AF43" s="75">
        <v>5.8</v>
      </c>
    </row>
    <row r="44" spans="1:32" ht="12.6" customHeight="1" x14ac:dyDescent="0.2">
      <c r="A44" s="148"/>
      <c r="B44" s="69" t="s">
        <v>24</v>
      </c>
      <c r="C44" s="70">
        <v>6444</v>
      </c>
      <c r="D44" s="71">
        <v>1093</v>
      </c>
      <c r="E44" s="71">
        <v>5351</v>
      </c>
      <c r="F44" s="70">
        <v>5805</v>
      </c>
      <c r="G44" s="71">
        <v>966</v>
      </c>
      <c r="H44" s="71">
        <v>4839</v>
      </c>
      <c r="I44" s="70">
        <v>623</v>
      </c>
      <c r="J44" s="71">
        <v>121</v>
      </c>
      <c r="K44" s="71">
        <v>502</v>
      </c>
      <c r="L44" s="70">
        <v>3506</v>
      </c>
      <c r="M44" s="71">
        <v>600</v>
      </c>
      <c r="N44" s="71">
        <v>2906</v>
      </c>
      <c r="O44" s="70">
        <v>2938</v>
      </c>
      <c r="P44" s="71">
        <v>493</v>
      </c>
      <c r="Q44" s="72">
        <v>2445</v>
      </c>
      <c r="R44" s="73">
        <v>4</v>
      </c>
      <c r="S44" s="73">
        <v>2.1</v>
      </c>
      <c r="T44" s="73">
        <v>4.8</v>
      </c>
      <c r="U44" s="74">
        <v>3.8</v>
      </c>
      <c r="V44" s="73">
        <v>2</v>
      </c>
      <c r="W44" s="73">
        <v>4.5999999999999996</v>
      </c>
      <c r="X44" s="74">
        <v>7.8</v>
      </c>
      <c r="Y44" s="73">
        <v>5.6</v>
      </c>
      <c r="Z44" s="73">
        <v>8.6</v>
      </c>
      <c r="AA44" s="74">
        <v>4.0999999999999996</v>
      </c>
      <c r="AB44" s="73">
        <v>2.2000000000000002</v>
      </c>
      <c r="AC44" s="73">
        <v>5</v>
      </c>
      <c r="AD44" s="74">
        <v>3.9</v>
      </c>
      <c r="AE44" s="73">
        <v>2.1</v>
      </c>
      <c r="AF44" s="75">
        <v>4.7</v>
      </c>
    </row>
    <row r="45" spans="1:32" ht="12.6" customHeight="1" x14ac:dyDescent="0.2">
      <c r="A45" s="147">
        <v>41455</v>
      </c>
      <c r="B45" s="76" t="s">
        <v>19</v>
      </c>
      <c r="C45" s="63">
        <v>26089</v>
      </c>
      <c r="D45" s="64">
        <v>4168</v>
      </c>
      <c r="E45" s="64">
        <v>21921</v>
      </c>
      <c r="F45" s="63">
        <v>22991</v>
      </c>
      <c r="G45" s="64">
        <v>3573</v>
      </c>
      <c r="H45" s="64">
        <v>19418</v>
      </c>
      <c r="I45" s="63">
        <v>3011</v>
      </c>
      <c r="J45" s="64">
        <v>566</v>
      </c>
      <c r="K45" s="64">
        <v>2445</v>
      </c>
      <c r="L45" s="63">
        <v>14840</v>
      </c>
      <c r="M45" s="64">
        <v>2238</v>
      </c>
      <c r="N45" s="64">
        <v>12602</v>
      </c>
      <c r="O45" s="63">
        <v>11249</v>
      </c>
      <c r="P45" s="64">
        <v>1930</v>
      </c>
      <c r="Q45" s="65">
        <v>9319</v>
      </c>
      <c r="R45" s="66">
        <v>5.7</v>
      </c>
      <c r="S45" s="66">
        <v>3.1</v>
      </c>
      <c r="T45" s="66">
        <v>6.7</v>
      </c>
      <c r="U45" s="67">
        <v>5.3</v>
      </c>
      <c r="V45" s="66">
        <v>2.8</v>
      </c>
      <c r="W45" s="66">
        <v>6.4</v>
      </c>
      <c r="X45" s="67">
        <v>11</v>
      </c>
      <c r="Y45" s="66">
        <v>9.1999999999999993</v>
      </c>
      <c r="Z45" s="66">
        <v>11.5</v>
      </c>
      <c r="AA45" s="67">
        <v>6.1</v>
      </c>
      <c r="AB45" s="66">
        <v>3.1</v>
      </c>
      <c r="AC45" s="66">
        <v>7.4</v>
      </c>
      <c r="AD45" s="67">
        <v>5.2</v>
      </c>
      <c r="AE45" s="66">
        <v>3.1</v>
      </c>
      <c r="AF45" s="68">
        <v>6</v>
      </c>
    </row>
    <row r="46" spans="1:32" ht="12.6" customHeight="1" x14ac:dyDescent="0.2">
      <c r="A46" s="148"/>
      <c r="B46" s="69" t="s">
        <v>20</v>
      </c>
      <c r="C46" s="70">
        <v>4738</v>
      </c>
      <c r="D46" s="71">
        <v>741</v>
      </c>
      <c r="E46" s="71">
        <v>3997</v>
      </c>
      <c r="F46" s="70">
        <v>4256</v>
      </c>
      <c r="G46" s="71">
        <v>660</v>
      </c>
      <c r="H46" s="71">
        <v>3596</v>
      </c>
      <c r="I46" s="70">
        <v>469</v>
      </c>
      <c r="J46" s="71">
        <v>79</v>
      </c>
      <c r="K46" s="71">
        <v>390</v>
      </c>
      <c r="L46" s="70">
        <v>2744</v>
      </c>
      <c r="M46" s="71">
        <v>382</v>
      </c>
      <c r="N46" s="71">
        <v>2362</v>
      </c>
      <c r="O46" s="70">
        <v>1994</v>
      </c>
      <c r="P46" s="71">
        <v>359</v>
      </c>
      <c r="Q46" s="72">
        <v>1635</v>
      </c>
      <c r="R46" s="73">
        <v>5.5</v>
      </c>
      <c r="S46" s="73">
        <v>3.4</v>
      </c>
      <c r="T46" s="73">
        <v>6.2</v>
      </c>
      <c r="U46" s="74">
        <v>5.3</v>
      </c>
      <c r="V46" s="73">
        <v>3.2</v>
      </c>
      <c r="W46" s="73">
        <v>5.9</v>
      </c>
      <c r="X46" s="74">
        <v>10</v>
      </c>
      <c r="Y46" s="73">
        <v>7.7</v>
      </c>
      <c r="Z46" s="73">
        <v>10.6</v>
      </c>
      <c r="AA46" s="74">
        <v>6.1</v>
      </c>
      <c r="AB46" s="73">
        <v>3.3</v>
      </c>
      <c r="AC46" s="73">
        <v>7</v>
      </c>
      <c r="AD46" s="74">
        <v>4.9000000000000004</v>
      </c>
      <c r="AE46" s="73">
        <v>3.6</v>
      </c>
      <c r="AF46" s="75">
        <v>5.4</v>
      </c>
    </row>
    <row r="47" spans="1:32" ht="12.6" customHeight="1" x14ac:dyDescent="0.2">
      <c r="A47" s="148"/>
      <c r="B47" s="69" t="s">
        <v>22</v>
      </c>
      <c r="C47" s="70">
        <v>8244</v>
      </c>
      <c r="D47" s="71">
        <v>1379</v>
      </c>
      <c r="E47" s="71">
        <v>6865</v>
      </c>
      <c r="F47" s="70">
        <v>6855</v>
      </c>
      <c r="G47" s="71">
        <v>1091</v>
      </c>
      <c r="H47" s="71">
        <v>5764</v>
      </c>
      <c r="I47" s="70">
        <v>1341</v>
      </c>
      <c r="J47" s="71">
        <v>268</v>
      </c>
      <c r="K47" s="71">
        <v>1073</v>
      </c>
      <c r="L47" s="70">
        <v>4690</v>
      </c>
      <c r="M47" s="71">
        <v>763</v>
      </c>
      <c r="N47" s="71">
        <v>3927</v>
      </c>
      <c r="O47" s="70">
        <v>3554</v>
      </c>
      <c r="P47" s="71">
        <v>616</v>
      </c>
      <c r="Q47" s="72">
        <v>2938</v>
      </c>
      <c r="R47" s="73">
        <v>7.2</v>
      </c>
      <c r="S47" s="73">
        <v>4.5</v>
      </c>
      <c r="T47" s="73">
        <v>8.1999999999999993</v>
      </c>
      <c r="U47" s="74">
        <v>6.5</v>
      </c>
      <c r="V47" s="73">
        <v>3.8</v>
      </c>
      <c r="W47" s="73">
        <v>7.5</v>
      </c>
      <c r="X47" s="74">
        <v>14.9</v>
      </c>
      <c r="Y47" s="73">
        <v>13.3</v>
      </c>
      <c r="Z47" s="73">
        <v>15.4</v>
      </c>
      <c r="AA47" s="74">
        <v>7.9</v>
      </c>
      <c r="AB47" s="73">
        <v>4.7</v>
      </c>
      <c r="AC47" s="73">
        <v>9.1</v>
      </c>
      <c r="AD47" s="74">
        <v>6.4</v>
      </c>
      <c r="AE47" s="73">
        <v>4.3</v>
      </c>
      <c r="AF47" s="75">
        <v>7.2</v>
      </c>
    </row>
    <row r="48" spans="1:32" ht="12.6" customHeight="1" x14ac:dyDescent="0.2">
      <c r="A48" s="148"/>
      <c r="B48" s="69" t="s">
        <v>23</v>
      </c>
      <c r="C48" s="70">
        <v>5411</v>
      </c>
      <c r="D48" s="71">
        <v>911</v>
      </c>
      <c r="E48" s="71">
        <v>4500</v>
      </c>
      <c r="F48" s="70">
        <v>4919</v>
      </c>
      <c r="G48" s="71">
        <v>816</v>
      </c>
      <c r="H48" s="71">
        <v>4103</v>
      </c>
      <c r="I48" s="70">
        <v>482</v>
      </c>
      <c r="J48" s="71">
        <v>93</v>
      </c>
      <c r="K48" s="71">
        <v>389</v>
      </c>
      <c r="L48" s="70">
        <v>3181</v>
      </c>
      <c r="M48" s="71">
        <v>507</v>
      </c>
      <c r="N48" s="71">
        <v>2674</v>
      </c>
      <c r="O48" s="70">
        <v>2230</v>
      </c>
      <c r="P48" s="71">
        <v>404</v>
      </c>
      <c r="Q48" s="72">
        <v>1826</v>
      </c>
      <c r="R48" s="73">
        <v>5.7</v>
      </c>
      <c r="S48" s="73">
        <v>3</v>
      </c>
      <c r="T48" s="73">
        <v>7</v>
      </c>
      <c r="U48" s="74">
        <v>5.4</v>
      </c>
      <c r="V48" s="73">
        <v>2.8</v>
      </c>
      <c r="W48" s="73">
        <v>6.7</v>
      </c>
      <c r="X48" s="74">
        <v>12.2</v>
      </c>
      <c r="Y48" s="73" t="s">
        <v>21</v>
      </c>
      <c r="Z48" s="73">
        <v>12.8</v>
      </c>
      <c r="AA48" s="74">
        <v>6.2</v>
      </c>
      <c r="AB48" s="73">
        <v>3.1</v>
      </c>
      <c r="AC48" s="73">
        <v>7.7</v>
      </c>
      <c r="AD48" s="74">
        <v>5.0999999999999996</v>
      </c>
      <c r="AE48" s="73">
        <v>2.9</v>
      </c>
      <c r="AF48" s="75">
        <v>6.1</v>
      </c>
    </row>
    <row r="49" spans="1:32" ht="12.6" customHeight="1" x14ac:dyDescent="0.2">
      <c r="A49" s="148"/>
      <c r="B49" s="69" t="s">
        <v>24</v>
      </c>
      <c r="C49" s="70">
        <v>7696</v>
      </c>
      <c r="D49" s="71">
        <v>1137</v>
      </c>
      <c r="E49" s="71">
        <v>6559</v>
      </c>
      <c r="F49" s="70">
        <v>6961</v>
      </c>
      <c r="G49" s="71">
        <v>1006</v>
      </c>
      <c r="H49" s="71">
        <v>5955</v>
      </c>
      <c r="I49" s="70">
        <v>719</v>
      </c>
      <c r="J49" s="71">
        <v>126</v>
      </c>
      <c r="K49" s="71">
        <v>593</v>
      </c>
      <c r="L49" s="70">
        <v>4225</v>
      </c>
      <c r="M49" s="71">
        <v>586</v>
      </c>
      <c r="N49" s="71">
        <v>3639</v>
      </c>
      <c r="O49" s="70">
        <v>3471</v>
      </c>
      <c r="P49" s="71">
        <v>551</v>
      </c>
      <c r="Q49" s="72">
        <v>2920</v>
      </c>
      <c r="R49" s="73">
        <v>4.7</v>
      </c>
      <c r="S49" s="73">
        <v>2.2000000000000002</v>
      </c>
      <c r="T49" s="73">
        <v>5.8</v>
      </c>
      <c r="U49" s="74">
        <v>4.5</v>
      </c>
      <c r="V49" s="73">
        <v>2.1</v>
      </c>
      <c r="W49" s="73">
        <v>5.7</v>
      </c>
      <c r="X49" s="74">
        <v>7.4</v>
      </c>
      <c r="Y49" s="73">
        <v>5.6</v>
      </c>
      <c r="Z49" s="73">
        <v>7.9</v>
      </c>
      <c r="AA49" s="74">
        <v>4.9000000000000004</v>
      </c>
      <c r="AB49" s="73">
        <v>2.1</v>
      </c>
      <c r="AC49" s="73">
        <v>6.1</v>
      </c>
      <c r="AD49" s="74">
        <v>4.5</v>
      </c>
      <c r="AE49" s="73">
        <v>2.2999999999999998</v>
      </c>
      <c r="AF49" s="75">
        <v>5.5</v>
      </c>
    </row>
    <row r="50" spans="1:32" ht="12.6" customHeight="1" x14ac:dyDescent="0.2">
      <c r="A50" s="147">
        <v>41820</v>
      </c>
      <c r="B50" s="76" t="s">
        <v>19</v>
      </c>
      <c r="C50" s="63">
        <v>23754</v>
      </c>
      <c r="D50" s="64">
        <v>3907</v>
      </c>
      <c r="E50" s="64">
        <v>19847</v>
      </c>
      <c r="F50" s="63">
        <v>20429</v>
      </c>
      <c r="G50" s="64">
        <v>3257</v>
      </c>
      <c r="H50" s="64">
        <v>17172</v>
      </c>
      <c r="I50" s="63">
        <v>3227</v>
      </c>
      <c r="J50" s="64">
        <v>617</v>
      </c>
      <c r="K50" s="64">
        <v>2610</v>
      </c>
      <c r="L50" s="63">
        <v>13697</v>
      </c>
      <c r="M50" s="64">
        <v>2182</v>
      </c>
      <c r="N50" s="64">
        <v>11515</v>
      </c>
      <c r="O50" s="63">
        <v>10057</v>
      </c>
      <c r="P50" s="64">
        <v>1725</v>
      </c>
      <c r="Q50" s="65">
        <v>8332</v>
      </c>
      <c r="R50" s="66">
        <v>5.3</v>
      </c>
      <c r="S50" s="66">
        <v>3</v>
      </c>
      <c r="T50" s="66">
        <v>6.2</v>
      </c>
      <c r="U50" s="67">
        <v>4.8</v>
      </c>
      <c r="V50" s="66">
        <v>2.6</v>
      </c>
      <c r="W50" s="66">
        <v>5.7</v>
      </c>
      <c r="X50" s="67">
        <v>11.7</v>
      </c>
      <c r="Y50" s="66">
        <v>10.3</v>
      </c>
      <c r="Z50" s="66">
        <v>12.1</v>
      </c>
      <c r="AA50" s="67">
        <v>5.7</v>
      </c>
      <c r="AB50" s="66">
        <v>3.1</v>
      </c>
      <c r="AC50" s="66">
        <v>6.8</v>
      </c>
      <c r="AD50" s="67">
        <v>4.8</v>
      </c>
      <c r="AE50" s="66">
        <v>2.9</v>
      </c>
      <c r="AF50" s="68">
        <v>5.5</v>
      </c>
    </row>
    <row r="51" spans="1:32" ht="12.6" customHeight="1" x14ac:dyDescent="0.2">
      <c r="A51" s="148"/>
      <c r="B51" s="69" t="s">
        <v>20</v>
      </c>
      <c r="C51" s="70">
        <v>4220</v>
      </c>
      <c r="D51" s="71">
        <v>667</v>
      </c>
      <c r="E51" s="71">
        <v>3553</v>
      </c>
      <c r="F51" s="70">
        <v>3699</v>
      </c>
      <c r="G51" s="71">
        <v>570</v>
      </c>
      <c r="H51" s="71">
        <v>3129</v>
      </c>
      <c r="I51" s="70">
        <v>505</v>
      </c>
      <c r="J51" s="71">
        <v>94</v>
      </c>
      <c r="K51" s="71">
        <v>411</v>
      </c>
      <c r="L51" s="70">
        <v>2439</v>
      </c>
      <c r="M51" s="71">
        <v>369</v>
      </c>
      <c r="N51" s="71">
        <v>2070</v>
      </c>
      <c r="O51" s="70">
        <v>1781</v>
      </c>
      <c r="P51" s="71">
        <v>298</v>
      </c>
      <c r="Q51" s="72">
        <v>1483</v>
      </c>
      <c r="R51" s="73">
        <v>5</v>
      </c>
      <c r="S51" s="73">
        <v>3.2</v>
      </c>
      <c r="T51" s="73">
        <v>5.6</v>
      </c>
      <c r="U51" s="74">
        <v>4.7</v>
      </c>
      <c r="V51" s="73">
        <v>2.9</v>
      </c>
      <c r="W51" s="73">
        <v>5.3</v>
      </c>
      <c r="X51" s="74">
        <v>10.6</v>
      </c>
      <c r="Y51" s="73">
        <v>9.4</v>
      </c>
      <c r="Z51" s="73">
        <v>11</v>
      </c>
      <c r="AA51" s="74">
        <v>5.5</v>
      </c>
      <c r="AB51" s="73">
        <v>3.3</v>
      </c>
      <c r="AC51" s="73">
        <v>6.2</v>
      </c>
      <c r="AD51" s="74">
        <v>4.5</v>
      </c>
      <c r="AE51" s="73">
        <v>3</v>
      </c>
      <c r="AF51" s="75">
        <v>5</v>
      </c>
    </row>
    <row r="52" spans="1:32" ht="12.6" customHeight="1" x14ac:dyDescent="0.2">
      <c r="A52" s="148"/>
      <c r="B52" s="69" t="s">
        <v>22</v>
      </c>
      <c r="C52" s="70">
        <v>7764</v>
      </c>
      <c r="D52" s="71">
        <v>1386</v>
      </c>
      <c r="E52" s="71">
        <v>6378</v>
      </c>
      <c r="F52" s="70">
        <v>6295</v>
      </c>
      <c r="G52" s="71">
        <v>1090</v>
      </c>
      <c r="H52" s="71">
        <v>5205</v>
      </c>
      <c r="I52" s="70">
        <v>1417</v>
      </c>
      <c r="J52" s="71">
        <v>276</v>
      </c>
      <c r="K52" s="71">
        <v>1141</v>
      </c>
      <c r="L52" s="70">
        <v>4444</v>
      </c>
      <c r="M52" s="71">
        <v>759</v>
      </c>
      <c r="N52" s="71">
        <v>3685</v>
      </c>
      <c r="O52" s="70">
        <v>3320</v>
      </c>
      <c r="P52" s="71">
        <v>627</v>
      </c>
      <c r="Q52" s="72">
        <v>2693</v>
      </c>
      <c r="R52" s="73">
        <v>7</v>
      </c>
      <c r="S52" s="73">
        <v>4.7</v>
      </c>
      <c r="T52" s="73">
        <v>7.8</v>
      </c>
      <c r="U52" s="74">
        <v>6.1</v>
      </c>
      <c r="V52" s="73">
        <v>4</v>
      </c>
      <c r="W52" s="73">
        <v>6.9</v>
      </c>
      <c r="X52" s="74">
        <v>16.100000000000001</v>
      </c>
      <c r="Y52" s="73">
        <v>13.8</v>
      </c>
      <c r="Z52" s="73">
        <v>16.7</v>
      </c>
      <c r="AA52" s="74">
        <v>7.6</v>
      </c>
      <c r="AB52" s="73">
        <v>4.8</v>
      </c>
      <c r="AC52" s="73">
        <v>8.6999999999999993</v>
      </c>
      <c r="AD52" s="74">
        <v>6.2</v>
      </c>
      <c r="AE52" s="73">
        <v>4.5</v>
      </c>
      <c r="AF52" s="75">
        <v>6.8</v>
      </c>
    </row>
    <row r="53" spans="1:32" ht="12.6" customHeight="1" x14ac:dyDescent="0.2">
      <c r="A53" s="148"/>
      <c r="B53" s="69" t="s">
        <v>23</v>
      </c>
      <c r="C53" s="70">
        <v>4947</v>
      </c>
      <c r="D53" s="71">
        <v>845</v>
      </c>
      <c r="E53" s="71">
        <v>4102</v>
      </c>
      <c r="F53" s="70">
        <v>4421</v>
      </c>
      <c r="G53" s="71">
        <v>742</v>
      </c>
      <c r="H53" s="71">
        <v>3679</v>
      </c>
      <c r="I53" s="70">
        <v>513</v>
      </c>
      <c r="J53" s="71">
        <v>97</v>
      </c>
      <c r="K53" s="71">
        <v>416</v>
      </c>
      <c r="L53" s="70">
        <v>2920</v>
      </c>
      <c r="M53" s="71">
        <v>472</v>
      </c>
      <c r="N53" s="71">
        <v>2448</v>
      </c>
      <c r="O53" s="70">
        <v>2027</v>
      </c>
      <c r="P53" s="71">
        <v>373</v>
      </c>
      <c r="Q53" s="72">
        <v>1654</v>
      </c>
      <c r="R53" s="73">
        <v>5.3</v>
      </c>
      <c r="S53" s="73">
        <v>2.8</v>
      </c>
      <c r="T53" s="73">
        <v>6.5</v>
      </c>
      <c r="U53" s="74">
        <v>4.9000000000000004</v>
      </c>
      <c r="V53" s="73">
        <v>2.5</v>
      </c>
      <c r="W53" s="73">
        <v>6.1</v>
      </c>
      <c r="X53" s="74">
        <v>12.6</v>
      </c>
      <c r="Y53" s="73" t="s">
        <v>21</v>
      </c>
      <c r="Z53" s="73">
        <v>13.1</v>
      </c>
      <c r="AA53" s="74">
        <v>5.8</v>
      </c>
      <c r="AB53" s="73">
        <v>2.9</v>
      </c>
      <c r="AC53" s="73">
        <v>7.2</v>
      </c>
      <c r="AD53" s="74">
        <v>4.7</v>
      </c>
      <c r="AE53" s="73">
        <v>2.7</v>
      </c>
      <c r="AF53" s="75">
        <v>5.6</v>
      </c>
    </row>
    <row r="54" spans="1:32" ht="12.6" customHeight="1" x14ac:dyDescent="0.2">
      <c r="A54" s="148"/>
      <c r="B54" s="69" t="s">
        <v>24</v>
      </c>
      <c r="C54" s="70">
        <v>6823</v>
      </c>
      <c r="D54" s="71">
        <v>1009</v>
      </c>
      <c r="E54" s="71">
        <v>5814</v>
      </c>
      <c r="F54" s="70">
        <v>6014</v>
      </c>
      <c r="G54" s="71">
        <v>855</v>
      </c>
      <c r="H54" s="71">
        <v>5159</v>
      </c>
      <c r="I54" s="70">
        <v>792</v>
      </c>
      <c r="J54" s="71">
        <v>150</v>
      </c>
      <c r="K54" s="71">
        <v>642</v>
      </c>
      <c r="L54" s="70">
        <v>3894</v>
      </c>
      <c r="M54" s="71">
        <v>582</v>
      </c>
      <c r="N54" s="71">
        <v>3312</v>
      </c>
      <c r="O54" s="70">
        <v>2929</v>
      </c>
      <c r="P54" s="71">
        <v>427</v>
      </c>
      <c r="Q54" s="72">
        <v>2502</v>
      </c>
      <c r="R54" s="73">
        <v>4.2</v>
      </c>
      <c r="S54" s="73">
        <v>2.1</v>
      </c>
      <c r="T54" s="73">
        <v>5.2</v>
      </c>
      <c r="U54" s="74">
        <v>4</v>
      </c>
      <c r="V54" s="73">
        <v>1.8</v>
      </c>
      <c r="W54" s="73">
        <v>4.9000000000000004</v>
      </c>
      <c r="X54" s="74">
        <v>8</v>
      </c>
      <c r="Y54" s="73">
        <v>7.1</v>
      </c>
      <c r="Z54" s="73">
        <v>8.1999999999999993</v>
      </c>
      <c r="AA54" s="74">
        <v>4.5</v>
      </c>
      <c r="AB54" s="73">
        <v>2.2000000000000002</v>
      </c>
      <c r="AC54" s="73">
        <v>5.6</v>
      </c>
      <c r="AD54" s="74">
        <v>3.9</v>
      </c>
      <c r="AE54" s="73">
        <v>1.9</v>
      </c>
      <c r="AF54" s="75">
        <v>4.7</v>
      </c>
    </row>
    <row r="55" spans="1:32" ht="12.6" customHeight="1" x14ac:dyDescent="0.2">
      <c r="A55" s="147">
        <v>42185</v>
      </c>
      <c r="B55" s="76" t="s">
        <v>19</v>
      </c>
      <c r="C55" s="63">
        <v>22161</v>
      </c>
      <c r="D55" s="64">
        <v>3772</v>
      </c>
      <c r="E55" s="64">
        <v>18389</v>
      </c>
      <c r="F55" s="63">
        <v>18629</v>
      </c>
      <c r="G55" s="64">
        <v>3048</v>
      </c>
      <c r="H55" s="64">
        <v>15581</v>
      </c>
      <c r="I55" s="63">
        <v>3427</v>
      </c>
      <c r="J55" s="64">
        <v>686</v>
      </c>
      <c r="K55" s="64">
        <v>2741</v>
      </c>
      <c r="L55" s="63">
        <v>12930</v>
      </c>
      <c r="M55" s="64">
        <v>2093</v>
      </c>
      <c r="N55" s="64">
        <v>10837</v>
      </c>
      <c r="O55" s="63">
        <v>9231</v>
      </c>
      <c r="P55" s="64">
        <v>1679</v>
      </c>
      <c r="Q55" s="65">
        <v>7552</v>
      </c>
      <c r="R55" s="66">
        <v>4.8</v>
      </c>
      <c r="S55" s="66">
        <v>2.9</v>
      </c>
      <c r="T55" s="66">
        <v>5.6</v>
      </c>
      <c r="U55" s="67">
        <v>4.3</v>
      </c>
      <c r="V55" s="66">
        <v>2.4</v>
      </c>
      <c r="W55" s="66">
        <v>5.0999999999999996</v>
      </c>
      <c r="X55" s="67">
        <v>12</v>
      </c>
      <c r="Y55" s="66">
        <v>11.5</v>
      </c>
      <c r="Z55" s="66">
        <v>12.1</v>
      </c>
      <c r="AA55" s="67">
        <v>5.3</v>
      </c>
      <c r="AB55" s="66">
        <v>3</v>
      </c>
      <c r="AC55" s="66">
        <v>6.3</v>
      </c>
      <c r="AD55" s="67">
        <v>4.3</v>
      </c>
      <c r="AE55" s="66">
        <v>2.8</v>
      </c>
      <c r="AF55" s="68">
        <v>4.9000000000000004</v>
      </c>
    </row>
    <row r="56" spans="1:32" ht="12.6" customHeight="1" x14ac:dyDescent="0.2">
      <c r="A56" s="148"/>
      <c r="B56" s="69" t="s">
        <v>20</v>
      </c>
      <c r="C56" s="70">
        <v>4040</v>
      </c>
      <c r="D56" s="71">
        <v>669</v>
      </c>
      <c r="E56" s="71">
        <v>3371</v>
      </c>
      <c r="F56" s="70">
        <v>3466</v>
      </c>
      <c r="G56" s="71">
        <v>560</v>
      </c>
      <c r="H56" s="71">
        <v>2906</v>
      </c>
      <c r="I56" s="70">
        <v>551</v>
      </c>
      <c r="J56" s="71">
        <v>103</v>
      </c>
      <c r="K56" s="71">
        <v>448</v>
      </c>
      <c r="L56" s="70">
        <v>2367</v>
      </c>
      <c r="M56" s="71">
        <v>371</v>
      </c>
      <c r="N56" s="71">
        <v>1996</v>
      </c>
      <c r="O56" s="70">
        <v>1673</v>
      </c>
      <c r="P56" s="71">
        <v>298</v>
      </c>
      <c r="Q56" s="72">
        <v>1375</v>
      </c>
      <c r="R56" s="73">
        <v>4.8</v>
      </c>
      <c r="S56" s="73">
        <v>3.2</v>
      </c>
      <c r="T56" s="73">
        <v>5.3</v>
      </c>
      <c r="U56" s="74">
        <v>4.3</v>
      </c>
      <c r="V56" s="73">
        <v>2.8</v>
      </c>
      <c r="W56" s="73">
        <v>4.9000000000000004</v>
      </c>
      <c r="X56" s="74">
        <v>11.3</v>
      </c>
      <c r="Y56" s="73" t="s">
        <v>21</v>
      </c>
      <c r="Z56" s="73">
        <v>11.6</v>
      </c>
      <c r="AA56" s="74">
        <v>5.3</v>
      </c>
      <c r="AB56" s="73">
        <v>3.3</v>
      </c>
      <c r="AC56" s="73">
        <v>5.9</v>
      </c>
      <c r="AD56" s="74">
        <v>4.2</v>
      </c>
      <c r="AE56" s="73">
        <v>3</v>
      </c>
      <c r="AF56" s="75">
        <v>4.5999999999999996</v>
      </c>
    </row>
    <row r="57" spans="1:32" ht="12.6" customHeight="1" x14ac:dyDescent="0.2">
      <c r="A57" s="148"/>
      <c r="B57" s="69" t="s">
        <v>22</v>
      </c>
      <c r="C57" s="70">
        <v>7082</v>
      </c>
      <c r="D57" s="71">
        <v>1275</v>
      </c>
      <c r="E57" s="71">
        <v>5807</v>
      </c>
      <c r="F57" s="70">
        <v>5522</v>
      </c>
      <c r="G57" s="71">
        <v>936</v>
      </c>
      <c r="H57" s="71">
        <v>4586</v>
      </c>
      <c r="I57" s="70">
        <v>1516</v>
      </c>
      <c r="J57" s="71">
        <v>316</v>
      </c>
      <c r="K57" s="71">
        <v>1200</v>
      </c>
      <c r="L57" s="70">
        <v>4179</v>
      </c>
      <c r="M57" s="71">
        <v>724</v>
      </c>
      <c r="N57" s="71">
        <v>3455</v>
      </c>
      <c r="O57" s="70">
        <v>2903</v>
      </c>
      <c r="P57" s="71">
        <v>551</v>
      </c>
      <c r="Q57" s="72">
        <v>2352</v>
      </c>
      <c r="R57" s="73">
        <v>6.2</v>
      </c>
      <c r="S57" s="73">
        <v>4.2</v>
      </c>
      <c r="T57" s="73">
        <v>6.9</v>
      </c>
      <c r="U57" s="74">
        <v>5.3</v>
      </c>
      <c r="V57" s="73">
        <v>3.3</v>
      </c>
      <c r="W57" s="73">
        <v>6</v>
      </c>
      <c r="X57" s="74">
        <v>16.100000000000001</v>
      </c>
      <c r="Y57" s="73">
        <v>15.3</v>
      </c>
      <c r="Z57" s="73">
        <v>16.3</v>
      </c>
      <c r="AA57" s="74">
        <v>7</v>
      </c>
      <c r="AB57" s="73">
        <v>4.5</v>
      </c>
      <c r="AC57" s="73">
        <v>7.9</v>
      </c>
      <c r="AD57" s="74">
        <v>5.3</v>
      </c>
      <c r="AE57" s="73">
        <v>3.8</v>
      </c>
      <c r="AF57" s="75">
        <v>5.8</v>
      </c>
    </row>
    <row r="58" spans="1:32" ht="12.6" customHeight="1" x14ac:dyDescent="0.2">
      <c r="A58" s="148"/>
      <c r="B58" s="69" t="s">
        <v>23</v>
      </c>
      <c r="C58" s="70">
        <v>4554</v>
      </c>
      <c r="D58" s="71">
        <v>817</v>
      </c>
      <c r="E58" s="71">
        <v>3737</v>
      </c>
      <c r="F58" s="70">
        <v>3987</v>
      </c>
      <c r="G58" s="71">
        <v>696</v>
      </c>
      <c r="H58" s="71">
        <v>3291</v>
      </c>
      <c r="I58" s="70">
        <v>544</v>
      </c>
      <c r="J58" s="71">
        <v>115</v>
      </c>
      <c r="K58" s="71">
        <v>429</v>
      </c>
      <c r="L58" s="70">
        <v>2635</v>
      </c>
      <c r="M58" s="71">
        <v>433</v>
      </c>
      <c r="N58" s="71">
        <v>2202</v>
      </c>
      <c r="O58" s="70">
        <v>1919</v>
      </c>
      <c r="P58" s="71">
        <v>384</v>
      </c>
      <c r="Q58" s="72">
        <v>1535</v>
      </c>
      <c r="R58" s="73">
        <v>4.8</v>
      </c>
      <c r="S58" s="73">
        <v>2.7</v>
      </c>
      <c r="T58" s="73">
        <v>5.7</v>
      </c>
      <c r="U58" s="74">
        <v>4.4000000000000004</v>
      </c>
      <c r="V58" s="73">
        <v>2.4</v>
      </c>
      <c r="W58" s="73">
        <v>5.3</v>
      </c>
      <c r="X58" s="74">
        <v>12.8</v>
      </c>
      <c r="Y58" s="73" t="s">
        <v>21</v>
      </c>
      <c r="Z58" s="73">
        <v>12.9</v>
      </c>
      <c r="AA58" s="74">
        <v>5.0999999999999996</v>
      </c>
      <c r="AB58" s="73">
        <v>2.6</v>
      </c>
      <c r="AC58" s="73">
        <v>6.3</v>
      </c>
      <c r="AD58" s="74">
        <v>4.4000000000000004</v>
      </c>
      <c r="AE58" s="73">
        <v>2.7</v>
      </c>
      <c r="AF58" s="75">
        <v>5.0999999999999996</v>
      </c>
    </row>
    <row r="59" spans="1:32" ht="12.6" customHeight="1" x14ac:dyDescent="0.2">
      <c r="A59" s="148"/>
      <c r="B59" s="69" t="s">
        <v>24</v>
      </c>
      <c r="C59" s="70">
        <v>6485</v>
      </c>
      <c r="D59" s="71">
        <v>1011</v>
      </c>
      <c r="E59" s="71">
        <v>5474</v>
      </c>
      <c r="F59" s="70">
        <v>5654</v>
      </c>
      <c r="G59" s="71">
        <v>856</v>
      </c>
      <c r="H59" s="71">
        <v>4798</v>
      </c>
      <c r="I59" s="70">
        <v>816</v>
      </c>
      <c r="J59" s="71">
        <v>152</v>
      </c>
      <c r="K59" s="71">
        <v>664</v>
      </c>
      <c r="L59" s="70">
        <v>3749</v>
      </c>
      <c r="M59" s="71">
        <v>565</v>
      </c>
      <c r="N59" s="71">
        <v>3184</v>
      </c>
      <c r="O59" s="70">
        <v>2736</v>
      </c>
      <c r="P59" s="71">
        <v>446</v>
      </c>
      <c r="Q59" s="72">
        <v>2290</v>
      </c>
      <c r="R59" s="73">
        <v>4</v>
      </c>
      <c r="S59" s="73">
        <v>2.1</v>
      </c>
      <c r="T59" s="73">
        <v>4.8</v>
      </c>
      <c r="U59" s="74">
        <v>3.7</v>
      </c>
      <c r="V59" s="73">
        <v>1.8</v>
      </c>
      <c r="W59" s="73">
        <v>4.5</v>
      </c>
      <c r="X59" s="74">
        <v>8.1</v>
      </c>
      <c r="Y59" s="73">
        <v>7.8</v>
      </c>
      <c r="Z59" s="73">
        <v>8.1999999999999993</v>
      </c>
      <c r="AA59" s="74">
        <v>4.3</v>
      </c>
      <c r="AB59" s="73">
        <v>2.2000000000000002</v>
      </c>
      <c r="AC59" s="73">
        <v>5.2</v>
      </c>
      <c r="AD59" s="74">
        <v>3.6</v>
      </c>
      <c r="AE59" s="73">
        <v>2</v>
      </c>
      <c r="AF59" s="75">
        <v>4.3</v>
      </c>
    </row>
    <row r="60" spans="1:32" ht="12.6" customHeight="1" x14ac:dyDescent="0.2">
      <c r="A60" s="147">
        <v>42551</v>
      </c>
      <c r="B60" s="76" t="s">
        <v>19</v>
      </c>
      <c r="C60" s="63">
        <v>25983</v>
      </c>
      <c r="D60" s="64">
        <v>4581</v>
      </c>
      <c r="E60" s="64">
        <v>21402</v>
      </c>
      <c r="F60" s="63">
        <v>19765</v>
      </c>
      <c r="G60" s="64">
        <v>3368</v>
      </c>
      <c r="H60" s="64">
        <v>16397</v>
      </c>
      <c r="I60" s="63">
        <v>6080</v>
      </c>
      <c r="J60" s="64">
        <v>1173</v>
      </c>
      <c r="K60" s="64">
        <v>4907</v>
      </c>
      <c r="L60" s="63">
        <v>15583</v>
      </c>
      <c r="M60" s="64">
        <v>2602</v>
      </c>
      <c r="N60" s="64">
        <v>12981</v>
      </c>
      <c r="O60" s="63">
        <v>10400</v>
      </c>
      <c r="P60" s="64">
        <v>1979</v>
      </c>
      <c r="Q60" s="65">
        <v>8421</v>
      </c>
      <c r="R60" s="66">
        <v>5.6</v>
      </c>
      <c r="S60" s="66">
        <v>3.4</v>
      </c>
      <c r="T60" s="66">
        <v>6.6</v>
      </c>
      <c r="U60" s="67">
        <v>4.5999999999999996</v>
      </c>
      <c r="V60" s="66">
        <v>2.6</v>
      </c>
      <c r="W60" s="66">
        <v>5.5</v>
      </c>
      <c r="X60" s="67">
        <v>18.3</v>
      </c>
      <c r="Y60" s="66">
        <v>16.399999999999999</v>
      </c>
      <c r="Z60" s="66">
        <v>18.8</v>
      </c>
      <c r="AA60" s="67">
        <v>6.4</v>
      </c>
      <c r="AB60" s="66">
        <v>3.6</v>
      </c>
      <c r="AC60" s="66">
        <v>7.5</v>
      </c>
      <c r="AD60" s="67">
        <v>4.8</v>
      </c>
      <c r="AE60" s="66">
        <v>3.1</v>
      </c>
      <c r="AF60" s="68">
        <v>5.5</v>
      </c>
    </row>
    <row r="61" spans="1:32" ht="12.6" customHeight="1" x14ac:dyDescent="0.2">
      <c r="A61" s="148"/>
      <c r="B61" s="69" t="s">
        <v>20</v>
      </c>
      <c r="C61" s="70">
        <v>4997</v>
      </c>
      <c r="D61" s="71">
        <v>893</v>
      </c>
      <c r="E61" s="71">
        <v>4104</v>
      </c>
      <c r="F61" s="70">
        <v>3711</v>
      </c>
      <c r="G61" s="71">
        <v>633</v>
      </c>
      <c r="H61" s="71">
        <v>3078</v>
      </c>
      <c r="I61" s="70">
        <v>1255</v>
      </c>
      <c r="J61" s="71">
        <v>251</v>
      </c>
      <c r="K61" s="71">
        <v>1004</v>
      </c>
      <c r="L61" s="70">
        <v>3066</v>
      </c>
      <c r="M61" s="71">
        <v>494</v>
      </c>
      <c r="N61" s="71">
        <v>2572</v>
      </c>
      <c r="O61" s="70">
        <v>1931</v>
      </c>
      <c r="P61" s="71">
        <v>399</v>
      </c>
      <c r="Q61" s="72">
        <v>1532</v>
      </c>
      <c r="R61" s="73">
        <v>5.9</v>
      </c>
      <c r="S61" s="73">
        <v>4.0999999999999996</v>
      </c>
      <c r="T61" s="73">
        <v>6.5</v>
      </c>
      <c r="U61" s="74">
        <v>4.7</v>
      </c>
      <c r="V61" s="73">
        <v>3.1</v>
      </c>
      <c r="W61" s="73">
        <v>5.3</v>
      </c>
      <c r="X61" s="74">
        <v>22.5</v>
      </c>
      <c r="Y61" s="73">
        <v>21.5</v>
      </c>
      <c r="Z61" s="73">
        <v>22.7</v>
      </c>
      <c r="AA61" s="74">
        <v>6.8</v>
      </c>
      <c r="AB61" s="73">
        <v>4.4000000000000004</v>
      </c>
      <c r="AC61" s="73">
        <v>7.7</v>
      </c>
      <c r="AD61" s="74">
        <v>4.8</v>
      </c>
      <c r="AE61" s="73">
        <v>3.8</v>
      </c>
      <c r="AF61" s="75">
        <v>5.2</v>
      </c>
    </row>
    <row r="62" spans="1:32" ht="12.6" customHeight="1" x14ac:dyDescent="0.2">
      <c r="A62" s="148"/>
      <c r="B62" s="69" t="s">
        <v>22</v>
      </c>
      <c r="C62" s="70">
        <v>7867</v>
      </c>
      <c r="D62" s="71">
        <v>1405</v>
      </c>
      <c r="E62" s="71">
        <v>6462</v>
      </c>
      <c r="F62" s="70">
        <v>5592</v>
      </c>
      <c r="G62" s="71">
        <v>989</v>
      </c>
      <c r="H62" s="71">
        <v>4603</v>
      </c>
      <c r="I62" s="70">
        <v>2205</v>
      </c>
      <c r="J62" s="71">
        <v>395</v>
      </c>
      <c r="K62" s="71">
        <v>1810</v>
      </c>
      <c r="L62" s="70">
        <v>4778</v>
      </c>
      <c r="M62" s="71">
        <v>811</v>
      </c>
      <c r="N62" s="71">
        <v>3967</v>
      </c>
      <c r="O62" s="70">
        <v>3089</v>
      </c>
      <c r="P62" s="71">
        <v>594</v>
      </c>
      <c r="Q62" s="72">
        <v>2495</v>
      </c>
      <c r="R62" s="73">
        <v>6.8</v>
      </c>
      <c r="S62" s="73">
        <v>4.5</v>
      </c>
      <c r="T62" s="73">
        <v>7.7</v>
      </c>
      <c r="U62" s="74">
        <v>5.4</v>
      </c>
      <c r="V62" s="73">
        <v>3.4</v>
      </c>
      <c r="W62" s="73">
        <v>6.1</v>
      </c>
      <c r="X62" s="74">
        <v>20.5</v>
      </c>
      <c r="Y62" s="73">
        <v>16.5</v>
      </c>
      <c r="Z62" s="73">
        <v>21.6</v>
      </c>
      <c r="AA62" s="74">
        <v>7.9</v>
      </c>
      <c r="AB62" s="73">
        <v>5</v>
      </c>
      <c r="AC62" s="73">
        <v>9.1</v>
      </c>
      <c r="AD62" s="74">
        <v>5.6</v>
      </c>
      <c r="AE62" s="73">
        <v>4</v>
      </c>
      <c r="AF62" s="75">
        <v>6.2</v>
      </c>
    </row>
    <row r="63" spans="1:32" ht="12.6" customHeight="1" x14ac:dyDescent="0.2">
      <c r="A63" s="148"/>
      <c r="B63" s="69" t="s">
        <v>23</v>
      </c>
      <c r="C63" s="70">
        <v>5244</v>
      </c>
      <c r="D63" s="71">
        <v>966</v>
      </c>
      <c r="E63" s="71">
        <v>4278</v>
      </c>
      <c r="F63" s="70">
        <v>4251</v>
      </c>
      <c r="G63" s="71">
        <v>759</v>
      </c>
      <c r="H63" s="71">
        <v>3492</v>
      </c>
      <c r="I63" s="70">
        <v>968</v>
      </c>
      <c r="J63" s="71">
        <v>199</v>
      </c>
      <c r="K63" s="71">
        <v>769</v>
      </c>
      <c r="L63" s="70">
        <v>3155</v>
      </c>
      <c r="M63" s="71">
        <v>564</v>
      </c>
      <c r="N63" s="71">
        <v>2591</v>
      </c>
      <c r="O63" s="70">
        <v>2089</v>
      </c>
      <c r="P63" s="71">
        <v>402</v>
      </c>
      <c r="Q63" s="72">
        <v>1687</v>
      </c>
      <c r="R63" s="73">
        <v>5.5</v>
      </c>
      <c r="S63" s="73">
        <v>3.1</v>
      </c>
      <c r="T63" s="73">
        <v>6.6</v>
      </c>
      <c r="U63" s="74">
        <v>4.7</v>
      </c>
      <c r="V63" s="73">
        <v>2.5</v>
      </c>
      <c r="W63" s="73">
        <v>5.8</v>
      </c>
      <c r="X63" s="74">
        <v>20.2</v>
      </c>
      <c r="Y63" s="73">
        <v>19.100000000000001</v>
      </c>
      <c r="Z63" s="73">
        <v>20.6</v>
      </c>
      <c r="AA63" s="74">
        <v>6.2</v>
      </c>
      <c r="AB63" s="73">
        <v>3.4</v>
      </c>
      <c r="AC63" s="73">
        <v>7.5</v>
      </c>
      <c r="AD63" s="74">
        <v>4.7</v>
      </c>
      <c r="AE63" s="73">
        <v>2.8</v>
      </c>
      <c r="AF63" s="75">
        <v>5.7</v>
      </c>
    </row>
    <row r="64" spans="1:32" ht="12.6" customHeight="1" x14ac:dyDescent="0.2">
      <c r="A64" s="148"/>
      <c r="B64" s="69" t="s">
        <v>24</v>
      </c>
      <c r="C64" s="70">
        <v>7875</v>
      </c>
      <c r="D64" s="71">
        <v>1317</v>
      </c>
      <c r="E64" s="71">
        <v>6558</v>
      </c>
      <c r="F64" s="70">
        <v>6211</v>
      </c>
      <c r="G64" s="71">
        <v>987</v>
      </c>
      <c r="H64" s="71">
        <v>5224</v>
      </c>
      <c r="I64" s="70">
        <v>1652</v>
      </c>
      <c r="J64" s="71">
        <v>328</v>
      </c>
      <c r="K64" s="71">
        <v>1324</v>
      </c>
      <c r="L64" s="70">
        <v>4584</v>
      </c>
      <c r="M64" s="71">
        <v>733</v>
      </c>
      <c r="N64" s="71">
        <v>3851</v>
      </c>
      <c r="O64" s="70">
        <v>3291</v>
      </c>
      <c r="P64" s="71">
        <v>584</v>
      </c>
      <c r="Q64" s="72">
        <v>2707</v>
      </c>
      <c r="R64" s="73">
        <v>4.7</v>
      </c>
      <c r="S64" s="73">
        <v>2.6</v>
      </c>
      <c r="T64" s="73">
        <v>5.7</v>
      </c>
      <c r="U64" s="74">
        <v>4</v>
      </c>
      <c r="V64" s="73">
        <v>2</v>
      </c>
      <c r="W64" s="73">
        <v>5</v>
      </c>
      <c r="X64" s="74">
        <v>13.6</v>
      </c>
      <c r="Y64" s="73">
        <v>12.8</v>
      </c>
      <c r="Z64" s="73">
        <v>13.9</v>
      </c>
      <c r="AA64" s="74">
        <v>5.2</v>
      </c>
      <c r="AB64" s="73">
        <v>2.7</v>
      </c>
      <c r="AC64" s="73">
        <v>6.3</v>
      </c>
      <c r="AD64" s="74">
        <v>4.2</v>
      </c>
      <c r="AE64" s="73">
        <v>2.4</v>
      </c>
      <c r="AF64" s="75">
        <v>5</v>
      </c>
    </row>
    <row r="65" spans="1:32" ht="12.6" customHeight="1" x14ac:dyDescent="0.2">
      <c r="A65" s="147">
        <v>42916</v>
      </c>
      <c r="B65" s="76" t="s">
        <v>19</v>
      </c>
      <c r="C65" s="63">
        <v>25124</v>
      </c>
      <c r="D65" s="64">
        <v>4375</v>
      </c>
      <c r="E65" s="64">
        <v>20749</v>
      </c>
      <c r="F65" s="63">
        <v>18524</v>
      </c>
      <c r="G65" s="64">
        <v>3216</v>
      </c>
      <c r="H65" s="64">
        <v>15308</v>
      </c>
      <c r="I65" s="63">
        <v>6488</v>
      </c>
      <c r="J65" s="64">
        <v>1139</v>
      </c>
      <c r="K65" s="64">
        <v>5349</v>
      </c>
      <c r="L65" s="63">
        <v>15052</v>
      </c>
      <c r="M65" s="64">
        <v>2477</v>
      </c>
      <c r="N65" s="64">
        <v>12575</v>
      </c>
      <c r="O65" s="63">
        <v>10072</v>
      </c>
      <c r="P65" s="64">
        <v>1898</v>
      </c>
      <c r="Q65" s="65">
        <v>8174</v>
      </c>
      <c r="R65" s="66">
        <v>5.3</v>
      </c>
      <c r="S65" s="66">
        <v>3.1</v>
      </c>
      <c r="T65" s="66">
        <v>6.3</v>
      </c>
      <c r="U65" s="67">
        <v>4.3</v>
      </c>
      <c r="V65" s="66">
        <v>2.4</v>
      </c>
      <c r="W65" s="66">
        <v>5.2</v>
      </c>
      <c r="X65" s="67">
        <v>16.399999999999999</v>
      </c>
      <c r="Y65" s="66">
        <v>13.4</v>
      </c>
      <c r="Z65" s="68">
        <v>17.2</v>
      </c>
      <c r="AA65" s="67">
        <v>6</v>
      </c>
      <c r="AB65" s="66">
        <v>3.2</v>
      </c>
      <c r="AC65" s="66">
        <v>7.2</v>
      </c>
      <c r="AD65" s="67">
        <v>4.5999999999999996</v>
      </c>
      <c r="AE65" s="66">
        <v>2.9</v>
      </c>
      <c r="AF65" s="68">
        <v>5.3</v>
      </c>
    </row>
    <row r="66" spans="1:32" ht="12.6" customHeight="1" x14ac:dyDescent="0.2">
      <c r="A66" s="148"/>
      <c r="B66" s="69" t="s">
        <v>20</v>
      </c>
      <c r="C66" s="70">
        <v>5095</v>
      </c>
      <c r="D66" s="71">
        <v>859</v>
      </c>
      <c r="E66" s="71">
        <v>4236</v>
      </c>
      <c r="F66" s="70">
        <v>3659</v>
      </c>
      <c r="G66" s="71">
        <v>621</v>
      </c>
      <c r="H66" s="71">
        <v>3038</v>
      </c>
      <c r="I66" s="70">
        <v>1408</v>
      </c>
      <c r="J66" s="71">
        <v>233</v>
      </c>
      <c r="K66" s="71">
        <v>1175</v>
      </c>
      <c r="L66" s="70">
        <v>3137</v>
      </c>
      <c r="M66" s="71">
        <v>475</v>
      </c>
      <c r="N66" s="71">
        <v>2662</v>
      </c>
      <c r="O66" s="70">
        <v>1958</v>
      </c>
      <c r="P66" s="71">
        <v>384</v>
      </c>
      <c r="Q66" s="72">
        <v>1574</v>
      </c>
      <c r="R66" s="73">
        <v>5.9</v>
      </c>
      <c r="S66" s="73">
        <v>3.7</v>
      </c>
      <c r="T66" s="73">
        <v>6.7</v>
      </c>
      <c r="U66" s="74">
        <v>4.5999999999999996</v>
      </c>
      <c r="V66" s="73">
        <v>2.9</v>
      </c>
      <c r="W66" s="73">
        <v>5.3</v>
      </c>
      <c r="X66" s="74" t="s">
        <v>21</v>
      </c>
      <c r="Y66" s="73" t="s">
        <v>21</v>
      </c>
      <c r="Z66" s="75" t="s">
        <v>21</v>
      </c>
      <c r="AA66" s="74">
        <v>6.8</v>
      </c>
      <c r="AB66" s="73">
        <v>3.8</v>
      </c>
      <c r="AC66" s="73">
        <v>7.9</v>
      </c>
      <c r="AD66" s="74">
        <v>4.9000000000000004</v>
      </c>
      <c r="AE66" s="73">
        <v>3.5</v>
      </c>
      <c r="AF66" s="75">
        <v>5.4</v>
      </c>
    </row>
    <row r="67" spans="1:32" ht="12.6" customHeight="1" x14ac:dyDescent="0.2">
      <c r="A67" s="148"/>
      <c r="B67" s="69" t="s">
        <v>22</v>
      </c>
      <c r="C67" s="70">
        <v>7231</v>
      </c>
      <c r="D67" s="71">
        <v>1276</v>
      </c>
      <c r="E67" s="71">
        <v>5955</v>
      </c>
      <c r="F67" s="70">
        <v>5074</v>
      </c>
      <c r="G67" s="71">
        <v>882</v>
      </c>
      <c r="H67" s="71">
        <v>4192</v>
      </c>
      <c r="I67" s="70">
        <v>2114</v>
      </c>
      <c r="J67" s="71">
        <v>387</v>
      </c>
      <c r="K67" s="71">
        <v>1727</v>
      </c>
      <c r="L67" s="70">
        <v>4313</v>
      </c>
      <c r="M67" s="71">
        <v>733</v>
      </c>
      <c r="N67" s="71">
        <v>3580</v>
      </c>
      <c r="O67" s="70">
        <v>2918</v>
      </c>
      <c r="P67" s="71">
        <v>543</v>
      </c>
      <c r="Q67" s="72">
        <v>2375</v>
      </c>
      <c r="R67" s="73">
        <v>6.2</v>
      </c>
      <c r="S67" s="73">
        <v>3.9</v>
      </c>
      <c r="T67" s="73">
        <v>7.1</v>
      </c>
      <c r="U67" s="74">
        <v>4.9000000000000004</v>
      </c>
      <c r="V67" s="73">
        <v>2.9</v>
      </c>
      <c r="W67" s="73">
        <v>5.7</v>
      </c>
      <c r="X67" s="74" t="s">
        <v>21</v>
      </c>
      <c r="Y67" s="73" t="s">
        <v>21</v>
      </c>
      <c r="Z67" s="75" t="s">
        <v>21</v>
      </c>
      <c r="AA67" s="74">
        <v>7</v>
      </c>
      <c r="AB67" s="73">
        <v>4.0999999999999996</v>
      </c>
      <c r="AC67" s="73">
        <v>8.1</v>
      </c>
      <c r="AD67" s="74">
        <v>5.3</v>
      </c>
      <c r="AE67" s="73">
        <v>3.6</v>
      </c>
      <c r="AF67" s="75">
        <v>5.9</v>
      </c>
    </row>
    <row r="68" spans="1:32" ht="12.6" customHeight="1" x14ac:dyDescent="0.2">
      <c r="A68" s="148"/>
      <c r="B68" s="69" t="s">
        <v>23</v>
      </c>
      <c r="C68" s="70">
        <v>5222</v>
      </c>
      <c r="D68" s="71">
        <v>963</v>
      </c>
      <c r="E68" s="71">
        <v>4259</v>
      </c>
      <c r="F68" s="70">
        <v>3966</v>
      </c>
      <c r="G68" s="71">
        <v>725</v>
      </c>
      <c r="H68" s="71">
        <v>3241</v>
      </c>
      <c r="I68" s="70">
        <v>1231</v>
      </c>
      <c r="J68" s="71">
        <v>236</v>
      </c>
      <c r="K68" s="71">
        <v>995</v>
      </c>
      <c r="L68" s="70">
        <v>3178</v>
      </c>
      <c r="M68" s="71">
        <v>556</v>
      </c>
      <c r="N68" s="71">
        <v>2622</v>
      </c>
      <c r="O68" s="70">
        <v>2044</v>
      </c>
      <c r="P68" s="71">
        <v>407</v>
      </c>
      <c r="Q68" s="72">
        <v>1637</v>
      </c>
      <c r="R68" s="73">
        <v>5.4</v>
      </c>
      <c r="S68" s="73">
        <v>3</v>
      </c>
      <c r="T68" s="73">
        <v>6.6</v>
      </c>
      <c r="U68" s="74">
        <v>4.3</v>
      </c>
      <c r="V68" s="73">
        <v>2.2999999999999998</v>
      </c>
      <c r="W68" s="73">
        <v>5.4</v>
      </c>
      <c r="X68" s="74" t="s">
        <v>21</v>
      </c>
      <c r="Y68" s="73" t="s">
        <v>21</v>
      </c>
      <c r="Z68" s="75" t="s">
        <v>21</v>
      </c>
      <c r="AA68" s="74">
        <v>6</v>
      </c>
      <c r="AB68" s="73">
        <v>3.2</v>
      </c>
      <c r="AC68" s="73">
        <v>7.5</v>
      </c>
      <c r="AD68" s="74">
        <v>4.5999999999999996</v>
      </c>
      <c r="AE68" s="73">
        <v>2.7</v>
      </c>
      <c r="AF68" s="75">
        <v>5.5</v>
      </c>
    </row>
    <row r="69" spans="1:32" ht="12.6" customHeight="1" x14ac:dyDescent="0.2">
      <c r="A69" s="148"/>
      <c r="B69" s="69" t="s">
        <v>24</v>
      </c>
      <c r="C69" s="70">
        <v>7576</v>
      </c>
      <c r="D69" s="71">
        <v>1277</v>
      </c>
      <c r="E69" s="71">
        <v>6299</v>
      </c>
      <c r="F69" s="70">
        <v>5825</v>
      </c>
      <c r="G69" s="71">
        <v>988</v>
      </c>
      <c r="H69" s="71">
        <v>4837</v>
      </c>
      <c r="I69" s="70">
        <v>1735</v>
      </c>
      <c r="J69" s="71">
        <v>283</v>
      </c>
      <c r="K69" s="71">
        <v>1452</v>
      </c>
      <c r="L69" s="70">
        <v>4424</v>
      </c>
      <c r="M69" s="71">
        <v>713</v>
      </c>
      <c r="N69" s="71">
        <v>3711</v>
      </c>
      <c r="O69" s="70">
        <v>3152</v>
      </c>
      <c r="P69" s="71">
        <v>564</v>
      </c>
      <c r="Q69" s="72">
        <v>2588</v>
      </c>
      <c r="R69" s="73">
        <v>4.5</v>
      </c>
      <c r="S69" s="73">
        <v>2.4</v>
      </c>
      <c r="T69" s="73">
        <v>5.5</v>
      </c>
      <c r="U69" s="74">
        <v>3.8</v>
      </c>
      <c r="V69" s="73">
        <v>1.9</v>
      </c>
      <c r="W69" s="73">
        <v>4.7</v>
      </c>
      <c r="X69" s="74" t="s">
        <v>21</v>
      </c>
      <c r="Y69" s="73" t="s">
        <v>21</v>
      </c>
      <c r="Z69" s="75" t="s">
        <v>21</v>
      </c>
      <c r="AA69" s="74">
        <v>4.9000000000000004</v>
      </c>
      <c r="AB69" s="73">
        <v>2.5</v>
      </c>
      <c r="AC69" s="73">
        <v>6.1</v>
      </c>
      <c r="AD69" s="74">
        <v>4</v>
      </c>
      <c r="AE69" s="73">
        <v>2.2000000000000002</v>
      </c>
      <c r="AF69" s="75">
        <v>4.8</v>
      </c>
    </row>
    <row r="70" spans="1:32" ht="12.6" customHeight="1" x14ac:dyDescent="0.2">
      <c r="A70" s="147">
        <v>43281</v>
      </c>
      <c r="B70" s="76" t="s">
        <v>19</v>
      </c>
      <c r="C70" s="63">
        <v>22351</v>
      </c>
      <c r="D70" s="64">
        <v>4058</v>
      </c>
      <c r="E70" s="64">
        <v>18293</v>
      </c>
      <c r="F70" s="63">
        <v>16228</v>
      </c>
      <c r="G70" s="64">
        <v>2990</v>
      </c>
      <c r="H70" s="64">
        <v>13238</v>
      </c>
      <c r="I70" s="63">
        <v>5990</v>
      </c>
      <c r="J70" s="64">
        <v>1037</v>
      </c>
      <c r="K70" s="64">
        <v>4953</v>
      </c>
      <c r="L70" s="63">
        <v>13414</v>
      </c>
      <c r="M70" s="64">
        <v>2345</v>
      </c>
      <c r="N70" s="64">
        <v>11069</v>
      </c>
      <c r="O70" s="63">
        <v>8937</v>
      </c>
      <c r="P70" s="64">
        <v>1713</v>
      </c>
      <c r="Q70" s="65">
        <v>7224</v>
      </c>
      <c r="R70" s="66">
        <v>4.7</v>
      </c>
      <c r="S70" s="66">
        <v>2.9</v>
      </c>
      <c r="T70" s="66">
        <v>5.5</v>
      </c>
      <c r="U70" s="67">
        <v>3.8</v>
      </c>
      <c r="V70" s="66">
        <v>2.2999999999999998</v>
      </c>
      <c r="W70" s="66">
        <v>4.4000000000000004</v>
      </c>
      <c r="X70" s="67">
        <v>13.5</v>
      </c>
      <c r="Y70" s="66">
        <v>11.2</v>
      </c>
      <c r="Z70" s="68">
        <v>14.1</v>
      </c>
      <c r="AA70" s="67">
        <v>5.2</v>
      </c>
      <c r="AB70" s="66">
        <v>3.1</v>
      </c>
      <c r="AC70" s="66">
        <v>6.1</v>
      </c>
      <c r="AD70" s="67">
        <v>4</v>
      </c>
      <c r="AE70" s="66">
        <v>2.6</v>
      </c>
      <c r="AF70" s="68">
        <v>4.7</v>
      </c>
    </row>
    <row r="71" spans="1:32" ht="12.6" customHeight="1" x14ac:dyDescent="0.2">
      <c r="A71" s="148"/>
      <c r="B71" s="69" t="s">
        <v>20</v>
      </c>
      <c r="C71" s="70">
        <v>4680</v>
      </c>
      <c r="D71" s="71">
        <v>776</v>
      </c>
      <c r="E71" s="71">
        <v>3904</v>
      </c>
      <c r="F71" s="70">
        <v>3396</v>
      </c>
      <c r="G71" s="71">
        <v>573</v>
      </c>
      <c r="H71" s="71">
        <v>2823</v>
      </c>
      <c r="I71" s="70">
        <v>1255</v>
      </c>
      <c r="J71" s="71">
        <v>198</v>
      </c>
      <c r="K71" s="71">
        <v>1057</v>
      </c>
      <c r="L71" s="70">
        <v>2952</v>
      </c>
      <c r="M71" s="71">
        <v>457</v>
      </c>
      <c r="N71" s="71">
        <v>2495</v>
      </c>
      <c r="O71" s="70">
        <v>1728</v>
      </c>
      <c r="P71" s="71">
        <v>319</v>
      </c>
      <c r="Q71" s="72">
        <v>1409</v>
      </c>
      <c r="R71" s="73">
        <v>5.4</v>
      </c>
      <c r="S71" s="73">
        <v>3.4</v>
      </c>
      <c r="T71" s="73">
        <v>6.1</v>
      </c>
      <c r="U71" s="74">
        <v>4.3</v>
      </c>
      <c r="V71" s="73">
        <v>2.7</v>
      </c>
      <c r="W71" s="73">
        <v>4.9000000000000004</v>
      </c>
      <c r="X71" s="74" t="s">
        <v>21</v>
      </c>
      <c r="Y71" s="73" t="s">
        <v>21</v>
      </c>
      <c r="Z71" s="75" t="s">
        <v>21</v>
      </c>
      <c r="AA71" s="74">
        <v>6.3</v>
      </c>
      <c r="AB71" s="73">
        <v>3.8</v>
      </c>
      <c r="AC71" s="73">
        <v>7.2</v>
      </c>
      <c r="AD71" s="74">
        <v>4.3</v>
      </c>
      <c r="AE71" s="73">
        <v>3</v>
      </c>
      <c r="AF71" s="75">
        <v>4.8</v>
      </c>
    </row>
    <row r="72" spans="1:32" ht="12.6" customHeight="1" x14ac:dyDescent="0.2">
      <c r="A72" s="148"/>
      <c r="B72" s="69" t="s">
        <v>22</v>
      </c>
      <c r="C72" s="70">
        <v>6624</v>
      </c>
      <c r="D72" s="71">
        <v>1276</v>
      </c>
      <c r="E72" s="71">
        <v>5348</v>
      </c>
      <c r="F72" s="70">
        <v>4486</v>
      </c>
      <c r="G72" s="71">
        <v>878</v>
      </c>
      <c r="H72" s="71">
        <v>3608</v>
      </c>
      <c r="I72" s="70">
        <v>2085</v>
      </c>
      <c r="J72" s="71">
        <v>387</v>
      </c>
      <c r="K72" s="71">
        <v>1698</v>
      </c>
      <c r="L72" s="70">
        <v>3941</v>
      </c>
      <c r="M72" s="71">
        <v>748</v>
      </c>
      <c r="N72" s="71">
        <v>3193</v>
      </c>
      <c r="O72" s="70">
        <v>2683</v>
      </c>
      <c r="P72" s="71">
        <v>528</v>
      </c>
      <c r="Q72" s="72">
        <v>2155</v>
      </c>
      <c r="R72" s="73">
        <v>5.6</v>
      </c>
      <c r="S72" s="73">
        <v>3.9</v>
      </c>
      <c r="T72" s="73">
        <v>6.2</v>
      </c>
      <c r="U72" s="74">
        <v>4.3</v>
      </c>
      <c r="V72" s="73">
        <v>2.9</v>
      </c>
      <c r="W72" s="73">
        <v>4.8</v>
      </c>
      <c r="X72" s="74" t="s">
        <v>21</v>
      </c>
      <c r="Y72" s="73" t="s">
        <v>21</v>
      </c>
      <c r="Z72" s="75" t="s">
        <v>21</v>
      </c>
      <c r="AA72" s="74">
        <v>6.2</v>
      </c>
      <c r="AB72" s="73">
        <v>4.3</v>
      </c>
      <c r="AC72" s="73">
        <v>7</v>
      </c>
      <c r="AD72" s="74">
        <v>4.8</v>
      </c>
      <c r="AE72" s="73">
        <v>3.5</v>
      </c>
      <c r="AF72" s="75">
        <v>5.3</v>
      </c>
    </row>
    <row r="73" spans="1:32" ht="12.6" customHeight="1" x14ac:dyDescent="0.2">
      <c r="A73" s="148"/>
      <c r="B73" s="69" t="s">
        <v>23</v>
      </c>
      <c r="C73" s="70">
        <v>4558</v>
      </c>
      <c r="D73" s="71">
        <v>872</v>
      </c>
      <c r="E73" s="71">
        <v>3686</v>
      </c>
      <c r="F73" s="70">
        <v>3438</v>
      </c>
      <c r="G73" s="71">
        <v>658</v>
      </c>
      <c r="H73" s="71">
        <v>2780</v>
      </c>
      <c r="I73" s="70">
        <v>1092</v>
      </c>
      <c r="J73" s="71">
        <v>208</v>
      </c>
      <c r="K73" s="71">
        <v>884</v>
      </c>
      <c r="L73" s="70">
        <v>2776</v>
      </c>
      <c r="M73" s="71">
        <v>506</v>
      </c>
      <c r="N73" s="71">
        <v>2270</v>
      </c>
      <c r="O73" s="70">
        <v>1782</v>
      </c>
      <c r="P73" s="71">
        <v>366</v>
      </c>
      <c r="Q73" s="72">
        <v>1416</v>
      </c>
      <c r="R73" s="73">
        <v>4.5999999999999996</v>
      </c>
      <c r="S73" s="73">
        <v>2.7</v>
      </c>
      <c r="T73" s="73">
        <v>5.5</v>
      </c>
      <c r="U73" s="74">
        <v>3.7</v>
      </c>
      <c r="V73" s="73">
        <v>2.1</v>
      </c>
      <c r="W73" s="73">
        <v>4.5</v>
      </c>
      <c r="X73" s="74" t="s">
        <v>21</v>
      </c>
      <c r="Y73" s="73" t="s">
        <v>21</v>
      </c>
      <c r="Z73" s="75" t="s">
        <v>21</v>
      </c>
      <c r="AA73" s="74">
        <v>5.2</v>
      </c>
      <c r="AB73" s="73">
        <v>2.9</v>
      </c>
      <c r="AC73" s="73">
        <v>6.2</v>
      </c>
      <c r="AD73" s="74">
        <v>3.9</v>
      </c>
      <c r="AE73" s="73">
        <v>2.4</v>
      </c>
      <c r="AF73" s="75">
        <v>4.7</v>
      </c>
    </row>
    <row r="74" spans="1:32" ht="12.6" customHeight="1" x14ac:dyDescent="0.2">
      <c r="A74" s="148"/>
      <c r="B74" s="69" t="s">
        <v>24</v>
      </c>
      <c r="C74" s="70">
        <v>6489</v>
      </c>
      <c r="D74" s="71">
        <v>1134</v>
      </c>
      <c r="E74" s="71">
        <v>5355</v>
      </c>
      <c r="F74" s="70">
        <v>4908</v>
      </c>
      <c r="G74" s="71">
        <v>881</v>
      </c>
      <c r="H74" s="71">
        <v>4027</v>
      </c>
      <c r="I74" s="70">
        <v>1558</v>
      </c>
      <c r="J74" s="71">
        <v>244</v>
      </c>
      <c r="K74" s="71">
        <v>1314</v>
      </c>
      <c r="L74" s="70">
        <v>3745</v>
      </c>
      <c r="M74" s="71">
        <v>634</v>
      </c>
      <c r="N74" s="71">
        <v>3111</v>
      </c>
      <c r="O74" s="70">
        <v>2744</v>
      </c>
      <c r="P74" s="71">
        <v>500</v>
      </c>
      <c r="Q74" s="72">
        <v>2244</v>
      </c>
      <c r="R74" s="73">
        <v>3.8</v>
      </c>
      <c r="S74" s="73">
        <v>2.1</v>
      </c>
      <c r="T74" s="73">
        <v>4.5</v>
      </c>
      <c r="U74" s="74">
        <v>3.1</v>
      </c>
      <c r="V74" s="73">
        <v>1.8</v>
      </c>
      <c r="W74" s="73">
        <v>3.8</v>
      </c>
      <c r="X74" s="74" t="s">
        <v>21</v>
      </c>
      <c r="Y74" s="73" t="s">
        <v>21</v>
      </c>
      <c r="Z74" s="75" t="s">
        <v>21</v>
      </c>
      <c r="AA74" s="74">
        <v>4.0999999999999996</v>
      </c>
      <c r="AB74" s="73">
        <v>2.2000000000000002</v>
      </c>
      <c r="AC74" s="73">
        <v>4.9000000000000004</v>
      </c>
      <c r="AD74" s="74">
        <v>3.4</v>
      </c>
      <c r="AE74" s="73">
        <v>2</v>
      </c>
      <c r="AF74" s="75">
        <v>4.0999999999999996</v>
      </c>
    </row>
    <row r="75" spans="1:32" ht="12.6" customHeight="1" x14ac:dyDescent="0.2">
      <c r="A75" s="147">
        <v>43646</v>
      </c>
      <c r="B75" s="76" t="s">
        <v>19</v>
      </c>
      <c r="C75" s="63">
        <v>21042</v>
      </c>
      <c r="D75" s="64">
        <v>3694</v>
      </c>
      <c r="E75" s="64">
        <v>17348</v>
      </c>
      <c r="F75" s="63">
        <v>15072</v>
      </c>
      <c r="G75" s="64">
        <v>2717</v>
      </c>
      <c r="H75" s="64">
        <v>12355</v>
      </c>
      <c r="I75" s="63">
        <v>5865</v>
      </c>
      <c r="J75" s="64">
        <v>962</v>
      </c>
      <c r="K75" s="64">
        <v>4903</v>
      </c>
      <c r="L75" s="63">
        <v>12862</v>
      </c>
      <c r="M75" s="64">
        <v>2145</v>
      </c>
      <c r="N75" s="64">
        <v>10717</v>
      </c>
      <c r="O75" s="63">
        <v>8180</v>
      </c>
      <c r="P75" s="64">
        <v>1549</v>
      </c>
      <c r="Q75" s="65">
        <v>6631</v>
      </c>
      <c r="R75" s="66">
        <v>4.4000000000000004</v>
      </c>
      <c r="S75" s="66">
        <v>2.6</v>
      </c>
      <c r="T75" s="66">
        <v>5.0999999999999996</v>
      </c>
      <c r="U75" s="67">
        <v>3.5</v>
      </c>
      <c r="V75" s="66">
        <v>2.1</v>
      </c>
      <c r="W75" s="66">
        <v>4.0999999999999996</v>
      </c>
      <c r="X75" s="67">
        <v>12.1</v>
      </c>
      <c r="Y75" s="66">
        <v>9.4</v>
      </c>
      <c r="Z75" s="68">
        <v>12.8</v>
      </c>
      <c r="AA75" s="67">
        <v>5</v>
      </c>
      <c r="AB75" s="66">
        <v>2.8</v>
      </c>
      <c r="AC75" s="66">
        <v>5.8</v>
      </c>
      <c r="AD75" s="67">
        <v>3.7</v>
      </c>
      <c r="AE75" s="66">
        <v>2.4</v>
      </c>
      <c r="AF75" s="68">
        <v>4.3</v>
      </c>
    </row>
    <row r="76" spans="1:32" ht="12.6" customHeight="1" x14ac:dyDescent="0.2">
      <c r="A76" s="148"/>
      <c r="B76" s="69" t="s">
        <v>20</v>
      </c>
      <c r="C76" s="70">
        <v>4307</v>
      </c>
      <c r="D76" s="71">
        <v>742</v>
      </c>
      <c r="E76" s="71">
        <v>3565</v>
      </c>
      <c r="F76" s="70">
        <v>3073</v>
      </c>
      <c r="G76" s="71">
        <v>546</v>
      </c>
      <c r="H76" s="71">
        <v>2527</v>
      </c>
      <c r="I76" s="70">
        <v>1212</v>
      </c>
      <c r="J76" s="71">
        <v>192</v>
      </c>
      <c r="K76" s="71">
        <v>1020</v>
      </c>
      <c r="L76" s="70">
        <v>2709</v>
      </c>
      <c r="M76" s="71">
        <v>427</v>
      </c>
      <c r="N76" s="71">
        <v>2282</v>
      </c>
      <c r="O76" s="70">
        <v>1598</v>
      </c>
      <c r="P76" s="71">
        <v>315</v>
      </c>
      <c r="Q76" s="72">
        <v>1283</v>
      </c>
      <c r="R76" s="73">
        <v>5</v>
      </c>
      <c r="S76" s="73">
        <v>3.3</v>
      </c>
      <c r="T76" s="73">
        <v>5.5</v>
      </c>
      <c r="U76" s="74">
        <v>3.9</v>
      </c>
      <c r="V76" s="73">
        <v>2.6</v>
      </c>
      <c r="W76" s="73">
        <v>4.4000000000000004</v>
      </c>
      <c r="X76" s="74" t="s">
        <v>21</v>
      </c>
      <c r="Y76" s="73" t="s">
        <v>21</v>
      </c>
      <c r="Z76" s="75" t="s">
        <v>21</v>
      </c>
      <c r="AA76" s="74">
        <v>5.7</v>
      </c>
      <c r="AB76" s="73">
        <v>3.5</v>
      </c>
      <c r="AC76" s="73">
        <v>6.5</v>
      </c>
      <c r="AD76" s="74">
        <v>4</v>
      </c>
      <c r="AE76" s="73">
        <v>3</v>
      </c>
      <c r="AF76" s="75">
        <v>4.4000000000000004</v>
      </c>
    </row>
    <row r="77" spans="1:32" ht="12.6" customHeight="1" x14ac:dyDescent="0.2">
      <c r="A77" s="148"/>
      <c r="B77" s="69" t="s">
        <v>22</v>
      </c>
      <c r="C77" s="70">
        <v>6377</v>
      </c>
      <c r="D77" s="71">
        <v>1190</v>
      </c>
      <c r="E77" s="71">
        <v>5187</v>
      </c>
      <c r="F77" s="70">
        <v>4196</v>
      </c>
      <c r="G77" s="71">
        <v>819</v>
      </c>
      <c r="H77" s="71">
        <v>3377</v>
      </c>
      <c r="I77" s="70">
        <v>2142</v>
      </c>
      <c r="J77" s="71">
        <v>364</v>
      </c>
      <c r="K77" s="71">
        <v>1778</v>
      </c>
      <c r="L77" s="70">
        <v>3914</v>
      </c>
      <c r="M77" s="71">
        <v>695</v>
      </c>
      <c r="N77" s="71">
        <v>3219</v>
      </c>
      <c r="O77" s="70">
        <v>2463</v>
      </c>
      <c r="P77" s="71">
        <v>495</v>
      </c>
      <c r="Q77" s="72">
        <v>1968</v>
      </c>
      <c r="R77" s="73">
        <v>5.3</v>
      </c>
      <c r="S77" s="73">
        <v>3.7</v>
      </c>
      <c r="T77" s="73">
        <v>5.9</v>
      </c>
      <c r="U77" s="74">
        <v>4</v>
      </c>
      <c r="V77" s="73">
        <v>2.8</v>
      </c>
      <c r="W77" s="73">
        <v>4.4000000000000004</v>
      </c>
      <c r="X77" s="74" t="s">
        <v>21</v>
      </c>
      <c r="Y77" s="73" t="s">
        <v>21</v>
      </c>
      <c r="Z77" s="75" t="s">
        <v>21</v>
      </c>
      <c r="AA77" s="74">
        <v>6.1</v>
      </c>
      <c r="AB77" s="73">
        <v>4</v>
      </c>
      <c r="AC77" s="73">
        <v>6.8</v>
      </c>
      <c r="AD77" s="74">
        <v>4.4000000000000004</v>
      </c>
      <c r="AE77" s="73">
        <v>3.3</v>
      </c>
      <c r="AF77" s="75">
        <v>4.8</v>
      </c>
    </row>
    <row r="78" spans="1:32" ht="12.6" customHeight="1" x14ac:dyDescent="0.2">
      <c r="A78" s="148"/>
      <c r="B78" s="69" t="s">
        <v>23</v>
      </c>
      <c r="C78" s="70">
        <v>4426</v>
      </c>
      <c r="D78" s="71">
        <v>765</v>
      </c>
      <c r="E78" s="71">
        <v>3661</v>
      </c>
      <c r="F78" s="70">
        <v>3291</v>
      </c>
      <c r="G78" s="71">
        <v>582</v>
      </c>
      <c r="H78" s="71">
        <v>2709</v>
      </c>
      <c r="I78" s="70">
        <v>1107</v>
      </c>
      <c r="J78" s="71">
        <v>179</v>
      </c>
      <c r="K78" s="71">
        <v>928</v>
      </c>
      <c r="L78" s="70">
        <v>2672</v>
      </c>
      <c r="M78" s="71">
        <v>436</v>
      </c>
      <c r="N78" s="71">
        <v>2236</v>
      </c>
      <c r="O78" s="70">
        <v>1754</v>
      </c>
      <c r="P78" s="71">
        <v>329</v>
      </c>
      <c r="Q78" s="72">
        <v>1425</v>
      </c>
      <c r="R78" s="73">
        <v>4.4000000000000004</v>
      </c>
      <c r="S78" s="73">
        <v>2.4</v>
      </c>
      <c r="T78" s="73">
        <v>5.4</v>
      </c>
      <c r="U78" s="74">
        <v>3.6</v>
      </c>
      <c r="V78" s="73">
        <v>1.9</v>
      </c>
      <c r="W78" s="73">
        <v>4.4000000000000004</v>
      </c>
      <c r="X78" s="74" t="s">
        <v>21</v>
      </c>
      <c r="Y78" s="73" t="s">
        <v>21</v>
      </c>
      <c r="Z78" s="75" t="s">
        <v>21</v>
      </c>
      <c r="AA78" s="74">
        <v>4.9000000000000004</v>
      </c>
      <c r="AB78" s="73">
        <v>2.5</v>
      </c>
      <c r="AC78" s="73">
        <v>6.1</v>
      </c>
      <c r="AD78" s="74">
        <v>3.9</v>
      </c>
      <c r="AE78" s="73">
        <v>2.2000000000000002</v>
      </c>
      <c r="AF78" s="75">
        <v>4.7</v>
      </c>
    </row>
    <row r="79" spans="1:32" ht="12.6" customHeight="1" x14ac:dyDescent="0.2">
      <c r="A79" s="148"/>
      <c r="B79" s="69" t="s">
        <v>24</v>
      </c>
      <c r="C79" s="77">
        <v>5932</v>
      </c>
      <c r="D79" s="78">
        <v>997</v>
      </c>
      <c r="E79" s="78">
        <v>4935</v>
      </c>
      <c r="F79" s="77">
        <v>4512</v>
      </c>
      <c r="G79" s="78">
        <v>770</v>
      </c>
      <c r="H79" s="78">
        <v>3742</v>
      </c>
      <c r="I79" s="77">
        <v>1404</v>
      </c>
      <c r="J79" s="78">
        <v>227</v>
      </c>
      <c r="K79" s="78">
        <v>1177</v>
      </c>
      <c r="L79" s="77">
        <v>3567</v>
      </c>
      <c r="M79" s="78">
        <v>587</v>
      </c>
      <c r="N79" s="78">
        <v>2980</v>
      </c>
      <c r="O79" s="77">
        <v>2365</v>
      </c>
      <c r="P79" s="78">
        <v>410</v>
      </c>
      <c r="Q79" s="79">
        <v>1955</v>
      </c>
      <c r="R79" s="73">
        <v>3.4</v>
      </c>
      <c r="S79" s="73">
        <v>1.9</v>
      </c>
      <c r="T79" s="73">
        <v>4.0999999999999996</v>
      </c>
      <c r="U79" s="74">
        <v>2.9</v>
      </c>
      <c r="V79" s="73">
        <v>1.6</v>
      </c>
      <c r="W79" s="73">
        <v>3.5</v>
      </c>
      <c r="X79" s="74" t="s">
        <v>21</v>
      </c>
      <c r="Y79" s="73" t="s">
        <v>21</v>
      </c>
      <c r="Z79" s="75" t="s">
        <v>21</v>
      </c>
      <c r="AA79" s="74">
        <v>3.8</v>
      </c>
      <c r="AB79" s="73">
        <v>2</v>
      </c>
      <c r="AC79" s="73">
        <v>4.7</v>
      </c>
      <c r="AD79" s="74">
        <v>3</v>
      </c>
      <c r="AE79" s="73">
        <v>1.7</v>
      </c>
      <c r="AF79" s="75">
        <v>3.5</v>
      </c>
    </row>
    <row r="80" spans="1:32" ht="11.25" customHeight="1" x14ac:dyDescent="0.2">
      <c r="A80" s="80" t="s">
        <v>25</v>
      </c>
      <c r="B80" s="81"/>
      <c r="C80" s="81"/>
      <c r="D80" s="81"/>
      <c r="E80" s="81"/>
      <c r="F80" s="81"/>
      <c r="G80" s="81"/>
      <c r="H80" s="81"/>
      <c r="I80" s="81"/>
      <c r="J80" s="81"/>
      <c r="K80" s="81"/>
      <c r="L80" s="81"/>
      <c r="M80" s="81"/>
      <c r="N80" s="81"/>
      <c r="O80" s="81"/>
      <c r="P80" s="81"/>
      <c r="Q80" s="81"/>
      <c r="R80" s="81"/>
      <c r="S80" s="81"/>
      <c r="T80" s="81"/>
      <c r="U80" s="81"/>
      <c r="V80" s="81"/>
      <c r="W80" s="81"/>
      <c r="X80" s="81"/>
      <c r="Y80" s="81"/>
      <c r="Z80" s="81"/>
      <c r="AA80" s="81"/>
      <c r="AB80" s="81"/>
      <c r="AC80" s="81"/>
      <c r="AD80" s="81"/>
      <c r="AE80" s="81"/>
      <c r="AF80" s="82" t="s">
        <v>26</v>
      </c>
    </row>
    <row r="82" spans="1:1" x14ac:dyDescent="0.2">
      <c r="A82" s="49" t="s">
        <v>27</v>
      </c>
    </row>
  </sheetData>
  <mergeCells count="30">
    <mergeCell ref="A70:A74"/>
    <mergeCell ref="A75:A79"/>
    <mergeCell ref="A40:A44"/>
    <mergeCell ref="A45:A49"/>
    <mergeCell ref="A50:A54"/>
    <mergeCell ref="A55:A59"/>
    <mergeCell ref="A60:A64"/>
    <mergeCell ref="A65:A69"/>
    <mergeCell ref="A35:A39"/>
    <mergeCell ref="L12:N12"/>
    <mergeCell ref="O12:Q12"/>
    <mergeCell ref="R12:T12"/>
    <mergeCell ref="U12:W12"/>
    <mergeCell ref="A15:A19"/>
    <mergeCell ref="A20:A24"/>
    <mergeCell ref="A25:A29"/>
    <mergeCell ref="A30:A34"/>
    <mergeCell ref="A7:AF7"/>
    <mergeCell ref="A8:Q8"/>
    <mergeCell ref="A9:Q9"/>
    <mergeCell ref="A11:A14"/>
    <mergeCell ref="B11:B14"/>
    <mergeCell ref="C11:Q11"/>
    <mergeCell ref="R11:AF11"/>
    <mergeCell ref="C12:E12"/>
    <mergeCell ref="F12:H12"/>
    <mergeCell ref="I12:K12"/>
    <mergeCell ref="AD12:AF12"/>
    <mergeCell ref="X12:Z12"/>
    <mergeCell ref="AA12:AC12"/>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G16"/>
  <sheetViews>
    <sheetView workbookViewId="0"/>
  </sheetViews>
  <sheetFormatPr baseColWidth="10" defaultColWidth="9.140625" defaultRowHeight="11.25" x14ac:dyDescent="0.2"/>
  <cols>
    <col min="1" max="1" width="14.28515625" style="3" customWidth="1"/>
    <col min="2" max="7" width="12.140625" style="3" customWidth="1"/>
    <col min="8" max="16384" width="9.140625" style="3"/>
  </cols>
  <sheetData>
    <row r="1" spans="1:7" ht="12.75" x14ac:dyDescent="0.2">
      <c r="A1" s="83"/>
      <c r="B1" s="83"/>
      <c r="C1" s="83"/>
      <c r="D1" s="83"/>
      <c r="E1" s="83"/>
      <c r="F1" s="83"/>
      <c r="G1" s="84" t="s">
        <v>0</v>
      </c>
    </row>
    <row r="2" spans="1:7" ht="11.25" customHeight="1" x14ac:dyDescent="0.2"/>
    <row r="3" spans="1:7" ht="12.75" x14ac:dyDescent="0.2">
      <c r="A3" s="151" t="s">
        <v>50</v>
      </c>
      <c r="B3" s="152"/>
      <c r="C3" s="152"/>
      <c r="D3" s="152"/>
      <c r="E3" s="152"/>
      <c r="F3" s="152"/>
      <c r="G3" s="152"/>
    </row>
    <row r="4" spans="1:7" ht="11.25" customHeight="1" x14ac:dyDescent="0.2">
      <c r="A4" s="5" t="s">
        <v>51</v>
      </c>
    </row>
    <row r="5" spans="1:7" ht="11.25" customHeight="1" x14ac:dyDescent="0.2">
      <c r="A5" s="6" t="s">
        <v>3</v>
      </c>
    </row>
    <row r="6" spans="1:7" ht="11.25" customHeight="1" x14ac:dyDescent="0.2"/>
    <row r="7" spans="1:7" x14ac:dyDescent="0.2">
      <c r="A7" s="153" t="s">
        <v>52</v>
      </c>
      <c r="B7" s="153" t="s">
        <v>53</v>
      </c>
      <c r="C7" s="153"/>
      <c r="D7" s="153"/>
      <c r="E7" s="153"/>
      <c r="F7" s="153"/>
      <c r="G7" s="153"/>
    </row>
    <row r="8" spans="1:7" ht="11.25" customHeight="1" x14ac:dyDescent="0.2">
      <c r="A8" s="154"/>
      <c r="B8" s="156" t="s">
        <v>11</v>
      </c>
      <c r="C8" s="156"/>
      <c r="D8" s="157"/>
      <c r="E8" s="156" t="s">
        <v>13</v>
      </c>
      <c r="F8" s="156"/>
      <c r="G8" s="156"/>
    </row>
    <row r="9" spans="1:7" ht="11.25" customHeight="1" x14ac:dyDescent="0.2">
      <c r="A9" s="154"/>
      <c r="B9" s="45" t="s">
        <v>11</v>
      </c>
      <c r="C9" s="45" t="s">
        <v>32</v>
      </c>
      <c r="D9" s="46" t="s">
        <v>15</v>
      </c>
      <c r="E9" s="45" t="s">
        <v>11</v>
      </c>
      <c r="F9" s="45" t="s">
        <v>32</v>
      </c>
      <c r="G9" s="45" t="s">
        <v>15</v>
      </c>
    </row>
    <row r="10" spans="1:7" s="15" customFormat="1" ht="11.25" customHeight="1" x14ac:dyDescent="0.2">
      <c r="A10" s="155"/>
      <c r="B10" s="85">
        <v>1</v>
      </c>
      <c r="C10" s="85">
        <v>2</v>
      </c>
      <c r="D10" s="86">
        <v>3</v>
      </c>
      <c r="E10" s="85">
        <v>4</v>
      </c>
      <c r="F10" s="85">
        <v>5</v>
      </c>
      <c r="G10" s="85">
        <v>6</v>
      </c>
    </row>
    <row r="11" spans="1:7" x14ac:dyDescent="0.2">
      <c r="A11" s="87">
        <v>42185</v>
      </c>
      <c r="B11" s="27">
        <v>5.9</v>
      </c>
      <c r="C11" s="27">
        <v>5.9</v>
      </c>
      <c r="D11" s="27">
        <v>5.8</v>
      </c>
      <c r="E11" s="28">
        <v>16.3</v>
      </c>
      <c r="F11" s="27">
        <v>14.3</v>
      </c>
      <c r="G11" s="29">
        <v>19.100000000000001</v>
      </c>
    </row>
    <row r="12" spans="1:7" x14ac:dyDescent="0.2">
      <c r="A12" s="87">
        <v>42551</v>
      </c>
      <c r="B12" s="27">
        <v>5.8</v>
      </c>
      <c r="C12" s="27">
        <v>6</v>
      </c>
      <c r="D12" s="27">
        <v>5.6</v>
      </c>
      <c r="E12" s="28">
        <v>18.100000000000001</v>
      </c>
      <c r="F12" s="27">
        <v>17.3</v>
      </c>
      <c r="G12" s="29">
        <v>19.3</v>
      </c>
    </row>
    <row r="13" spans="1:7" x14ac:dyDescent="0.2">
      <c r="A13" s="87">
        <v>42916</v>
      </c>
      <c r="B13" s="27">
        <v>5.6</v>
      </c>
      <c r="C13" s="27">
        <v>5.8</v>
      </c>
      <c r="D13" s="27">
        <v>5.5</v>
      </c>
      <c r="E13" s="28">
        <v>17.7</v>
      </c>
      <c r="F13" s="27">
        <v>16.3</v>
      </c>
      <c r="G13" s="29">
        <v>19.8</v>
      </c>
    </row>
    <row r="14" spans="1:7" x14ac:dyDescent="0.2">
      <c r="A14" s="87">
        <v>43281</v>
      </c>
      <c r="B14" s="27">
        <v>5.0999999999999996</v>
      </c>
      <c r="C14" s="27">
        <v>5.3</v>
      </c>
      <c r="D14" s="27">
        <v>5</v>
      </c>
      <c r="E14" s="28">
        <v>15.6</v>
      </c>
      <c r="F14" s="27">
        <v>14.1</v>
      </c>
      <c r="G14" s="29">
        <v>17.899999999999999</v>
      </c>
    </row>
    <row r="15" spans="1:7" x14ac:dyDescent="0.2">
      <c r="A15" s="87">
        <v>43646</v>
      </c>
      <c r="B15" s="27">
        <v>4.9000000000000004</v>
      </c>
      <c r="C15" s="27">
        <v>5.0999999999999996</v>
      </c>
      <c r="D15" s="27">
        <v>4.7</v>
      </c>
      <c r="E15" s="28">
        <v>14.7</v>
      </c>
      <c r="F15" s="27">
        <v>13.2</v>
      </c>
      <c r="G15" s="29">
        <v>17.2</v>
      </c>
    </row>
    <row r="16" spans="1:7" ht="11.25" customHeight="1" x14ac:dyDescent="0.2">
      <c r="A16" s="34" t="s">
        <v>54</v>
      </c>
      <c r="B16" s="35"/>
      <c r="C16" s="35"/>
      <c r="D16" s="35"/>
      <c r="E16" s="35"/>
      <c r="F16" s="35"/>
      <c r="G16" s="36" t="s">
        <v>26</v>
      </c>
    </row>
  </sheetData>
  <mergeCells count="5">
    <mergeCell ref="A3:G3"/>
    <mergeCell ref="A7:A10"/>
    <mergeCell ref="B7:G7"/>
    <mergeCell ref="B8:D8"/>
    <mergeCell ref="E8:G8"/>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filterMode="1"/>
  <dimension ref="A1:AF82"/>
  <sheetViews>
    <sheetView workbookViewId="0"/>
  </sheetViews>
  <sheetFormatPr baseColWidth="10" defaultColWidth="9.140625" defaultRowHeight="11.25" x14ac:dyDescent="0.2"/>
  <cols>
    <col min="1" max="1" width="8.5703125" style="3" customWidth="1"/>
    <col min="2" max="2" width="26.5703125" style="3" customWidth="1"/>
    <col min="3" max="32" width="7.5703125" style="3" customWidth="1"/>
    <col min="33" max="16384" width="9.140625" style="3"/>
  </cols>
  <sheetData>
    <row r="1" spans="1:32" ht="33.75" customHeight="1" x14ac:dyDescent="0.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2" t="s">
        <v>0</v>
      </c>
    </row>
    <row r="2" spans="1:32" ht="11.25" customHeight="1" x14ac:dyDescent="0.2"/>
    <row r="3" spans="1:32" ht="15" customHeight="1" x14ac:dyDescent="0.2">
      <c r="A3" s="4" t="s">
        <v>1</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row>
    <row r="4" spans="1:32" ht="11.25" customHeight="1" x14ac:dyDescent="0.2">
      <c r="A4" s="5" t="s">
        <v>2</v>
      </c>
    </row>
    <row r="5" spans="1:32" ht="11.25" customHeight="1" x14ac:dyDescent="0.2">
      <c r="A5" s="6" t="s">
        <v>3</v>
      </c>
    </row>
    <row r="6" spans="1:32" ht="11.25" customHeight="1" x14ac:dyDescent="0.2"/>
    <row r="7" spans="1:32" s="7" customFormat="1" ht="17.25" customHeight="1" x14ac:dyDescent="0.25">
      <c r="A7" s="162" t="s">
        <v>4</v>
      </c>
      <c r="B7" s="162"/>
      <c r="C7" s="162"/>
      <c r="D7" s="162"/>
      <c r="E7" s="162"/>
      <c r="F7" s="162"/>
      <c r="G7" s="162"/>
      <c r="H7" s="162"/>
      <c r="I7" s="162"/>
      <c r="J7" s="162"/>
      <c r="K7" s="162"/>
      <c r="L7" s="162"/>
      <c r="M7" s="162"/>
      <c r="N7" s="162"/>
      <c r="O7" s="162"/>
      <c r="P7" s="162"/>
      <c r="Q7" s="162"/>
      <c r="R7" s="162"/>
      <c r="S7" s="162"/>
      <c r="T7" s="162"/>
      <c r="U7" s="162"/>
      <c r="V7" s="162"/>
      <c r="W7" s="162"/>
      <c r="X7" s="162"/>
      <c r="Y7" s="162"/>
      <c r="Z7" s="162"/>
      <c r="AA7" s="162"/>
      <c r="AB7" s="162"/>
      <c r="AC7" s="162"/>
      <c r="AD7" s="162"/>
      <c r="AE7" s="162"/>
      <c r="AF7" s="162"/>
    </row>
    <row r="8" spans="1:32" s="7" customFormat="1" ht="17.25" customHeight="1" x14ac:dyDescent="0.25">
      <c r="A8" s="162" t="s">
        <v>5</v>
      </c>
      <c r="B8" s="162"/>
      <c r="C8" s="162"/>
      <c r="D8" s="162"/>
      <c r="E8" s="162"/>
      <c r="F8" s="162"/>
      <c r="G8" s="162"/>
      <c r="H8" s="162"/>
      <c r="I8" s="162"/>
      <c r="J8" s="162"/>
      <c r="K8" s="162"/>
      <c r="L8" s="162"/>
      <c r="M8" s="162"/>
      <c r="N8" s="162"/>
      <c r="O8" s="162"/>
      <c r="P8" s="162"/>
      <c r="Q8" s="162"/>
      <c r="R8" s="8"/>
      <c r="S8" s="9"/>
      <c r="T8" s="9"/>
      <c r="U8" s="9"/>
      <c r="V8" s="9"/>
      <c r="W8" s="9"/>
      <c r="X8" s="9"/>
      <c r="Y8" s="9"/>
      <c r="Z8" s="9"/>
      <c r="AA8" s="9"/>
      <c r="AB8" s="9"/>
      <c r="AC8" s="9"/>
      <c r="AD8" s="9"/>
      <c r="AE8" s="9"/>
      <c r="AF8" s="9"/>
    </row>
    <row r="9" spans="1:32" s="7" customFormat="1" ht="45" customHeight="1" x14ac:dyDescent="0.25">
      <c r="A9" s="162" t="s">
        <v>6</v>
      </c>
      <c r="B9" s="162"/>
      <c r="C9" s="162"/>
      <c r="D9" s="162"/>
      <c r="E9" s="162"/>
      <c r="F9" s="162"/>
      <c r="G9" s="162"/>
      <c r="H9" s="162"/>
      <c r="I9" s="162"/>
      <c r="J9" s="162"/>
      <c r="K9" s="162"/>
      <c r="L9" s="162"/>
      <c r="M9" s="162"/>
      <c r="N9" s="162"/>
      <c r="O9" s="162"/>
      <c r="P9" s="162"/>
      <c r="Q9" s="162"/>
      <c r="R9" s="8"/>
      <c r="S9" s="9"/>
      <c r="T9" s="9"/>
      <c r="U9" s="9"/>
      <c r="V9" s="9"/>
      <c r="W9" s="9"/>
      <c r="X9" s="9"/>
      <c r="Y9" s="9"/>
      <c r="Z9" s="9"/>
      <c r="AA9" s="9"/>
      <c r="AB9" s="9"/>
      <c r="AC9" s="9"/>
      <c r="AD9" s="9"/>
      <c r="AE9" s="9"/>
      <c r="AF9" s="9"/>
    </row>
    <row r="10" spans="1:32" ht="16.5" customHeight="1" x14ac:dyDescent="0.2"/>
    <row r="11" spans="1:32" x14ac:dyDescent="0.2">
      <c r="A11" s="153" t="s">
        <v>7</v>
      </c>
      <c r="B11" s="153" t="s">
        <v>8</v>
      </c>
      <c r="C11" s="153" t="s">
        <v>9</v>
      </c>
      <c r="D11" s="153"/>
      <c r="E11" s="153"/>
      <c r="F11" s="153"/>
      <c r="G11" s="153"/>
      <c r="H11" s="153"/>
      <c r="I11" s="153"/>
      <c r="J11" s="153"/>
      <c r="K11" s="153"/>
      <c r="L11" s="153"/>
      <c r="M11" s="153"/>
      <c r="N11" s="153"/>
      <c r="O11" s="153"/>
      <c r="P11" s="153"/>
      <c r="Q11" s="153"/>
      <c r="R11" s="163" t="s">
        <v>10</v>
      </c>
      <c r="S11" s="153"/>
      <c r="T11" s="153"/>
      <c r="U11" s="153"/>
      <c r="V11" s="153"/>
      <c r="W11" s="153"/>
      <c r="X11" s="153"/>
      <c r="Y11" s="153"/>
      <c r="Z11" s="153"/>
      <c r="AA11" s="153"/>
      <c r="AB11" s="153"/>
      <c r="AC11" s="153"/>
      <c r="AD11" s="153"/>
      <c r="AE11" s="153"/>
      <c r="AF11" s="153"/>
    </row>
    <row r="12" spans="1:32" ht="11.25" customHeight="1" x14ac:dyDescent="0.2">
      <c r="A12" s="154"/>
      <c r="B12" s="154"/>
      <c r="C12" s="156" t="s">
        <v>11</v>
      </c>
      <c r="D12" s="156"/>
      <c r="E12" s="157"/>
      <c r="F12" s="156" t="s">
        <v>12</v>
      </c>
      <c r="G12" s="156"/>
      <c r="H12" s="157"/>
      <c r="I12" s="156" t="s">
        <v>13</v>
      </c>
      <c r="J12" s="156"/>
      <c r="K12" s="157"/>
      <c r="L12" s="156" t="s">
        <v>14</v>
      </c>
      <c r="M12" s="156"/>
      <c r="N12" s="157"/>
      <c r="O12" s="156" t="s">
        <v>15</v>
      </c>
      <c r="P12" s="156"/>
      <c r="Q12" s="156"/>
      <c r="R12" s="160" t="s">
        <v>11</v>
      </c>
      <c r="S12" s="156"/>
      <c r="T12" s="157"/>
      <c r="U12" s="156" t="s">
        <v>12</v>
      </c>
      <c r="V12" s="156"/>
      <c r="W12" s="157"/>
      <c r="X12" s="156" t="s">
        <v>13</v>
      </c>
      <c r="Y12" s="156"/>
      <c r="Z12" s="157"/>
      <c r="AA12" s="156" t="s">
        <v>14</v>
      </c>
      <c r="AB12" s="156"/>
      <c r="AC12" s="157"/>
      <c r="AD12" s="156" t="s">
        <v>15</v>
      </c>
      <c r="AE12" s="156"/>
      <c r="AF12" s="156"/>
    </row>
    <row r="13" spans="1:32" ht="51" customHeight="1" x14ac:dyDescent="0.2">
      <c r="A13" s="154"/>
      <c r="B13" s="154"/>
      <c r="C13" s="10" t="s">
        <v>16</v>
      </c>
      <c r="D13" s="10" t="s">
        <v>17</v>
      </c>
      <c r="E13" s="11" t="s">
        <v>18</v>
      </c>
      <c r="F13" s="10" t="s">
        <v>16</v>
      </c>
      <c r="G13" s="10" t="s">
        <v>17</v>
      </c>
      <c r="H13" s="11" t="s">
        <v>18</v>
      </c>
      <c r="I13" s="10" t="s">
        <v>16</v>
      </c>
      <c r="J13" s="10" t="s">
        <v>17</v>
      </c>
      <c r="K13" s="11" t="s">
        <v>18</v>
      </c>
      <c r="L13" s="10" t="s">
        <v>16</v>
      </c>
      <c r="M13" s="10" t="s">
        <v>17</v>
      </c>
      <c r="N13" s="11" t="s">
        <v>18</v>
      </c>
      <c r="O13" s="10" t="s">
        <v>16</v>
      </c>
      <c r="P13" s="10" t="s">
        <v>17</v>
      </c>
      <c r="Q13" s="10" t="s">
        <v>18</v>
      </c>
      <c r="R13" s="10" t="s">
        <v>16</v>
      </c>
      <c r="S13" s="10" t="s">
        <v>17</v>
      </c>
      <c r="T13" s="11" t="s">
        <v>18</v>
      </c>
      <c r="U13" s="10" t="s">
        <v>16</v>
      </c>
      <c r="V13" s="10" t="s">
        <v>17</v>
      </c>
      <c r="W13" s="11" t="s">
        <v>18</v>
      </c>
      <c r="X13" s="10" t="s">
        <v>16</v>
      </c>
      <c r="Y13" s="10" t="s">
        <v>17</v>
      </c>
      <c r="Z13" s="11" t="s">
        <v>18</v>
      </c>
      <c r="AA13" s="10" t="s">
        <v>16</v>
      </c>
      <c r="AB13" s="10" t="s">
        <v>17</v>
      </c>
      <c r="AC13" s="11" t="s">
        <v>18</v>
      </c>
      <c r="AD13" s="10" t="s">
        <v>16</v>
      </c>
      <c r="AE13" s="10" t="s">
        <v>17</v>
      </c>
      <c r="AF13" s="10" t="s">
        <v>18</v>
      </c>
    </row>
    <row r="14" spans="1:32" s="15" customFormat="1" ht="9" hidden="1" customHeight="1" x14ac:dyDescent="0.2">
      <c r="A14" s="155"/>
      <c r="B14" s="155"/>
      <c r="C14" s="12">
        <v>1</v>
      </c>
      <c r="D14" s="12">
        <v>2</v>
      </c>
      <c r="E14" s="13">
        <v>3</v>
      </c>
      <c r="F14" s="12">
        <v>4</v>
      </c>
      <c r="G14" s="12">
        <v>5</v>
      </c>
      <c r="H14" s="13">
        <v>6</v>
      </c>
      <c r="I14" s="12">
        <v>7</v>
      </c>
      <c r="J14" s="12">
        <v>8</v>
      </c>
      <c r="K14" s="13">
        <v>9</v>
      </c>
      <c r="L14" s="12">
        <v>10</v>
      </c>
      <c r="M14" s="12">
        <v>11</v>
      </c>
      <c r="N14" s="13">
        <v>12</v>
      </c>
      <c r="O14" s="12">
        <v>13</v>
      </c>
      <c r="P14" s="12">
        <v>14</v>
      </c>
      <c r="Q14" s="12">
        <v>15</v>
      </c>
      <c r="R14" s="14">
        <v>16</v>
      </c>
      <c r="S14" s="12">
        <v>17</v>
      </c>
      <c r="T14" s="13">
        <v>18</v>
      </c>
      <c r="U14" s="12">
        <v>19</v>
      </c>
      <c r="V14" s="12">
        <v>20</v>
      </c>
      <c r="W14" s="13">
        <v>21</v>
      </c>
      <c r="X14" s="12">
        <v>22</v>
      </c>
      <c r="Y14" s="12">
        <v>23</v>
      </c>
      <c r="Z14" s="13">
        <v>24</v>
      </c>
      <c r="AA14" s="12">
        <v>25</v>
      </c>
      <c r="AB14" s="12">
        <v>26</v>
      </c>
      <c r="AC14" s="13">
        <v>27</v>
      </c>
      <c r="AD14" s="12">
        <v>28</v>
      </c>
      <c r="AE14" s="12">
        <v>29</v>
      </c>
      <c r="AF14" s="12">
        <v>30</v>
      </c>
    </row>
    <row r="15" spans="1:32" ht="12.6" customHeight="1" x14ac:dyDescent="0.2">
      <c r="A15" s="161">
        <v>39263</v>
      </c>
      <c r="B15" s="16" t="s">
        <v>19</v>
      </c>
      <c r="C15" s="17">
        <v>34111</v>
      </c>
      <c r="D15" s="18">
        <v>6349</v>
      </c>
      <c r="E15" s="18">
        <v>27762</v>
      </c>
      <c r="F15" s="17">
        <v>30652</v>
      </c>
      <c r="G15" s="18">
        <v>5602</v>
      </c>
      <c r="H15" s="18">
        <v>25050</v>
      </c>
      <c r="I15" s="17">
        <v>3373</v>
      </c>
      <c r="J15" s="18">
        <v>721</v>
      </c>
      <c r="K15" s="18">
        <v>2652</v>
      </c>
      <c r="L15" s="17">
        <v>19095</v>
      </c>
      <c r="M15" s="18">
        <v>3465</v>
      </c>
      <c r="N15" s="18">
        <v>15630</v>
      </c>
      <c r="O15" s="17">
        <v>15012</v>
      </c>
      <c r="P15" s="18">
        <v>2881</v>
      </c>
      <c r="Q15" s="19">
        <v>12131</v>
      </c>
      <c r="R15" s="20">
        <v>7.9</v>
      </c>
      <c r="S15" s="20">
        <v>4.7</v>
      </c>
      <c r="T15" s="20">
        <v>9.3000000000000007</v>
      </c>
      <c r="U15" s="21">
        <v>7.4</v>
      </c>
      <c r="V15" s="20">
        <v>4.3</v>
      </c>
      <c r="W15" s="20">
        <v>8.9</v>
      </c>
      <c r="X15" s="21">
        <v>14.9</v>
      </c>
      <c r="Y15" s="20">
        <v>13.7</v>
      </c>
      <c r="Z15" s="20">
        <v>15.3</v>
      </c>
      <c r="AA15" s="21">
        <v>8.5</v>
      </c>
      <c r="AB15" s="20">
        <v>4.7</v>
      </c>
      <c r="AC15" s="20">
        <v>10.3</v>
      </c>
      <c r="AD15" s="21">
        <v>7.2</v>
      </c>
      <c r="AE15" s="20">
        <v>4.7</v>
      </c>
      <c r="AF15" s="22">
        <v>8.1999999999999993</v>
      </c>
    </row>
    <row r="16" spans="1:32" ht="12.6" hidden="1" customHeight="1" x14ac:dyDescent="0.2">
      <c r="A16" s="159"/>
      <c r="B16" s="23" t="s">
        <v>20</v>
      </c>
      <c r="C16" s="24">
        <v>7573</v>
      </c>
      <c r="D16" s="25">
        <v>1344</v>
      </c>
      <c r="E16" s="25">
        <v>6229</v>
      </c>
      <c r="F16" s="24">
        <v>6821</v>
      </c>
      <c r="G16" s="25">
        <v>1190</v>
      </c>
      <c r="H16" s="25">
        <v>5631</v>
      </c>
      <c r="I16" s="24">
        <v>722</v>
      </c>
      <c r="J16" s="25">
        <v>149</v>
      </c>
      <c r="K16" s="25">
        <v>573</v>
      </c>
      <c r="L16" s="24">
        <v>4252</v>
      </c>
      <c r="M16" s="25">
        <v>725</v>
      </c>
      <c r="N16" s="25">
        <v>3527</v>
      </c>
      <c r="O16" s="24">
        <v>3317</v>
      </c>
      <c r="P16" s="25">
        <v>616</v>
      </c>
      <c r="Q16" s="26">
        <v>2701</v>
      </c>
      <c r="R16" s="27">
        <v>9</v>
      </c>
      <c r="S16" s="27">
        <v>5.7</v>
      </c>
      <c r="T16" s="27">
        <v>10.3</v>
      </c>
      <c r="U16" s="28">
        <v>8.6</v>
      </c>
      <c r="V16" s="27">
        <v>5.2</v>
      </c>
      <c r="W16" s="27">
        <v>9.9</v>
      </c>
      <c r="X16" s="28">
        <v>16.2</v>
      </c>
      <c r="Y16" s="27" t="s">
        <v>21</v>
      </c>
      <c r="Z16" s="27">
        <v>16.100000000000001</v>
      </c>
      <c r="AA16" s="28">
        <v>9.8000000000000007</v>
      </c>
      <c r="AB16" s="27">
        <v>5.7</v>
      </c>
      <c r="AC16" s="27">
        <v>11.5</v>
      </c>
      <c r="AD16" s="28">
        <v>8.1999999999999993</v>
      </c>
      <c r="AE16" s="27">
        <v>5.6</v>
      </c>
      <c r="AF16" s="29">
        <v>9.1</v>
      </c>
    </row>
    <row r="17" spans="1:32" ht="12.6" hidden="1" customHeight="1" x14ac:dyDescent="0.2">
      <c r="A17" s="159"/>
      <c r="B17" s="23" t="s">
        <v>22</v>
      </c>
      <c r="C17" s="24">
        <v>9741</v>
      </c>
      <c r="D17" s="25">
        <v>1647</v>
      </c>
      <c r="E17" s="25">
        <v>8094</v>
      </c>
      <c r="F17" s="24">
        <v>8413</v>
      </c>
      <c r="G17" s="25">
        <v>1383</v>
      </c>
      <c r="H17" s="25">
        <v>7030</v>
      </c>
      <c r="I17" s="24">
        <v>1301</v>
      </c>
      <c r="J17" s="25">
        <v>257</v>
      </c>
      <c r="K17" s="25">
        <v>1044</v>
      </c>
      <c r="L17" s="24">
        <v>5515</v>
      </c>
      <c r="M17" s="25">
        <v>910</v>
      </c>
      <c r="N17" s="25">
        <v>4605</v>
      </c>
      <c r="O17" s="24">
        <v>4226</v>
      </c>
      <c r="P17" s="25">
        <v>737</v>
      </c>
      <c r="Q17" s="26">
        <v>3489</v>
      </c>
      <c r="R17" s="27">
        <v>8.6999999999999993</v>
      </c>
      <c r="S17" s="27">
        <v>5.3</v>
      </c>
      <c r="T17" s="27">
        <v>10.1</v>
      </c>
      <c r="U17" s="28">
        <v>8.1999999999999993</v>
      </c>
      <c r="V17" s="27">
        <v>4.7</v>
      </c>
      <c r="W17" s="27">
        <v>9.5</v>
      </c>
      <c r="X17" s="28">
        <v>15.5</v>
      </c>
      <c r="Y17" s="27">
        <v>13.3</v>
      </c>
      <c r="Z17" s="27">
        <v>16.2</v>
      </c>
      <c r="AA17" s="28">
        <v>9.6999999999999993</v>
      </c>
      <c r="AB17" s="27">
        <v>5.4</v>
      </c>
      <c r="AC17" s="27">
        <v>11.5</v>
      </c>
      <c r="AD17" s="28">
        <v>7.7</v>
      </c>
      <c r="AE17" s="27">
        <v>5.0999999999999996</v>
      </c>
      <c r="AF17" s="29">
        <v>8.6999999999999993</v>
      </c>
    </row>
    <row r="18" spans="1:32" ht="12.6" hidden="1" customHeight="1" x14ac:dyDescent="0.2">
      <c r="A18" s="159"/>
      <c r="B18" s="23" t="s">
        <v>23</v>
      </c>
      <c r="C18" s="24">
        <v>7615</v>
      </c>
      <c r="D18" s="25">
        <v>1651</v>
      </c>
      <c r="E18" s="25">
        <v>5964</v>
      </c>
      <c r="F18" s="24">
        <v>6967</v>
      </c>
      <c r="G18" s="25">
        <v>1490</v>
      </c>
      <c r="H18" s="25">
        <v>5477</v>
      </c>
      <c r="I18" s="24">
        <v>638</v>
      </c>
      <c r="J18" s="25">
        <v>158</v>
      </c>
      <c r="K18" s="25">
        <v>480</v>
      </c>
      <c r="L18" s="24">
        <v>4324</v>
      </c>
      <c r="M18" s="25">
        <v>905</v>
      </c>
      <c r="N18" s="25">
        <v>3419</v>
      </c>
      <c r="O18" s="24">
        <v>3291</v>
      </c>
      <c r="P18" s="25">
        <v>746</v>
      </c>
      <c r="Q18" s="26">
        <v>2545</v>
      </c>
      <c r="R18" s="27">
        <v>8.4</v>
      </c>
      <c r="S18" s="27">
        <v>5.3</v>
      </c>
      <c r="T18" s="27">
        <v>10</v>
      </c>
      <c r="U18" s="28">
        <v>8</v>
      </c>
      <c r="V18" s="27">
        <v>5</v>
      </c>
      <c r="W18" s="27">
        <v>9.6</v>
      </c>
      <c r="X18" s="28">
        <v>18.600000000000001</v>
      </c>
      <c r="Y18" s="27" t="s">
        <v>21</v>
      </c>
      <c r="Z18" s="27">
        <v>19.100000000000001</v>
      </c>
      <c r="AA18" s="28">
        <v>9.1</v>
      </c>
      <c r="AB18" s="27">
        <v>5.3</v>
      </c>
      <c r="AC18" s="27">
        <v>11.2</v>
      </c>
      <c r="AD18" s="28">
        <v>7.6</v>
      </c>
      <c r="AE18" s="27">
        <v>5.4</v>
      </c>
      <c r="AF18" s="29">
        <v>8.6999999999999993</v>
      </c>
    </row>
    <row r="19" spans="1:32" ht="12.6" hidden="1" customHeight="1" x14ac:dyDescent="0.2">
      <c r="A19" s="159"/>
      <c r="B19" s="23" t="s">
        <v>24</v>
      </c>
      <c r="C19" s="24">
        <v>9182</v>
      </c>
      <c r="D19" s="25">
        <v>1707</v>
      </c>
      <c r="E19" s="25">
        <v>7475</v>
      </c>
      <c r="F19" s="24">
        <v>8451</v>
      </c>
      <c r="G19" s="25">
        <v>1539</v>
      </c>
      <c r="H19" s="25">
        <v>6912</v>
      </c>
      <c r="I19" s="24">
        <v>712</v>
      </c>
      <c r="J19" s="25">
        <v>157</v>
      </c>
      <c r="K19" s="25">
        <v>555</v>
      </c>
      <c r="L19" s="24">
        <v>5004</v>
      </c>
      <c r="M19" s="25">
        <v>925</v>
      </c>
      <c r="N19" s="25">
        <v>4079</v>
      </c>
      <c r="O19" s="24">
        <v>4178</v>
      </c>
      <c r="P19" s="25">
        <v>782</v>
      </c>
      <c r="Q19" s="26">
        <v>3396</v>
      </c>
      <c r="R19" s="27">
        <v>6.2</v>
      </c>
      <c r="S19" s="27">
        <v>3.5</v>
      </c>
      <c r="T19" s="27">
        <v>7.5</v>
      </c>
      <c r="U19" s="28">
        <v>6</v>
      </c>
      <c r="V19" s="27">
        <v>3.3</v>
      </c>
      <c r="W19" s="27">
        <v>7.3</v>
      </c>
      <c r="X19" s="28">
        <v>11.3</v>
      </c>
      <c r="Y19" s="27">
        <v>10.5</v>
      </c>
      <c r="Z19" s="27">
        <v>11.5</v>
      </c>
      <c r="AA19" s="28">
        <v>6.4</v>
      </c>
      <c r="AB19" s="27">
        <v>3.4</v>
      </c>
      <c r="AC19" s="27">
        <v>8</v>
      </c>
      <c r="AD19" s="28">
        <v>5.9</v>
      </c>
      <c r="AE19" s="27">
        <v>3.6</v>
      </c>
      <c r="AF19" s="29">
        <v>7</v>
      </c>
    </row>
    <row r="20" spans="1:32" ht="12.6" customHeight="1" x14ac:dyDescent="0.2">
      <c r="A20" s="158">
        <v>39629</v>
      </c>
      <c r="B20" s="30" t="s">
        <v>19</v>
      </c>
      <c r="C20" s="17">
        <v>27501</v>
      </c>
      <c r="D20" s="18">
        <v>4815</v>
      </c>
      <c r="E20" s="18">
        <v>22686</v>
      </c>
      <c r="F20" s="17">
        <v>24548</v>
      </c>
      <c r="G20" s="18">
        <v>4169</v>
      </c>
      <c r="H20" s="18">
        <v>20379</v>
      </c>
      <c r="I20" s="17">
        <v>2866</v>
      </c>
      <c r="J20" s="18">
        <v>610</v>
      </c>
      <c r="K20" s="18">
        <v>2256</v>
      </c>
      <c r="L20" s="17">
        <v>15335</v>
      </c>
      <c r="M20" s="18">
        <v>2560</v>
      </c>
      <c r="N20" s="18">
        <v>12775</v>
      </c>
      <c r="O20" s="17">
        <v>12166</v>
      </c>
      <c r="P20" s="18">
        <v>2255</v>
      </c>
      <c r="Q20" s="19">
        <v>9911</v>
      </c>
      <c r="R20" s="20">
        <v>6.3</v>
      </c>
      <c r="S20" s="20">
        <v>3.5</v>
      </c>
      <c r="T20" s="20">
        <v>7.5</v>
      </c>
      <c r="U20" s="21">
        <v>5.9</v>
      </c>
      <c r="V20" s="20">
        <v>3.2</v>
      </c>
      <c r="W20" s="20">
        <v>7.2</v>
      </c>
      <c r="X20" s="21">
        <v>13.1</v>
      </c>
      <c r="Y20" s="20">
        <v>11.3</v>
      </c>
      <c r="Z20" s="20">
        <v>13.8</v>
      </c>
      <c r="AA20" s="21">
        <v>6.7</v>
      </c>
      <c r="AB20" s="20">
        <v>3.5</v>
      </c>
      <c r="AC20" s="20">
        <v>8.3000000000000007</v>
      </c>
      <c r="AD20" s="21">
        <v>5.8</v>
      </c>
      <c r="AE20" s="20">
        <v>3.6</v>
      </c>
      <c r="AF20" s="22">
        <v>6.7</v>
      </c>
    </row>
    <row r="21" spans="1:32" ht="12.6" hidden="1" customHeight="1" x14ac:dyDescent="0.2">
      <c r="A21" s="159"/>
      <c r="B21" s="23" t="s">
        <v>20</v>
      </c>
      <c r="C21" s="24">
        <v>5735</v>
      </c>
      <c r="D21" s="25">
        <v>958</v>
      </c>
      <c r="E21" s="25">
        <v>4777</v>
      </c>
      <c r="F21" s="24">
        <v>5191</v>
      </c>
      <c r="G21" s="25">
        <v>838</v>
      </c>
      <c r="H21" s="25">
        <v>4353</v>
      </c>
      <c r="I21" s="24">
        <v>532</v>
      </c>
      <c r="J21" s="25">
        <v>118</v>
      </c>
      <c r="K21" s="25">
        <v>414</v>
      </c>
      <c r="L21" s="24">
        <v>3167</v>
      </c>
      <c r="M21" s="25">
        <v>510</v>
      </c>
      <c r="N21" s="25">
        <v>2657</v>
      </c>
      <c r="O21" s="24">
        <v>2568</v>
      </c>
      <c r="P21" s="25">
        <v>448</v>
      </c>
      <c r="Q21" s="26">
        <v>2120</v>
      </c>
      <c r="R21" s="27">
        <v>6.9</v>
      </c>
      <c r="S21" s="27">
        <v>4.0999999999999996</v>
      </c>
      <c r="T21" s="27">
        <v>8</v>
      </c>
      <c r="U21" s="28">
        <v>6.6</v>
      </c>
      <c r="V21" s="27">
        <v>3.7</v>
      </c>
      <c r="W21" s="27">
        <v>7.7</v>
      </c>
      <c r="X21" s="28">
        <v>12.5</v>
      </c>
      <c r="Y21" s="27" t="s">
        <v>21</v>
      </c>
      <c r="Z21" s="27">
        <v>12.5</v>
      </c>
      <c r="AA21" s="28">
        <v>7.3</v>
      </c>
      <c r="AB21" s="27">
        <v>4</v>
      </c>
      <c r="AC21" s="27">
        <v>8.6999999999999993</v>
      </c>
      <c r="AD21" s="28">
        <v>6.4</v>
      </c>
      <c r="AE21" s="27">
        <v>4.0999999999999996</v>
      </c>
      <c r="AF21" s="29">
        <v>7.2</v>
      </c>
    </row>
    <row r="22" spans="1:32" ht="12.6" hidden="1" customHeight="1" x14ac:dyDescent="0.2">
      <c r="A22" s="159"/>
      <c r="B22" s="23" t="s">
        <v>22</v>
      </c>
      <c r="C22" s="24">
        <v>8753</v>
      </c>
      <c r="D22" s="25">
        <v>1486</v>
      </c>
      <c r="E22" s="25">
        <v>7267</v>
      </c>
      <c r="F22" s="24">
        <v>7448</v>
      </c>
      <c r="G22" s="25">
        <v>1209</v>
      </c>
      <c r="H22" s="25">
        <v>6239</v>
      </c>
      <c r="I22" s="24">
        <v>1248</v>
      </c>
      <c r="J22" s="25">
        <v>251</v>
      </c>
      <c r="K22" s="25">
        <v>997</v>
      </c>
      <c r="L22" s="24">
        <v>4985</v>
      </c>
      <c r="M22" s="25">
        <v>805</v>
      </c>
      <c r="N22" s="25">
        <v>4180</v>
      </c>
      <c r="O22" s="24">
        <v>3768</v>
      </c>
      <c r="P22" s="25">
        <v>681</v>
      </c>
      <c r="Q22" s="26">
        <v>3087</v>
      </c>
      <c r="R22" s="27">
        <v>7.9</v>
      </c>
      <c r="S22" s="27">
        <v>4.8</v>
      </c>
      <c r="T22" s="27">
        <v>9.1999999999999993</v>
      </c>
      <c r="U22" s="28">
        <v>7.3</v>
      </c>
      <c r="V22" s="27">
        <v>4.2</v>
      </c>
      <c r="W22" s="27">
        <v>8.5</v>
      </c>
      <c r="X22" s="28">
        <v>15.6</v>
      </c>
      <c r="Y22" s="27">
        <v>13</v>
      </c>
      <c r="Z22" s="27">
        <v>16.399999999999999</v>
      </c>
      <c r="AA22" s="28">
        <v>8.8000000000000007</v>
      </c>
      <c r="AB22" s="27">
        <v>4.8</v>
      </c>
      <c r="AC22" s="27">
        <v>10.5</v>
      </c>
      <c r="AD22" s="28">
        <v>7</v>
      </c>
      <c r="AE22" s="27">
        <v>4.8</v>
      </c>
      <c r="AF22" s="29">
        <v>7.8</v>
      </c>
    </row>
    <row r="23" spans="1:32" ht="12.6" hidden="1" customHeight="1" x14ac:dyDescent="0.2">
      <c r="A23" s="159"/>
      <c r="B23" s="23" t="s">
        <v>23</v>
      </c>
      <c r="C23" s="24">
        <v>5687</v>
      </c>
      <c r="D23" s="25">
        <v>1053</v>
      </c>
      <c r="E23" s="25">
        <v>4634</v>
      </c>
      <c r="F23" s="24">
        <v>5225</v>
      </c>
      <c r="G23" s="25">
        <v>951</v>
      </c>
      <c r="H23" s="25">
        <v>4274</v>
      </c>
      <c r="I23" s="24">
        <v>458</v>
      </c>
      <c r="J23" s="25">
        <v>100</v>
      </c>
      <c r="K23" s="25">
        <v>358</v>
      </c>
      <c r="L23" s="24">
        <v>3277</v>
      </c>
      <c r="M23" s="25">
        <v>558</v>
      </c>
      <c r="N23" s="25">
        <v>2719</v>
      </c>
      <c r="O23" s="24">
        <v>2410</v>
      </c>
      <c r="P23" s="25">
        <v>495</v>
      </c>
      <c r="Q23" s="26">
        <v>1915</v>
      </c>
      <c r="R23" s="27">
        <v>6.2</v>
      </c>
      <c r="S23" s="27">
        <v>3.4</v>
      </c>
      <c r="T23" s="27">
        <v>7.7</v>
      </c>
      <c r="U23" s="28">
        <v>6</v>
      </c>
      <c r="V23" s="27">
        <v>3.2</v>
      </c>
      <c r="W23" s="27">
        <v>7.4</v>
      </c>
      <c r="X23" s="28">
        <v>13.2</v>
      </c>
      <c r="Y23" s="27" t="s">
        <v>21</v>
      </c>
      <c r="Z23" s="27">
        <v>14.2</v>
      </c>
      <c r="AA23" s="28">
        <v>6.8</v>
      </c>
      <c r="AB23" s="27">
        <v>3.3</v>
      </c>
      <c r="AC23" s="27">
        <v>8.8000000000000007</v>
      </c>
      <c r="AD23" s="28">
        <v>5.6</v>
      </c>
      <c r="AE23" s="27">
        <v>3.6</v>
      </c>
      <c r="AF23" s="29">
        <v>6.5</v>
      </c>
    </row>
    <row r="24" spans="1:32" ht="12.6" hidden="1" customHeight="1" x14ac:dyDescent="0.2">
      <c r="A24" s="159"/>
      <c r="B24" s="23" t="s">
        <v>24</v>
      </c>
      <c r="C24" s="24">
        <v>7326</v>
      </c>
      <c r="D24" s="25">
        <v>1318</v>
      </c>
      <c r="E24" s="25">
        <v>6008</v>
      </c>
      <c r="F24" s="24">
        <v>6684</v>
      </c>
      <c r="G24" s="25">
        <v>1171</v>
      </c>
      <c r="H24" s="25">
        <v>5513</v>
      </c>
      <c r="I24" s="24">
        <v>628</v>
      </c>
      <c r="J24" s="25">
        <v>141</v>
      </c>
      <c r="K24" s="25">
        <v>487</v>
      </c>
      <c r="L24" s="24">
        <v>3906</v>
      </c>
      <c r="M24" s="25">
        <v>687</v>
      </c>
      <c r="N24" s="25">
        <v>3219</v>
      </c>
      <c r="O24" s="24">
        <v>3420</v>
      </c>
      <c r="P24" s="25">
        <v>631</v>
      </c>
      <c r="Q24" s="26">
        <v>2789</v>
      </c>
      <c r="R24" s="27">
        <v>4.8</v>
      </c>
      <c r="S24" s="27">
        <v>2.6</v>
      </c>
      <c r="T24" s="27">
        <v>5.9</v>
      </c>
      <c r="U24" s="28">
        <v>4.5999999999999996</v>
      </c>
      <c r="V24" s="27">
        <v>2.4</v>
      </c>
      <c r="W24" s="27">
        <v>5.7</v>
      </c>
      <c r="X24" s="28">
        <v>10.3</v>
      </c>
      <c r="Y24" s="27">
        <v>8.9</v>
      </c>
      <c r="Z24" s="27">
        <v>10.8</v>
      </c>
      <c r="AA24" s="28">
        <v>4.9000000000000004</v>
      </c>
      <c r="AB24" s="27">
        <v>2.5</v>
      </c>
      <c r="AC24" s="27">
        <v>6.2</v>
      </c>
      <c r="AD24" s="28">
        <v>4.8</v>
      </c>
      <c r="AE24" s="27">
        <v>2.8</v>
      </c>
      <c r="AF24" s="29">
        <v>5.7</v>
      </c>
    </row>
    <row r="25" spans="1:32" ht="12.6" customHeight="1" x14ac:dyDescent="0.2">
      <c r="A25" s="158">
        <v>39994</v>
      </c>
      <c r="B25" s="30" t="s">
        <v>19</v>
      </c>
      <c r="C25" s="17">
        <v>32478</v>
      </c>
      <c r="D25" s="18">
        <v>5025</v>
      </c>
      <c r="E25" s="18">
        <v>27453</v>
      </c>
      <c r="F25" s="17">
        <v>29472</v>
      </c>
      <c r="G25" s="18">
        <v>4432</v>
      </c>
      <c r="H25" s="18">
        <v>25040</v>
      </c>
      <c r="I25" s="17">
        <v>2910</v>
      </c>
      <c r="J25" s="18">
        <v>557</v>
      </c>
      <c r="K25" s="18">
        <v>2353</v>
      </c>
      <c r="L25" s="17">
        <v>19676</v>
      </c>
      <c r="M25" s="18">
        <v>2714</v>
      </c>
      <c r="N25" s="18">
        <v>16962</v>
      </c>
      <c r="O25" s="17">
        <v>12802</v>
      </c>
      <c r="P25" s="18">
        <v>2311</v>
      </c>
      <c r="Q25" s="19">
        <v>10491</v>
      </c>
      <c r="R25" s="20">
        <v>7.4</v>
      </c>
      <c r="S25" s="20">
        <v>3.7</v>
      </c>
      <c r="T25" s="20">
        <v>9</v>
      </c>
      <c r="U25" s="21">
        <v>7</v>
      </c>
      <c r="V25" s="20">
        <v>3.4</v>
      </c>
      <c r="W25" s="20">
        <v>8.6</v>
      </c>
      <c r="X25" s="21">
        <v>13.6</v>
      </c>
      <c r="Y25" s="20">
        <v>10</v>
      </c>
      <c r="Z25" s="20">
        <v>14.8</v>
      </c>
      <c r="AA25" s="21">
        <v>8.5</v>
      </c>
      <c r="AB25" s="20">
        <v>3.7</v>
      </c>
      <c r="AC25" s="20">
        <v>10.7</v>
      </c>
      <c r="AD25" s="21">
        <v>6.1</v>
      </c>
      <c r="AE25" s="20">
        <v>3.7</v>
      </c>
      <c r="AF25" s="22">
        <v>7.1</v>
      </c>
    </row>
    <row r="26" spans="1:32" ht="12.6" hidden="1" customHeight="1" x14ac:dyDescent="0.2">
      <c r="A26" s="159"/>
      <c r="B26" s="23" t="s">
        <v>20</v>
      </c>
      <c r="C26" s="24">
        <v>6830</v>
      </c>
      <c r="D26" s="25">
        <v>1037</v>
      </c>
      <c r="E26" s="25">
        <v>5793</v>
      </c>
      <c r="F26" s="24">
        <v>6222</v>
      </c>
      <c r="G26" s="25">
        <v>923</v>
      </c>
      <c r="H26" s="25">
        <v>5299</v>
      </c>
      <c r="I26" s="24">
        <v>581</v>
      </c>
      <c r="J26" s="25">
        <v>110</v>
      </c>
      <c r="K26" s="25">
        <v>471</v>
      </c>
      <c r="L26" s="24">
        <v>4158</v>
      </c>
      <c r="M26" s="25">
        <v>550</v>
      </c>
      <c r="N26" s="25">
        <v>3608</v>
      </c>
      <c r="O26" s="24">
        <v>2672</v>
      </c>
      <c r="P26" s="25">
        <v>487</v>
      </c>
      <c r="Q26" s="26">
        <v>2185</v>
      </c>
      <c r="R26" s="27">
        <v>8.1</v>
      </c>
      <c r="S26" s="27">
        <v>4.5</v>
      </c>
      <c r="T26" s="27">
        <v>9.5</v>
      </c>
      <c r="U26" s="28">
        <v>7.8</v>
      </c>
      <c r="V26" s="27">
        <v>4.2</v>
      </c>
      <c r="W26" s="27">
        <v>9.1999999999999993</v>
      </c>
      <c r="X26" s="28">
        <v>13.8</v>
      </c>
      <c r="Y26" s="27" t="s">
        <v>21</v>
      </c>
      <c r="Z26" s="27">
        <v>14.7</v>
      </c>
      <c r="AA26" s="28">
        <v>9.5</v>
      </c>
      <c r="AB26" s="27">
        <v>4.5</v>
      </c>
      <c r="AC26" s="27">
        <v>11.4</v>
      </c>
      <c r="AD26" s="28">
        <v>6.7</v>
      </c>
      <c r="AE26" s="27">
        <v>4.5999999999999996</v>
      </c>
      <c r="AF26" s="29">
        <v>7.4</v>
      </c>
    </row>
    <row r="27" spans="1:32" ht="12.6" hidden="1" customHeight="1" x14ac:dyDescent="0.2">
      <c r="A27" s="159"/>
      <c r="B27" s="23" t="s">
        <v>22</v>
      </c>
      <c r="C27" s="24">
        <v>9864</v>
      </c>
      <c r="D27" s="25">
        <v>1485</v>
      </c>
      <c r="E27" s="25">
        <v>8379</v>
      </c>
      <c r="F27" s="24">
        <v>8594</v>
      </c>
      <c r="G27" s="25">
        <v>1257</v>
      </c>
      <c r="H27" s="25">
        <v>7337</v>
      </c>
      <c r="I27" s="24">
        <v>1221</v>
      </c>
      <c r="J27" s="25">
        <v>206</v>
      </c>
      <c r="K27" s="25">
        <v>1015</v>
      </c>
      <c r="L27" s="24">
        <v>6081</v>
      </c>
      <c r="M27" s="25">
        <v>816</v>
      </c>
      <c r="N27" s="25">
        <v>5265</v>
      </c>
      <c r="O27" s="24">
        <v>3783</v>
      </c>
      <c r="P27" s="25">
        <v>669</v>
      </c>
      <c r="Q27" s="26">
        <v>3114</v>
      </c>
      <c r="R27" s="27">
        <v>8.9</v>
      </c>
      <c r="S27" s="27">
        <v>4.8</v>
      </c>
      <c r="T27" s="27">
        <v>10.4</v>
      </c>
      <c r="U27" s="28">
        <v>8.3000000000000007</v>
      </c>
      <c r="V27" s="27">
        <v>4.3</v>
      </c>
      <c r="W27" s="27">
        <v>9.9</v>
      </c>
      <c r="X27" s="28">
        <v>15.3</v>
      </c>
      <c r="Y27" s="27">
        <v>10.4</v>
      </c>
      <c r="Z27" s="27">
        <v>16.899999999999999</v>
      </c>
      <c r="AA27" s="28">
        <v>10.6</v>
      </c>
      <c r="AB27" s="27">
        <v>4.9000000000000004</v>
      </c>
      <c r="AC27" s="27">
        <v>12.9</v>
      </c>
      <c r="AD27" s="28">
        <v>7</v>
      </c>
      <c r="AE27" s="27">
        <v>4.7</v>
      </c>
      <c r="AF27" s="29">
        <v>7.9</v>
      </c>
    </row>
    <row r="28" spans="1:32" ht="12.6" hidden="1" customHeight="1" x14ac:dyDescent="0.2">
      <c r="A28" s="159"/>
      <c r="B28" s="23" t="s">
        <v>23</v>
      </c>
      <c r="C28" s="24">
        <v>6365</v>
      </c>
      <c r="D28" s="25">
        <v>1032</v>
      </c>
      <c r="E28" s="25">
        <v>5333</v>
      </c>
      <c r="F28" s="24">
        <v>5917</v>
      </c>
      <c r="G28" s="25">
        <v>935</v>
      </c>
      <c r="H28" s="25">
        <v>4982</v>
      </c>
      <c r="I28" s="24">
        <v>440</v>
      </c>
      <c r="J28" s="25">
        <v>92</v>
      </c>
      <c r="K28" s="25">
        <v>348</v>
      </c>
      <c r="L28" s="24">
        <v>3860</v>
      </c>
      <c r="M28" s="25">
        <v>568</v>
      </c>
      <c r="N28" s="25">
        <v>3292</v>
      </c>
      <c r="O28" s="24">
        <v>2505</v>
      </c>
      <c r="P28" s="25">
        <v>464</v>
      </c>
      <c r="Q28" s="26">
        <v>2041</v>
      </c>
      <c r="R28" s="27">
        <v>6.9</v>
      </c>
      <c r="S28" s="27">
        <v>3.4</v>
      </c>
      <c r="T28" s="27">
        <v>8.6999999999999993</v>
      </c>
      <c r="U28" s="28">
        <v>6.7</v>
      </c>
      <c r="V28" s="27">
        <v>3.2</v>
      </c>
      <c r="W28" s="27">
        <v>8.5</v>
      </c>
      <c r="X28" s="28">
        <v>12.9</v>
      </c>
      <c r="Y28" s="27" t="s">
        <v>21</v>
      </c>
      <c r="Z28" s="27">
        <v>14.4</v>
      </c>
      <c r="AA28" s="28">
        <v>8</v>
      </c>
      <c r="AB28" s="27">
        <v>3.4</v>
      </c>
      <c r="AC28" s="27">
        <v>10.4</v>
      </c>
      <c r="AD28" s="28">
        <v>5.8</v>
      </c>
      <c r="AE28" s="27">
        <v>3.4</v>
      </c>
      <c r="AF28" s="29">
        <v>6.9</v>
      </c>
    </row>
    <row r="29" spans="1:32" ht="12.6" hidden="1" customHeight="1" x14ac:dyDescent="0.2">
      <c r="A29" s="159"/>
      <c r="B29" s="23" t="s">
        <v>24</v>
      </c>
      <c r="C29" s="24">
        <v>9419</v>
      </c>
      <c r="D29" s="25">
        <v>1471</v>
      </c>
      <c r="E29" s="25">
        <v>7948</v>
      </c>
      <c r="F29" s="24">
        <v>8739</v>
      </c>
      <c r="G29" s="25">
        <v>1317</v>
      </c>
      <c r="H29" s="25">
        <v>7422</v>
      </c>
      <c r="I29" s="24">
        <v>668</v>
      </c>
      <c r="J29" s="25">
        <v>149</v>
      </c>
      <c r="K29" s="25">
        <v>519</v>
      </c>
      <c r="L29" s="24">
        <v>5577</v>
      </c>
      <c r="M29" s="25">
        <v>780</v>
      </c>
      <c r="N29" s="25">
        <v>4797</v>
      </c>
      <c r="O29" s="24">
        <v>3842</v>
      </c>
      <c r="P29" s="25">
        <v>691</v>
      </c>
      <c r="Q29" s="26">
        <v>3151</v>
      </c>
      <c r="R29" s="27">
        <v>6.1</v>
      </c>
      <c r="S29" s="27">
        <v>2.9</v>
      </c>
      <c r="T29" s="27">
        <v>7.7</v>
      </c>
      <c r="U29" s="28">
        <v>5.9</v>
      </c>
      <c r="V29" s="27">
        <v>2.7</v>
      </c>
      <c r="W29" s="27">
        <v>7.5</v>
      </c>
      <c r="X29" s="28">
        <v>11.4</v>
      </c>
      <c r="Y29" s="27">
        <v>9.3000000000000007</v>
      </c>
      <c r="Z29" s="27">
        <v>12.3</v>
      </c>
      <c r="AA29" s="28">
        <v>6.9</v>
      </c>
      <c r="AB29" s="27">
        <v>2.9</v>
      </c>
      <c r="AC29" s="27">
        <v>8.9</v>
      </c>
      <c r="AD29" s="28">
        <v>5.3</v>
      </c>
      <c r="AE29" s="27">
        <v>3</v>
      </c>
      <c r="AF29" s="29">
        <v>6.3</v>
      </c>
    </row>
    <row r="30" spans="1:32" ht="12.6" customHeight="1" x14ac:dyDescent="0.2">
      <c r="A30" s="158">
        <v>40359</v>
      </c>
      <c r="B30" s="30" t="s">
        <v>19</v>
      </c>
      <c r="C30" s="17">
        <v>29456</v>
      </c>
      <c r="D30" s="18">
        <v>4834</v>
      </c>
      <c r="E30" s="18">
        <v>24622</v>
      </c>
      <c r="F30" s="17">
        <v>26689</v>
      </c>
      <c r="G30" s="18">
        <v>4228</v>
      </c>
      <c r="H30" s="18">
        <v>22461</v>
      </c>
      <c r="I30" s="17">
        <v>2681</v>
      </c>
      <c r="J30" s="18">
        <v>572</v>
      </c>
      <c r="K30" s="18">
        <v>2109</v>
      </c>
      <c r="L30" s="17">
        <v>17057</v>
      </c>
      <c r="M30" s="18">
        <v>2590</v>
      </c>
      <c r="N30" s="18">
        <v>14467</v>
      </c>
      <c r="O30" s="17">
        <v>12399</v>
      </c>
      <c r="P30" s="18">
        <v>2244</v>
      </c>
      <c r="Q30" s="19">
        <v>10155</v>
      </c>
      <c r="R30" s="20">
        <v>6.6</v>
      </c>
      <c r="S30" s="20">
        <v>3.5</v>
      </c>
      <c r="T30" s="20">
        <v>8</v>
      </c>
      <c r="U30" s="21">
        <v>6.3</v>
      </c>
      <c r="V30" s="20">
        <v>3.2</v>
      </c>
      <c r="W30" s="20">
        <v>7.7</v>
      </c>
      <c r="X30" s="21">
        <v>12.6</v>
      </c>
      <c r="Y30" s="20">
        <v>9.9</v>
      </c>
      <c r="Z30" s="20">
        <v>13.5</v>
      </c>
      <c r="AA30" s="21">
        <v>7.4</v>
      </c>
      <c r="AB30" s="20">
        <v>3.5</v>
      </c>
      <c r="AC30" s="20">
        <v>9.1999999999999993</v>
      </c>
      <c r="AD30" s="21">
        <v>5.9</v>
      </c>
      <c r="AE30" s="20">
        <v>3.5</v>
      </c>
      <c r="AF30" s="22">
        <v>6.9</v>
      </c>
    </row>
    <row r="31" spans="1:32" ht="12.6" hidden="1" customHeight="1" x14ac:dyDescent="0.2">
      <c r="A31" s="159"/>
      <c r="B31" s="23" t="s">
        <v>20</v>
      </c>
      <c r="C31" s="24">
        <v>6190</v>
      </c>
      <c r="D31" s="25">
        <v>982</v>
      </c>
      <c r="E31" s="25">
        <v>5208</v>
      </c>
      <c r="F31" s="24">
        <v>5658</v>
      </c>
      <c r="G31" s="25">
        <v>865</v>
      </c>
      <c r="H31" s="25">
        <v>4793</v>
      </c>
      <c r="I31" s="24">
        <v>514</v>
      </c>
      <c r="J31" s="25">
        <v>111</v>
      </c>
      <c r="K31" s="25">
        <v>403</v>
      </c>
      <c r="L31" s="24">
        <v>3602</v>
      </c>
      <c r="M31" s="25">
        <v>536</v>
      </c>
      <c r="N31" s="25">
        <v>3066</v>
      </c>
      <c r="O31" s="24">
        <v>2588</v>
      </c>
      <c r="P31" s="25">
        <v>446</v>
      </c>
      <c r="Q31" s="26">
        <v>2142</v>
      </c>
      <c r="R31" s="27">
        <v>7.4</v>
      </c>
      <c r="S31" s="27">
        <v>4.2</v>
      </c>
      <c r="T31" s="27">
        <v>8.6</v>
      </c>
      <c r="U31" s="28">
        <v>7.1</v>
      </c>
      <c r="V31" s="27">
        <v>3.9</v>
      </c>
      <c r="W31" s="27">
        <v>8.4</v>
      </c>
      <c r="X31" s="28">
        <v>12.4</v>
      </c>
      <c r="Y31" s="27">
        <v>10.8</v>
      </c>
      <c r="Z31" s="27">
        <v>12.9</v>
      </c>
      <c r="AA31" s="28">
        <v>8.1999999999999993</v>
      </c>
      <c r="AB31" s="27">
        <v>4.3</v>
      </c>
      <c r="AC31" s="27">
        <v>9.8000000000000007</v>
      </c>
      <c r="AD31" s="28">
        <v>6.5</v>
      </c>
      <c r="AE31" s="27">
        <v>4.2</v>
      </c>
      <c r="AF31" s="29">
        <v>7.4</v>
      </c>
    </row>
    <row r="32" spans="1:32" ht="12.6" hidden="1" customHeight="1" x14ac:dyDescent="0.2">
      <c r="A32" s="159"/>
      <c r="B32" s="23" t="s">
        <v>22</v>
      </c>
      <c r="C32" s="24">
        <v>9090</v>
      </c>
      <c r="D32" s="25">
        <v>1489</v>
      </c>
      <c r="E32" s="25">
        <v>7601</v>
      </c>
      <c r="F32" s="24">
        <v>7877</v>
      </c>
      <c r="G32" s="25">
        <v>1209</v>
      </c>
      <c r="H32" s="25">
        <v>6668</v>
      </c>
      <c r="I32" s="24">
        <v>1161</v>
      </c>
      <c r="J32" s="25">
        <v>255</v>
      </c>
      <c r="K32" s="25">
        <v>906</v>
      </c>
      <c r="L32" s="24">
        <v>5316</v>
      </c>
      <c r="M32" s="25">
        <v>793</v>
      </c>
      <c r="N32" s="25">
        <v>4523</v>
      </c>
      <c r="O32" s="24">
        <v>3774</v>
      </c>
      <c r="P32" s="25">
        <v>696</v>
      </c>
      <c r="Q32" s="26">
        <v>3078</v>
      </c>
      <c r="R32" s="27">
        <v>8.1999999999999993</v>
      </c>
      <c r="S32" s="27">
        <v>4.8</v>
      </c>
      <c r="T32" s="27">
        <v>9.5</v>
      </c>
      <c r="U32" s="28">
        <v>7.7</v>
      </c>
      <c r="V32" s="27">
        <v>4.2</v>
      </c>
      <c r="W32" s="27">
        <v>9</v>
      </c>
      <c r="X32" s="28">
        <v>14.9</v>
      </c>
      <c r="Y32" s="27">
        <v>12.2</v>
      </c>
      <c r="Z32" s="27">
        <v>15.8</v>
      </c>
      <c r="AA32" s="28">
        <v>9.3000000000000007</v>
      </c>
      <c r="AB32" s="27">
        <v>4.8</v>
      </c>
      <c r="AC32" s="27">
        <v>11.2</v>
      </c>
      <c r="AD32" s="28">
        <v>7</v>
      </c>
      <c r="AE32" s="27">
        <v>4.7</v>
      </c>
      <c r="AF32" s="29">
        <v>7.8</v>
      </c>
    </row>
    <row r="33" spans="1:32" ht="12.6" hidden="1" customHeight="1" x14ac:dyDescent="0.2">
      <c r="A33" s="159"/>
      <c r="B33" s="23" t="s">
        <v>23</v>
      </c>
      <c r="C33" s="24">
        <v>5920</v>
      </c>
      <c r="D33" s="25">
        <v>964</v>
      </c>
      <c r="E33" s="25">
        <v>4956</v>
      </c>
      <c r="F33" s="24">
        <v>5470</v>
      </c>
      <c r="G33" s="25">
        <v>872</v>
      </c>
      <c r="H33" s="25">
        <v>4598</v>
      </c>
      <c r="I33" s="24">
        <v>445</v>
      </c>
      <c r="J33" s="25">
        <v>92</v>
      </c>
      <c r="K33" s="25">
        <v>353</v>
      </c>
      <c r="L33" s="24">
        <v>3500</v>
      </c>
      <c r="M33" s="25">
        <v>537</v>
      </c>
      <c r="N33" s="25">
        <v>2963</v>
      </c>
      <c r="O33" s="24">
        <v>2420</v>
      </c>
      <c r="P33" s="25">
        <v>427</v>
      </c>
      <c r="Q33" s="26">
        <v>1993</v>
      </c>
      <c r="R33" s="27">
        <v>6.4</v>
      </c>
      <c r="S33" s="27">
        <v>3.1</v>
      </c>
      <c r="T33" s="27">
        <v>8.1</v>
      </c>
      <c r="U33" s="28">
        <v>6.1</v>
      </c>
      <c r="V33" s="27">
        <v>2.9</v>
      </c>
      <c r="W33" s="27">
        <v>7.8</v>
      </c>
      <c r="X33" s="28">
        <v>13.4</v>
      </c>
      <c r="Y33" s="27" t="s">
        <v>21</v>
      </c>
      <c r="Z33" s="27">
        <v>14.7</v>
      </c>
      <c r="AA33" s="28">
        <v>7.2</v>
      </c>
      <c r="AB33" s="27">
        <v>3.2</v>
      </c>
      <c r="AC33" s="27">
        <v>9.3000000000000007</v>
      </c>
      <c r="AD33" s="28">
        <v>5.5</v>
      </c>
      <c r="AE33" s="27">
        <v>3</v>
      </c>
      <c r="AF33" s="29">
        <v>6.7</v>
      </c>
    </row>
    <row r="34" spans="1:32" ht="12.6" hidden="1" customHeight="1" x14ac:dyDescent="0.2">
      <c r="A34" s="159"/>
      <c r="B34" s="23" t="s">
        <v>24</v>
      </c>
      <c r="C34" s="24">
        <v>8256</v>
      </c>
      <c r="D34" s="25">
        <v>1399</v>
      </c>
      <c r="E34" s="25">
        <v>6857</v>
      </c>
      <c r="F34" s="24">
        <v>7684</v>
      </c>
      <c r="G34" s="25">
        <v>1282</v>
      </c>
      <c r="H34" s="25">
        <v>6402</v>
      </c>
      <c r="I34" s="24">
        <v>561</v>
      </c>
      <c r="J34" s="25">
        <v>114</v>
      </c>
      <c r="K34" s="25">
        <v>447</v>
      </c>
      <c r="L34" s="24">
        <v>4639</v>
      </c>
      <c r="M34" s="25">
        <v>724</v>
      </c>
      <c r="N34" s="25">
        <v>3915</v>
      </c>
      <c r="O34" s="24">
        <v>3617</v>
      </c>
      <c r="P34" s="25">
        <v>675</v>
      </c>
      <c r="Q34" s="26">
        <v>2942</v>
      </c>
      <c r="R34" s="27">
        <v>5.3</v>
      </c>
      <c r="S34" s="27">
        <v>2.7</v>
      </c>
      <c r="T34" s="27">
        <v>6.6</v>
      </c>
      <c r="U34" s="28">
        <v>5.0999999999999996</v>
      </c>
      <c r="V34" s="27">
        <v>2.6</v>
      </c>
      <c r="W34" s="27">
        <v>6.4</v>
      </c>
      <c r="X34" s="28">
        <v>9.3000000000000007</v>
      </c>
      <c r="Y34" s="27">
        <v>6.7</v>
      </c>
      <c r="Z34" s="27">
        <v>10.3</v>
      </c>
      <c r="AA34" s="28">
        <v>5.7</v>
      </c>
      <c r="AB34" s="27">
        <v>2.6</v>
      </c>
      <c r="AC34" s="27">
        <v>7.2</v>
      </c>
      <c r="AD34" s="28">
        <v>4.9000000000000004</v>
      </c>
      <c r="AE34" s="27">
        <v>2.8</v>
      </c>
      <c r="AF34" s="29">
        <v>5.9</v>
      </c>
    </row>
    <row r="35" spans="1:32" ht="12.6" customHeight="1" x14ac:dyDescent="0.2">
      <c r="A35" s="158">
        <v>40724</v>
      </c>
      <c r="B35" s="30" t="s">
        <v>19</v>
      </c>
      <c r="C35" s="17">
        <v>24220</v>
      </c>
      <c r="D35" s="18">
        <v>3968</v>
      </c>
      <c r="E35" s="18">
        <v>20252</v>
      </c>
      <c r="F35" s="17">
        <v>21595</v>
      </c>
      <c r="G35" s="18">
        <v>3438</v>
      </c>
      <c r="H35" s="18">
        <v>18157</v>
      </c>
      <c r="I35" s="17">
        <v>2561</v>
      </c>
      <c r="J35" s="18">
        <v>504</v>
      </c>
      <c r="K35" s="18">
        <v>2057</v>
      </c>
      <c r="L35" s="17">
        <v>13555</v>
      </c>
      <c r="M35" s="18">
        <v>2147</v>
      </c>
      <c r="N35" s="18">
        <v>11408</v>
      </c>
      <c r="O35" s="17">
        <v>10665</v>
      </c>
      <c r="P35" s="18">
        <v>1821</v>
      </c>
      <c r="Q35" s="19">
        <v>8844</v>
      </c>
      <c r="R35" s="20">
        <v>5.4</v>
      </c>
      <c r="S35" s="20">
        <v>2.9</v>
      </c>
      <c r="T35" s="20">
        <v>6.5</v>
      </c>
      <c r="U35" s="21">
        <v>5.0999999999999996</v>
      </c>
      <c r="V35" s="20">
        <v>2.6</v>
      </c>
      <c r="W35" s="20">
        <v>6.1</v>
      </c>
      <c r="X35" s="21">
        <v>11.7</v>
      </c>
      <c r="Y35" s="20">
        <v>8.9</v>
      </c>
      <c r="Z35" s="20">
        <v>12.7</v>
      </c>
      <c r="AA35" s="21">
        <v>5.8</v>
      </c>
      <c r="AB35" s="20">
        <v>2.9</v>
      </c>
      <c r="AC35" s="20">
        <v>7.1</v>
      </c>
      <c r="AD35" s="21">
        <v>5</v>
      </c>
      <c r="AE35" s="20">
        <v>2.9</v>
      </c>
      <c r="AF35" s="22">
        <v>5.9</v>
      </c>
    </row>
    <row r="36" spans="1:32" ht="12.6" hidden="1" customHeight="1" x14ac:dyDescent="0.2">
      <c r="A36" s="159"/>
      <c r="B36" s="23" t="s">
        <v>20</v>
      </c>
      <c r="C36" s="24">
        <v>4921</v>
      </c>
      <c r="D36" s="25">
        <v>838</v>
      </c>
      <c r="E36" s="25">
        <v>4083</v>
      </c>
      <c r="F36" s="24">
        <v>4464</v>
      </c>
      <c r="G36" s="25">
        <v>729</v>
      </c>
      <c r="H36" s="25">
        <v>3735</v>
      </c>
      <c r="I36" s="24">
        <v>445</v>
      </c>
      <c r="J36" s="25">
        <v>106</v>
      </c>
      <c r="K36" s="25">
        <v>339</v>
      </c>
      <c r="L36" s="24">
        <v>2777</v>
      </c>
      <c r="M36" s="25">
        <v>455</v>
      </c>
      <c r="N36" s="25">
        <v>2322</v>
      </c>
      <c r="O36" s="24">
        <v>2144</v>
      </c>
      <c r="P36" s="25">
        <v>383</v>
      </c>
      <c r="Q36" s="26">
        <v>1761</v>
      </c>
      <c r="R36" s="27">
        <v>5.8</v>
      </c>
      <c r="S36" s="27">
        <v>3.7</v>
      </c>
      <c r="T36" s="27">
        <v>6.6</v>
      </c>
      <c r="U36" s="28">
        <v>5.6</v>
      </c>
      <c r="V36" s="27">
        <v>3.4</v>
      </c>
      <c r="W36" s="27">
        <v>6.4</v>
      </c>
      <c r="X36" s="28">
        <v>10.7</v>
      </c>
      <c r="Y36" s="27">
        <v>10.199999999999999</v>
      </c>
      <c r="Z36" s="27">
        <v>10.9</v>
      </c>
      <c r="AA36" s="28">
        <v>6.3</v>
      </c>
      <c r="AB36" s="27">
        <v>3.7</v>
      </c>
      <c r="AC36" s="27">
        <v>7.3</v>
      </c>
      <c r="AD36" s="28">
        <v>5.3</v>
      </c>
      <c r="AE36" s="27">
        <v>3.6</v>
      </c>
      <c r="AF36" s="29">
        <v>5.9</v>
      </c>
    </row>
    <row r="37" spans="1:32" ht="12.6" hidden="1" customHeight="1" x14ac:dyDescent="0.2">
      <c r="A37" s="159"/>
      <c r="B37" s="23" t="s">
        <v>22</v>
      </c>
      <c r="C37" s="24">
        <v>7866</v>
      </c>
      <c r="D37" s="25">
        <v>1328</v>
      </c>
      <c r="E37" s="25">
        <v>6538</v>
      </c>
      <c r="F37" s="24">
        <v>6601</v>
      </c>
      <c r="G37" s="25">
        <v>1074</v>
      </c>
      <c r="H37" s="25">
        <v>5527</v>
      </c>
      <c r="I37" s="24">
        <v>1229</v>
      </c>
      <c r="J37" s="25">
        <v>237</v>
      </c>
      <c r="K37" s="25">
        <v>992</v>
      </c>
      <c r="L37" s="24">
        <v>4432</v>
      </c>
      <c r="M37" s="25">
        <v>714</v>
      </c>
      <c r="N37" s="25">
        <v>3718</v>
      </c>
      <c r="O37" s="24">
        <v>3434</v>
      </c>
      <c r="P37" s="25">
        <v>614</v>
      </c>
      <c r="Q37" s="26">
        <v>2820</v>
      </c>
      <c r="R37" s="27">
        <v>7</v>
      </c>
      <c r="S37" s="27">
        <v>4.2</v>
      </c>
      <c r="T37" s="27">
        <v>8.1</v>
      </c>
      <c r="U37" s="28">
        <v>6.4</v>
      </c>
      <c r="V37" s="27">
        <v>3.7</v>
      </c>
      <c r="W37" s="27">
        <v>7.4</v>
      </c>
      <c r="X37" s="28">
        <v>15.7</v>
      </c>
      <c r="Y37" s="27">
        <v>11.8</v>
      </c>
      <c r="Z37" s="27">
        <v>17.100000000000001</v>
      </c>
      <c r="AA37" s="28">
        <v>7.7</v>
      </c>
      <c r="AB37" s="27">
        <v>4.3</v>
      </c>
      <c r="AC37" s="27">
        <v>9.1999999999999993</v>
      </c>
      <c r="AD37" s="28">
        <v>6.3</v>
      </c>
      <c r="AE37" s="27">
        <v>4.2</v>
      </c>
      <c r="AF37" s="29">
        <v>7.1</v>
      </c>
    </row>
    <row r="38" spans="1:32" ht="12.6" hidden="1" customHeight="1" x14ac:dyDescent="0.2">
      <c r="A38" s="159"/>
      <c r="B38" s="23" t="s">
        <v>23</v>
      </c>
      <c r="C38" s="24">
        <v>5005</v>
      </c>
      <c r="D38" s="25">
        <v>814</v>
      </c>
      <c r="E38" s="25">
        <v>4191</v>
      </c>
      <c r="F38" s="24">
        <v>4623</v>
      </c>
      <c r="G38" s="25">
        <v>744</v>
      </c>
      <c r="H38" s="25">
        <v>3879</v>
      </c>
      <c r="I38" s="24">
        <v>377</v>
      </c>
      <c r="J38" s="25">
        <v>68</v>
      </c>
      <c r="K38" s="25">
        <v>309</v>
      </c>
      <c r="L38" s="24">
        <v>2839</v>
      </c>
      <c r="M38" s="25">
        <v>451</v>
      </c>
      <c r="N38" s="25">
        <v>2388</v>
      </c>
      <c r="O38" s="24">
        <v>2166</v>
      </c>
      <c r="P38" s="25">
        <v>363</v>
      </c>
      <c r="Q38" s="26">
        <v>1803</v>
      </c>
      <c r="R38" s="27">
        <v>5.4</v>
      </c>
      <c r="S38" s="27">
        <v>2.7</v>
      </c>
      <c r="T38" s="27">
        <v>6.8</v>
      </c>
      <c r="U38" s="28">
        <v>5.2</v>
      </c>
      <c r="V38" s="27">
        <v>2.5</v>
      </c>
      <c r="W38" s="27">
        <v>6.5</v>
      </c>
      <c r="X38" s="28">
        <v>12.2</v>
      </c>
      <c r="Y38" s="27" t="s">
        <v>21</v>
      </c>
      <c r="Z38" s="27">
        <v>13.4</v>
      </c>
      <c r="AA38" s="28">
        <v>5.8</v>
      </c>
      <c r="AB38" s="27">
        <v>2.7</v>
      </c>
      <c r="AC38" s="27">
        <v>7.4</v>
      </c>
      <c r="AD38" s="28">
        <v>5</v>
      </c>
      <c r="AE38" s="27">
        <v>2.6</v>
      </c>
      <c r="AF38" s="29">
        <v>6.1</v>
      </c>
    </row>
    <row r="39" spans="1:32" ht="12.6" hidden="1" customHeight="1" x14ac:dyDescent="0.2">
      <c r="A39" s="159"/>
      <c r="B39" s="23" t="s">
        <v>24</v>
      </c>
      <c r="C39" s="24">
        <v>6428</v>
      </c>
      <c r="D39" s="25">
        <v>988</v>
      </c>
      <c r="E39" s="25">
        <v>5440</v>
      </c>
      <c r="F39" s="24">
        <v>5907</v>
      </c>
      <c r="G39" s="25">
        <v>891</v>
      </c>
      <c r="H39" s="25">
        <v>5016</v>
      </c>
      <c r="I39" s="24">
        <v>510</v>
      </c>
      <c r="J39" s="25">
        <v>93</v>
      </c>
      <c r="K39" s="25">
        <v>417</v>
      </c>
      <c r="L39" s="24">
        <v>3507</v>
      </c>
      <c r="M39" s="25">
        <v>527</v>
      </c>
      <c r="N39" s="25">
        <v>2980</v>
      </c>
      <c r="O39" s="24">
        <v>2921</v>
      </c>
      <c r="P39" s="25">
        <v>461</v>
      </c>
      <c r="Q39" s="26">
        <v>2460</v>
      </c>
      <c r="R39" s="27">
        <v>4</v>
      </c>
      <c r="S39" s="27">
        <v>1.9</v>
      </c>
      <c r="T39" s="27">
        <v>5</v>
      </c>
      <c r="U39" s="28">
        <v>3.9</v>
      </c>
      <c r="V39" s="27">
        <v>1.8</v>
      </c>
      <c r="W39" s="27">
        <v>4.9000000000000004</v>
      </c>
      <c r="X39" s="28">
        <v>7.5</v>
      </c>
      <c r="Y39" s="27">
        <v>5.2</v>
      </c>
      <c r="Z39" s="27">
        <v>8.3000000000000007</v>
      </c>
      <c r="AA39" s="28">
        <v>4.0999999999999996</v>
      </c>
      <c r="AB39" s="27">
        <v>1.9</v>
      </c>
      <c r="AC39" s="27">
        <v>5.3</v>
      </c>
      <c r="AD39" s="28">
        <v>3.9</v>
      </c>
      <c r="AE39" s="27">
        <v>1.9</v>
      </c>
      <c r="AF39" s="29">
        <v>4.8</v>
      </c>
    </row>
    <row r="40" spans="1:32" ht="12.6" customHeight="1" x14ac:dyDescent="0.2">
      <c r="A40" s="158">
        <v>41090</v>
      </c>
      <c r="B40" s="30" t="s">
        <v>19</v>
      </c>
      <c r="C40" s="17">
        <v>23340</v>
      </c>
      <c r="D40" s="18">
        <v>3989</v>
      </c>
      <c r="E40" s="18">
        <v>19351</v>
      </c>
      <c r="F40" s="17">
        <v>20614</v>
      </c>
      <c r="G40" s="18">
        <v>3445</v>
      </c>
      <c r="H40" s="18">
        <v>17169</v>
      </c>
      <c r="I40" s="17">
        <v>2633</v>
      </c>
      <c r="J40" s="18">
        <v>510</v>
      </c>
      <c r="K40" s="18">
        <v>2123</v>
      </c>
      <c r="L40" s="17">
        <v>13209</v>
      </c>
      <c r="M40" s="18">
        <v>2198</v>
      </c>
      <c r="N40" s="18">
        <v>11011</v>
      </c>
      <c r="O40" s="17">
        <v>10131</v>
      </c>
      <c r="P40" s="18">
        <v>1791</v>
      </c>
      <c r="Q40" s="19">
        <v>8340</v>
      </c>
      <c r="R40" s="20">
        <v>5.2</v>
      </c>
      <c r="S40" s="20">
        <v>3</v>
      </c>
      <c r="T40" s="20">
        <v>6.1</v>
      </c>
      <c r="U40" s="21">
        <v>4.8</v>
      </c>
      <c r="V40" s="20">
        <v>2.7</v>
      </c>
      <c r="W40" s="20">
        <v>5.7</v>
      </c>
      <c r="X40" s="21">
        <v>10.9</v>
      </c>
      <c r="Y40" s="20">
        <v>8.1999999999999993</v>
      </c>
      <c r="Z40" s="20">
        <v>11.8</v>
      </c>
      <c r="AA40" s="21">
        <v>5.5</v>
      </c>
      <c r="AB40" s="20">
        <v>3.1</v>
      </c>
      <c r="AC40" s="20">
        <v>6.6</v>
      </c>
      <c r="AD40" s="21">
        <v>4.7</v>
      </c>
      <c r="AE40" s="20">
        <v>2.9</v>
      </c>
      <c r="AF40" s="22">
        <v>5.5</v>
      </c>
    </row>
    <row r="41" spans="1:32" ht="12.6" hidden="1" customHeight="1" x14ac:dyDescent="0.2">
      <c r="A41" s="159"/>
      <c r="B41" s="23" t="s">
        <v>20</v>
      </c>
      <c r="C41" s="24">
        <v>4291</v>
      </c>
      <c r="D41" s="25">
        <v>732</v>
      </c>
      <c r="E41" s="25">
        <v>3559</v>
      </c>
      <c r="F41" s="24">
        <v>3872</v>
      </c>
      <c r="G41" s="25">
        <v>653</v>
      </c>
      <c r="H41" s="25">
        <v>3219</v>
      </c>
      <c r="I41" s="24">
        <v>408</v>
      </c>
      <c r="J41" s="25">
        <v>74</v>
      </c>
      <c r="K41" s="25">
        <v>334</v>
      </c>
      <c r="L41" s="24">
        <v>2436</v>
      </c>
      <c r="M41" s="25">
        <v>403</v>
      </c>
      <c r="N41" s="25">
        <v>2033</v>
      </c>
      <c r="O41" s="24">
        <v>1855</v>
      </c>
      <c r="P41" s="25">
        <v>329</v>
      </c>
      <c r="Q41" s="26">
        <v>1526</v>
      </c>
      <c r="R41" s="27">
        <v>5.0999999999999996</v>
      </c>
      <c r="S41" s="27">
        <v>3.3</v>
      </c>
      <c r="T41" s="27">
        <v>5.6</v>
      </c>
      <c r="U41" s="28">
        <v>4.8</v>
      </c>
      <c r="V41" s="27">
        <v>3.1</v>
      </c>
      <c r="W41" s="27">
        <v>5.4</v>
      </c>
      <c r="X41" s="28">
        <v>9.6</v>
      </c>
      <c r="Y41" s="27" t="s">
        <v>21</v>
      </c>
      <c r="Z41" s="27">
        <v>10.3</v>
      </c>
      <c r="AA41" s="28">
        <v>5.4</v>
      </c>
      <c r="AB41" s="27">
        <v>3.5</v>
      </c>
      <c r="AC41" s="27">
        <v>6.1</v>
      </c>
      <c r="AD41" s="28">
        <v>4.5999999999999996</v>
      </c>
      <c r="AE41" s="27">
        <v>3.2</v>
      </c>
      <c r="AF41" s="29">
        <v>5.0999999999999996</v>
      </c>
    </row>
    <row r="42" spans="1:32" ht="12.6" hidden="1" customHeight="1" x14ac:dyDescent="0.2">
      <c r="A42" s="159"/>
      <c r="B42" s="23" t="s">
        <v>22</v>
      </c>
      <c r="C42" s="24">
        <v>7587</v>
      </c>
      <c r="D42" s="25">
        <v>1339</v>
      </c>
      <c r="E42" s="25">
        <v>6248</v>
      </c>
      <c r="F42" s="24">
        <v>6333</v>
      </c>
      <c r="G42" s="25">
        <v>1088</v>
      </c>
      <c r="H42" s="25">
        <v>5245</v>
      </c>
      <c r="I42" s="24">
        <v>1199</v>
      </c>
      <c r="J42" s="25">
        <v>231</v>
      </c>
      <c r="K42" s="25">
        <v>968</v>
      </c>
      <c r="L42" s="24">
        <v>4341</v>
      </c>
      <c r="M42" s="25">
        <v>723</v>
      </c>
      <c r="N42" s="25">
        <v>3618</v>
      </c>
      <c r="O42" s="24">
        <v>3246</v>
      </c>
      <c r="P42" s="25">
        <v>616</v>
      </c>
      <c r="Q42" s="26">
        <v>2630</v>
      </c>
      <c r="R42" s="27">
        <v>6.8</v>
      </c>
      <c r="S42" s="27">
        <v>4.4000000000000004</v>
      </c>
      <c r="T42" s="27">
        <v>7.6</v>
      </c>
      <c r="U42" s="28">
        <v>6.1</v>
      </c>
      <c r="V42" s="27">
        <v>3.9</v>
      </c>
      <c r="W42" s="27">
        <v>6.9</v>
      </c>
      <c r="X42" s="28">
        <v>14.7</v>
      </c>
      <c r="Y42" s="27">
        <v>11.2</v>
      </c>
      <c r="Z42" s="27">
        <v>15.9</v>
      </c>
      <c r="AA42" s="28">
        <v>7.5</v>
      </c>
      <c r="AB42" s="27">
        <v>4.5</v>
      </c>
      <c r="AC42" s="27">
        <v>8.6</v>
      </c>
      <c r="AD42" s="28">
        <v>6</v>
      </c>
      <c r="AE42" s="27">
        <v>4.3</v>
      </c>
      <c r="AF42" s="29">
        <v>6.6</v>
      </c>
    </row>
    <row r="43" spans="1:32" ht="12.6" hidden="1" customHeight="1" x14ac:dyDescent="0.2">
      <c r="A43" s="159"/>
      <c r="B43" s="23" t="s">
        <v>23</v>
      </c>
      <c r="C43" s="24">
        <v>5018</v>
      </c>
      <c r="D43" s="25">
        <v>825</v>
      </c>
      <c r="E43" s="25">
        <v>4193</v>
      </c>
      <c r="F43" s="24">
        <v>4604</v>
      </c>
      <c r="G43" s="25">
        <v>738</v>
      </c>
      <c r="H43" s="25">
        <v>3866</v>
      </c>
      <c r="I43" s="24">
        <v>403</v>
      </c>
      <c r="J43" s="25">
        <v>84</v>
      </c>
      <c r="K43" s="25">
        <v>319</v>
      </c>
      <c r="L43" s="24">
        <v>2926</v>
      </c>
      <c r="M43" s="25">
        <v>472</v>
      </c>
      <c r="N43" s="25">
        <v>2454</v>
      </c>
      <c r="O43" s="24">
        <v>2092</v>
      </c>
      <c r="P43" s="25">
        <v>353</v>
      </c>
      <c r="Q43" s="26">
        <v>1739</v>
      </c>
      <c r="R43" s="27">
        <v>5.3</v>
      </c>
      <c r="S43" s="27">
        <v>2.7</v>
      </c>
      <c r="T43" s="27">
        <v>6.6</v>
      </c>
      <c r="U43" s="28">
        <v>5.0999999999999996</v>
      </c>
      <c r="V43" s="27">
        <v>2.5</v>
      </c>
      <c r="W43" s="27">
        <v>6.4</v>
      </c>
      <c r="X43" s="28">
        <v>11</v>
      </c>
      <c r="Y43" s="27" t="s">
        <v>21</v>
      </c>
      <c r="Z43" s="27">
        <v>11.8</v>
      </c>
      <c r="AA43" s="28">
        <v>5.8</v>
      </c>
      <c r="AB43" s="27">
        <v>2.9</v>
      </c>
      <c r="AC43" s="27">
        <v>7.3</v>
      </c>
      <c r="AD43" s="28">
        <v>4.8</v>
      </c>
      <c r="AE43" s="27">
        <v>2.6</v>
      </c>
      <c r="AF43" s="29">
        <v>5.8</v>
      </c>
    </row>
    <row r="44" spans="1:32" ht="12.6" hidden="1" customHeight="1" x14ac:dyDescent="0.2">
      <c r="A44" s="159"/>
      <c r="B44" s="23" t="s">
        <v>24</v>
      </c>
      <c r="C44" s="24">
        <v>6444</v>
      </c>
      <c r="D44" s="25">
        <v>1093</v>
      </c>
      <c r="E44" s="25">
        <v>5351</v>
      </c>
      <c r="F44" s="24">
        <v>5805</v>
      </c>
      <c r="G44" s="25">
        <v>966</v>
      </c>
      <c r="H44" s="25">
        <v>4839</v>
      </c>
      <c r="I44" s="24">
        <v>623</v>
      </c>
      <c r="J44" s="25">
        <v>121</v>
      </c>
      <c r="K44" s="25">
        <v>502</v>
      </c>
      <c r="L44" s="24">
        <v>3506</v>
      </c>
      <c r="M44" s="25">
        <v>600</v>
      </c>
      <c r="N44" s="25">
        <v>2906</v>
      </c>
      <c r="O44" s="24">
        <v>2938</v>
      </c>
      <c r="P44" s="25">
        <v>493</v>
      </c>
      <c r="Q44" s="26">
        <v>2445</v>
      </c>
      <c r="R44" s="27">
        <v>4</v>
      </c>
      <c r="S44" s="27">
        <v>2.1</v>
      </c>
      <c r="T44" s="27">
        <v>4.8</v>
      </c>
      <c r="U44" s="28">
        <v>3.8</v>
      </c>
      <c r="V44" s="27">
        <v>2</v>
      </c>
      <c r="W44" s="27">
        <v>4.5999999999999996</v>
      </c>
      <c r="X44" s="28">
        <v>7.8</v>
      </c>
      <c r="Y44" s="27">
        <v>5.6</v>
      </c>
      <c r="Z44" s="27">
        <v>8.6</v>
      </c>
      <c r="AA44" s="28">
        <v>4.0999999999999996</v>
      </c>
      <c r="AB44" s="27">
        <v>2.2000000000000002</v>
      </c>
      <c r="AC44" s="27">
        <v>5</v>
      </c>
      <c r="AD44" s="28">
        <v>3.9</v>
      </c>
      <c r="AE44" s="27">
        <v>2.1</v>
      </c>
      <c r="AF44" s="29">
        <v>4.7</v>
      </c>
    </row>
    <row r="45" spans="1:32" ht="12.6" customHeight="1" x14ac:dyDescent="0.2">
      <c r="A45" s="158">
        <v>41455</v>
      </c>
      <c r="B45" s="30" t="s">
        <v>19</v>
      </c>
      <c r="C45" s="17">
        <v>26089</v>
      </c>
      <c r="D45" s="18">
        <v>4168</v>
      </c>
      <c r="E45" s="18">
        <v>21921</v>
      </c>
      <c r="F45" s="17">
        <v>22991</v>
      </c>
      <c r="G45" s="18">
        <v>3573</v>
      </c>
      <c r="H45" s="18">
        <v>19418</v>
      </c>
      <c r="I45" s="17">
        <v>3011</v>
      </c>
      <c r="J45" s="18">
        <v>566</v>
      </c>
      <c r="K45" s="18">
        <v>2445</v>
      </c>
      <c r="L45" s="17">
        <v>14840</v>
      </c>
      <c r="M45" s="18">
        <v>2238</v>
      </c>
      <c r="N45" s="18">
        <v>12602</v>
      </c>
      <c r="O45" s="17">
        <v>11249</v>
      </c>
      <c r="P45" s="18">
        <v>1930</v>
      </c>
      <c r="Q45" s="19">
        <v>9319</v>
      </c>
      <c r="R45" s="20">
        <v>5.7</v>
      </c>
      <c r="S45" s="20">
        <v>3.1</v>
      </c>
      <c r="T45" s="20">
        <v>6.7</v>
      </c>
      <c r="U45" s="21">
        <v>5.3</v>
      </c>
      <c r="V45" s="20">
        <v>2.8</v>
      </c>
      <c r="W45" s="20">
        <v>6.4</v>
      </c>
      <c r="X45" s="21">
        <v>11</v>
      </c>
      <c r="Y45" s="20">
        <v>9.1999999999999993</v>
      </c>
      <c r="Z45" s="20">
        <v>11.5</v>
      </c>
      <c r="AA45" s="21">
        <v>6.1</v>
      </c>
      <c r="AB45" s="20">
        <v>3.1</v>
      </c>
      <c r="AC45" s="20">
        <v>7.4</v>
      </c>
      <c r="AD45" s="21">
        <v>5.2</v>
      </c>
      <c r="AE45" s="20">
        <v>3.1</v>
      </c>
      <c r="AF45" s="22">
        <v>6</v>
      </c>
    </row>
    <row r="46" spans="1:32" ht="12.6" hidden="1" customHeight="1" x14ac:dyDescent="0.2">
      <c r="A46" s="159"/>
      <c r="B46" s="23" t="s">
        <v>20</v>
      </c>
      <c r="C46" s="24">
        <v>4738</v>
      </c>
      <c r="D46" s="25">
        <v>741</v>
      </c>
      <c r="E46" s="25">
        <v>3997</v>
      </c>
      <c r="F46" s="24">
        <v>4256</v>
      </c>
      <c r="G46" s="25">
        <v>660</v>
      </c>
      <c r="H46" s="25">
        <v>3596</v>
      </c>
      <c r="I46" s="24">
        <v>469</v>
      </c>
      <c r="J46" s="25">
        <v>79</v>
      </c>
      <c r="K46" s="25">
        <v>390</v>
      </c>
      <c r="L46" s="24">
        <v>2744</v>
      </c>
      <c r="M46" s="25">
        <v>382</v>
      </c>
      <c r="N46" s="25">
        <v>2362</v>
      </c>
      <c r="O46" s="24">
        <v>1994</v>
      </c>
      <c r="P46" s="25">
        <v>359</v>
      </c>
      <c r="Q46" s="26">
        <v>1635</v>
      </c>
      <c r="R46" s="27">
        <v>5.5</v>
      </c>
      <c r="S46" s="27">
        <v>3.4</v>
      </c>
      <c r="T46" s="27">
        <v>6.2</v>
      </c>
      <c r="U46" s="28">
        <v>5.3</v>
      </c>
      <c r="V46" s="27">
        <v>3.2</v>
      </c>
      <c r="W46" s="27">
        <v>5.9</v>
      </c>
      <c r="X46" s="28">
        <v>10</v>
      </c>
      <c r="Y46" s="27">
        <v>7.7</v>
      </c>
      <c r="Z46" s="27">
        <v>10.6</v>
      </c>
      <c r="AA46" s="28">
        <v>6.1</v>
      </c>
      <c r="AB46" s="27">
        <v>3.3</v>
      </c>
      <c r="AC46" s="27">
        <v>7</v>
      </c>
      <c r="AD46" s="28">
        <v>4.9000000000000004</v>
      </c>
      <c r="AE46" s="27">
        <v>3.6</v>
      </c>
      <c r="AF46" s="29">
        <v>5.4</v>
      </c>
    </row>
    <row r="47" spans="1:32" ht="12.6" hidden="1" customHeight="1" x14ac:dyDescent="0.2">
      <c r="A47" s="159"/>
      <c r="B47" s="23" t="s">
        <v>22</v>
      </c>
      <c r="C47" s="24">
        <v>8244</v>
      </c>
      <c r="D47" s="25">
        <v>1379</v>
      </c>
      <c r="E47" s="25">
        <v>6865</v>
      </c>
      <c r="F47" s="24">
        <v>6855</v>
      </c>
      <c r="G47" s="25">
        <v>1091</v>
      </c>
      <c r="H47" s="25">
        <v>5764</v>
      </c>
      <c r="I47" s="24">
        <v>1341</v>
      </c>
      <c r="J47" s="25">
        <v>268</v>
      </c>
      <c r="K47" s="25">
        <v>1073</v>
      </c>
      <c r="L47" s="24">
        <v>4690</v>
      </c>
      <c r="M47" s="25">
        <v>763</v>
      </c>
      <c r="N47" s="25">
        <v>3927</v>
      </c>
      <c r="O47" s="24">
        <v>3554</v>
      </c>
      <c r="P47" s="25">
        <v>616</v>
      </c>
      <c r="Q47" s="26">
        <v>2938</v>
      </c>
      <c r="R47" s="27">
        <v>7.2</v>
      </c>
      <c r="S47" s="27">
        <v>4.5</v>
      </c>
      <c r="T47" s="27">
        <v>8.1999999999999993</v>
      </c>
      <c r="U47" s="28">
        <v>6.5</v>
      </c>
      <c r="V47" s="27">
        <v>3.8</v>
      </c>
      <c r="W47" s="27">
        <v>7.5</v>
      </c>
      <c r="X47" s="28">
        <v>14.9</v>
      </c>
      <c r="Y47" s="27">
        <v>13.3</v>
      </c>
      <c r="Z47" s="27">
        <v>15.4</v>
      </c>
      <c r="AA47" s="28">
        <v>7.9</v>
      </c>
      <c r="AB47" s="27">
        <v>4.7</v>
      </c>
      <c r="AC47" s="27">
        <v>9.1</v>
      </c>
      <c r="AD47" s="28">
        <v>6.4</v>
      </c>
      <c r="AE47" s="27">
        <v>4.3</v>
      </c>
      <c r="AF47" s="29">
        <v>7.2</v>
      </c>
    </row>
    <row r="48" spans="1:32" ht="12.6" hidden="1" customHeight="1" x14ac:dyDescent="0.2">
      <c r="A48" s="159"/>
      <c r="B48" s="23" t="s">
        <v>23</v>
      </c>
      <c r="C48" s="24">
        <v>5411</v>
      </c>
      <c r="D48" s="25">
        <v>911</v>
      </c>
      <c r="E48" s="25">
        <v>4500</v>
      </c>
      <c r="F48" s="24">
        <v>4919</v>
      </c>
      <c r="G48" s="25">
        <v>816</v>
      </c>
      <c r="H48" s="25">
        <v>4103</v>
      </c>
      <c r="I48" s="24">
        <v>482</v>
      </c>
      <c r="J48" s="25">
        <v>93</v>
      </c>
      <c r="K48" s="25">
        <v>389</v>
      </c>
      <c r="L48" s="24">
        <v>3181</v>
      </c>
      <c r="M48" s="25">
        <v>507</v>
      </c>
      <c r="N48" s="25">
        <v>2674</v>
      </c>
      <c r="O48" s="24">
        <v>2230</v>
      </c>
      <c r="P48" s="25">
        <v>404</v>
      </c>
      <c r="Q48" s="26">
        <v>1826</v>
      </c>
      <c r="R48" s="27">
        <v>5.7</v>
      </c>
      <c r="S48" s="27">
        <v>3</v>
      </c>
      <c r="T48" s="27">
        <v>7</v>
      </c>
      <c r="U48" s="28">
        <v>5.4</v>
      </c>
      <c r="V48" s="27">
        <v>2.8</v>
      </c>
      <c r="W48" s="27">
        <v>6.7</v>
      </c>
      <c r="X48" s="28">
        <v>12.2</v>
      </c>
      <c r="Y48" s="27" t="s">
        <v>21</v>
      </c>
      <c r="Z48" s="27">
        <v>12.8</v>
      </c>
      <c r="AA48" s="28">
        <v>6.2</v>
      </c>
      <c r="AB48" s="27">
        <v>3.1</v>
      </c>
      <c r="AC48" s="27">
        <v>7.7</v>
      </c>
      <c r="AD48" s="28">
        <v>5.0999999999999996</v>
      </c>
      <c r="AE48" s="27">
        <v>2.9</v>
      </c>
      <c r="AF48" s="29">
        <v>6.1</v>
      </c>
    </row>
    <row r="49" spans="1:32" ht="12.6" hidden="1" customHeight="1" x14ac:dyDescent="0.2">
      <c r="A49" s="159"/>
      <c r="B49" s="23" t="s">
        <v>24</v>
      </c>
      <c r="C49" s="24">
        <v>7696</v>
      </c>
      <c r="D49" s="25">
        <v>1137</v>
      </c>
      <c r="E49" s="25">
        <v>6559</v>
      </c>
      <c r="F49" s="24">
        <v>6961</v>
      </c>
      <c r="G49" s="25">
        <v>1006</v>
      </c>
      <c r="H49" s="25">
        <v>5955</v>
      </c>
      <c r="I49" s="24">
        <v>719</v>
      </c>
      <c r="J49" s="25">
        <v>126</v>
      </c>
      <c r="K49" s="25">
        <v>593</v>
      </c>
      <c r="L49" s="24">
        <v>4225</v>
      </c>
      <c r="M49" s="25">
        <v>586</v>
      </c>
      <c r="N49" s="25">
        <v>3639</v>
      </c>
      <c r="O49" s="24">
        <v>3471</v>
      </c>
      <c r="P49" s="25">
        <v>551</v>
      </c>
      <c r="Q49" s="26">
        <v>2920</v>
      </c>
      <c r="R49" s="27">
        <v>4.7</v>
      </c>
      <c r="S49" s="27">
        <v>2.2000000000000002</v>
      </c>
      <c r="T49" s="27">
        <v>5.8</v>
      </c>
      <c r="U49" s="28">
        <v>4.5</v>
      </c>
      <c r="V49" s="27">
        <v>2.1</v>
      </c>
      <c r="W49" s="27">
        <v>5.7</v>
      </c>
      <c r="X49" s="28">
        <v>7.4</v>
      </c>
      <c r="Y49" s="27">
        <v>5.6</v>
      </c>
      <c r="Z49" s="27">
        <v>7.9</v>
      </c>
      <c r="AA49" s="28">
        <v>4.9000000000000004</v>
      </c>
      <c r="AB49" s="27">
        <v>2.1</v>
      </c>
      <c r="AC49" s="27">
        <v>6.1</v>
      </c>
      <c r="AD49" s="28">
        <v>4.5</v>
      </c>
      <c r="AE49" s="27">
        <v>2.2999999999999998</v>
      </c>
      <c r="AF49" s="29">
        <v>5.5</v>
      </c>
    </row>
    <row r="50" spans="1:32" ht="12.6" customHeight="1" x14ac:dyDescent="0.2">
      <c r="A50" s="158">
        <v>41820</v>
      </c>
      <c r="B50" s="30" t="s">
        <v>19</v>
      </c>
      <c r="C50" s="17">
        <v>23754</v>
      </c>
      <c r="D50" s="18">
        <v>3907</v>
      </c>
      <c r="E50" s="18">
        <v>19847</v>
      </c>
      <c r="F50" s="17">
        <v>20429</v>
      </c>
      <c r="G50" s="18">
        <v>3257</v>
      </c>
      <c r="H50" s="18">
        <v>17172</v>
      </c>
      <c r="I50" s="17">
        <v>3227</v>
      </c>
      <c r="J50" s="18">
        <v>617</v>
      </c>
      <c r="K50" s="18">
        <v>2610</v>
      </c>
      <c r="L50" s="17">
        <v>13697</v>
      </c>
      <c r="M50" s="18">
        <v>2182</v>
      </c>
      <c r="N50" s="18">
        <v>11515</v>
      </c>
      <c r="O50" s="17">
        <v>10057</v>
      </c>
      <c r="P50" s="18">
        <v>1725</v>
      </c>
      <c r="Q50" s="19">
        <v>8332</v>
      </c>
      <c r="R50" s="20">
        <v>5.3</v>
      </c>
      <c r="S50" s="20">
        <v>3</v>
      </c>
      <c r="T50" s="20">
        <v>6.2</v>
      </c>
      <c r="U50" s="21">
        <v>4.8</v>
      </c>
      <c r="V50" s="20">
        <v>2.6</v>
      </c>
      <c r="W50" s="20">
        <v>5.7</v>
      </c>
      <c r="X50" s="21">
        <v>11.7</v>
      </c>
      <c r="Y50" s="20">
        <v>10.3</v>
      </c>
      <c r="Z50" s="20">
        <v>12.1</v>
      </c>
      <c r="AA50" s="21">
        <v>5.7</v>
      </c>
      <c r="AB50" s="20">
        <v>3.1</v>
      </c>
      <c r="AC50" s="20">
        <v>6.8</v>
      </c>
      <c r="AD50" s="21">
        <v>4.8</v>
      </c>
      <c r="AE50" s="20">
        <v>2.9</v>
      </c>
      <c r="AF50" s="22">
        <v>5.5</v>
      </c>
    </row>
    <row r="51" spans="1:32" ht="12.6" hidden="1" customHeight="1" x14ac:dyDescent="0.2">
      <c r="A51" s="159"/>
      <c r="B51" s="23" t="s">
        <v>20</v>
      </c>
      <c r="C51" s="24">
        <v>4220</v>
      </c>
      <c r="D51" s="25">
        <v>667</v>
      </c>
      <c r="E51" s="25">
        <v>3553</v>
      </c>
      <c r="F51" s="24">
        <v>3699</v>
      </c>
      <c r="G51" s="25">
        <v>570</v>
      </c>
      <c r="H51" s="25">
        <v>3129</v>
      </c>
      <c r="I51" s="24">
        <v>505</v>
      </c>
      <c r="J51" s="25">
        <v>94</v>
      </c>
      <c r="K51" s="25">
        <v>411</v>
      </c>
      <c r="L51" s="24">
        <v>2439</v>
      </c>
      <c r="M51" s="25">
        <v>369</v>
      </c>
      <c r="N51" s="25">
        <v>2070</v>
      </c>
      <c r="O51" s="24">
        <v>1781</v>
      </c>
      <c r="P51" s="25">
        <v>298</v>
      </c>
      <c r="Q51" s="26">
        <v>1483</v>
      </c>
      <c r="R51" s="27">
        <v>5</v>
      </c>
      <c r="S51" s="27">
        <v>3.2</v>
      </c>
      <c r="T51" s="27">
        <v>5.6</v>
      </c>
      <c r="U51" s="28">
        <v>4.7</v>
      </c>
      <c r="V51" s="27">
        <v>2.9</v>
      </c>
      <c r="W51" s="27">
        <v>5.3</v>
      </c>
      <c r="X51" s="28">
        <v>10.6</v>
      </c>
      <c r="Y51" s="27">
        <v>9.4</v>
      </c>
      <c r="Z51" s="27">
        <v>11</v>
      </c>
      <c r="AA51" s="28">
        <v>5.5</v>
      </c>
      <c r="AB51" s="27">
        <v>3.3</v>
      </c>
      <c r="AC51" s="27">
        <v>6.2</v>
      </c>
      <c r="AD51" s="28">
        <v>4.5</v>
      </c>
      <c r="AE51" s="27">
        <v>3</v>
      </c>
      <c r="AF51" s="29">
        <v>5</v>
      </c>
    </row>
    <row r="52" spans="1:32" ht="12.6" hidden="1" customHeight="1" x14ac:dyDescent="0.2">
      <c r="A52" s="159"/>
      <c r="B52" s="23" t="s">
        <v>22</v>
      </c>
      <c r="C52" s="24">
        <v>7764</v>
      </c>
      <c r="D52" s="25">
        <v>1386</v>
      </c>
      <c r="E52" s="25">
        <v>6378</v>
      </c>
      <c r="F52" s="24">
        <v>6295</v>
      </c>
      <c r="G52" s="25">
        <v>1090</v>
      </c>
      <c r="H52" s="25">
        <v>5205</v>
      </c>
      <c r="I52" s="24">
        <v>1417</v>
      </c>
      <c r="J52" s="25">
        <v>276</v>
      </c>
      <c r="K52" s="25">
        <v>1141</v>
      </c>
      <c r="L52" s="24">
        <v>4444</v>
      </c>
      <c r="M52" s="25">
        <v>759</v>
      </c>
      <c r="N52" s="25">
        <v>3685</v>
      </c>
      <c r="O52" s="24">
        <v>3320</v>
      </c>
      <c r="P52" s="25">
        <v>627</v>
      </c>
      <c r="Q52" s="26">
        <v>2693</v>
      </c>
      <c r="R52" s="27">
        <v>7</v>
      </c>
      <c r="S52" s="27">
        <v>4.7</v>
      </c>
      <c r="T52" s="27">
        <v>7.8</v>
      </c>
      <c r="U52" s="28">
        <v>6.1</v>
      </c>
      <c r="V52" s="27">
        <v>4</v>
      </c>
      <c r="W52" s="27">
        <v>6.9</v>
      </c>
      <c r="X52" s="28">
        <v>16.100000000000001</v>
      </c>
      <c r="Y52" s="27">
        <v>13.8</v>
      </c>
      <c r="Z52" s="27">
        <v>16.7</v>
      </c>
      <c r="AA52" s="28">
        <v>7.6</v>
      </c>
      <c r="AB52" s="27">
        <v>4.8</v>
      </c>
      <c r="AC52" s="27">
        <v>8.6999999999999993</v>
      </c>
      <c r="AD52" s="28">
        <v>6.2</v>
      </c>
      <c r="AE52" s="27">
        <v>4.5</v>
      </c>
      <c r="AF52" s="29">
        <v>6.8</v>
      </c>
    </row>
    <row r="53" spans="1:32" ht="12.6" hidden="1" customHeight="1" x14ac:dyDescent="0.2">
      <c r="A53" s="159"/>
      <c r="B53" s="23" t="s">
        <v>23</v>
      </c>
      <c r="C53" s="24">
        <v>4947</v>
      </c>
      <c r="D53" s="25">
        <v>845</v>
      </c>
      <c r="E53" s="25">
        <v>4102</v>
      </c>
      <c r="F53" s="24">
        <v>4421</v>
      </c>
      <c r="G53" s="25">
        <v>742</v>
      </c>
      <c r="H53" s="25">
        <v>3679</v>
      </c>
      <c r="I53" s="24">
        <v>513</v>
      </c>
      <c r="J53" s="25">
        <v>97</v>
      </c>
      <c r="K53" s="25">
        <v>416</v>
      </c>
      <c r="L53" s="24">
        <v>2920</v>
      </c>
      <c r="M53" s="25">
        <v>472</v>
      </c>
      <c r="N53" s="25">
        <v>2448</v>
      </c>
      <c r="O53" s="24">
        <v>2027</v>
      </c>
      <c r="P53" s="25">
        <v>373</v>
      </c>
      <c r="Q53" s="26">
        <v>1654</v>
      </c>
      <c r="R53" s="27">
        <v>5.3</v>
      </c>
      <c r="S53" s="27">
        <v>2.8</v>
      </c>
      <c r="T53" s="27">
        <v>6.5</v>
      </c>
      <c r="U53" s="28">
        <v>4.9000000000000004</v>
      </c>
      <c r="V53" s="27">
        <v>2.5</v>
      </c>
      <c r="W53" s="27">
        <v>6.1</v>
      </c>
      <c r="X53" s="28">
        <v>12.6</v>
      </c>
      <c r="Y53" s="27" t="s">
        <v>21</v>
      </c>
      <c r="Z53" s="27">
        <v>13.1</v>
      </c>
      <c r="AA53" s="28">
        <v>5.8</v>
      </c>
      <c r="AB53" s="27">
        <v>2.9</v>
      </c>
      <c r="AC53" s="27">
        <v>7.2</v>
      </c>
      <c r="AD53" s="28">
        <v>4.7</v>
      </c>
      <c r="AE53" s="27">
        <v>2.7</v>
      </c>
      <c r="AF53" s="29">
        <v>5.6</v>
      </c>
    </row>
    <row r="54" spans="1:32" ht="12.6" hidden="1" customHeight="1" x14ac:dyDescent="0.2">
      <c r="A54" s="159"/>
      <c r="B54" s="23" t="s">
        <v>24</v>
      </c>
      <c r="C54" s="24">
        <v>6823</v>
      </c>
      <c r="D54" s="25">
        <v>1009</v>
      </c>
      <c r="E54" s="25">
        <v>5814</v>
      </c>
      <c r="F54" s="24">
        <v>6014</v>
      </c>
      <c r="G54" s="25">
        <v>855</v>
      </c>
      <c r="H54" s="25">
        <v>5159</v>
      </c>
      <c r="I54" s="24">
        <v>792</v>
      </c>
      <c r="J54" s="25">
        <v>150</v>
      </c>
      <c r="K54" s="25">
        <v>642</v>
      </c>
      <c r="L54" s="24">
        <v>3894</v>
      </c>
      <c r="M54" s="25">
        <v>582</v>
      </c>
      <c r="N54" s="25">
        <v>3312</v>
      </c>
      <c r="O54" s="24">
        <v>2929</v>
      </c>
      <c r="P54" s="25">
        <v>427</v>
      </c>
      <c r="Q54" s="26">
        <v>2502</v>
      </c>
      <c r="R54" s="27">
        <v>4.2</v>
      </c>
      <c r="S54" s="27">
        <v>2.1</v>
      </c>
      <c r="T54" s="27">
        <v>5.2</v>
      </c>
      <c r="U54" s="28">
        <v>4</v>
      </c>
      <c r="V54" s="27">
        <v>1.8</v>
      </c>
      <c r="W54" s="27">
        <v>4.9000000000000004</v>
      </c>
      <c r="X54" s="28">
        <v>8</v>
      </c>
      <c r="Y54" s="27">
        <v>7.1</v>
      </c>
      <c r="Z54" s="27">
        <v>8.1999999999999993</v>
      </c>
      <c r="AA54" s="28">
        <v>4.5</v>
      </c>
      <c r="AB54" s="27">
        <v>2.2000000000000002</v>
      </c>
      <c r="AC54" s="27">
        <v>5.6</v>
      </c>
      <c r="AD54" s="28">
        <v>3.9</v>
      </c>
      <c r="AE54" s="27">
        <v>1.9</v>
      </c>
      <c r="AF54" s="29">
        <v>4.7</v>
      </c>
    </row>
    <row r="55" spans="1:32" ht="12.6" customHeight="1" x14ac:dyDescent="0.2">
      <c r="A55" s="158">
        <v>42185</v>
      </c>
      <c r="B55" s="30" t="s">
        <v>19</v>
      </c>
      <c r="C55" s="17">
        <v>22161</v>
      </c>
      <c r="D55" s="18">
        <v>3772</v>
      </c>
      <c r="E55" s="18">
        <v>18389</v>
      </c>
      <c r="F55" s="17">
        <v>18629</v>
      </c>
      <c r="G55" s="18">
        <v>3048</v>
      </c>
      <c r="H55" s="18">
        <v>15581</v>
      </c>
      <c r="I55" s="17">
        <v>3427</v>
      </c>
      <c r="J55" s="18">
        <v>686</v>
      </c>
      <c r="K55" s="18">
        <v>2741</v>
      </c>
      <c r="L55" s="17">
        <v>12930</v>
      </c>
      <c r="M55" s="18">
        <v>2093</v>
      </c>
      <c r="N55" s="18">
        <v>10837</v>
      </c>
      <c r="O55" s="17">
        <v>9231</v>
      </c>
      <c r="P55" s="18">
        <v>1679</v>
      </c>
      <c r="Q55" s="19">
        <v>7552</v>
      </c>
      <c r="R55" s="20">
        <v>4.8</v>
      </c>
      <c r="S55" s="20">
        <v>2.9</v>
      </c>
      <c r="T55" s="20">
        <v>5.6</v>
      </c>
      <c r="U55" s="21">
        <v>4.3</v>
      </c>
      <c r="V55" s="20">
        <v>2.4</v>
      </c>
      <c r="W55" s="20">
        <v>5.0999999999999996</v>
      </c>
      <c r="X55" s="21">
        <v>12</v>
      </c>
      <c r="Y55" s="20">
        <v>11.5</v>
      </c>
      <c r="Z55" s="20">
        <v>12.1</v>
      </c>
      <c r="AA55" s="21">
        <v>5.3</v>
      </c>
      <c r="AB55" s="20">
        <v>3</v>
      </c>
      <c r="AC55" s="20">
        <v>6.3</v>
      </c>
      <c r="AD55" s="21">
        <v>4.3</v>
      </c>
      <c r="AE55" s="20">
        <v>2.8</v>
      </c>
      <c r="AF55" s="22">
        <v>4.9000000000000004</v>
      </c>
    </row>
    <row r="56" spans="1:32" ht="12.6" hidden="1" customHeight="1" x14ac:dyDescent="0.2">
      <c r="A56" s="159"/>
      <c r="B56" s="23" t="s">
        <v>20</v>
      </c>
      <c r="C56" s="24">
        <v>4040</v>
      </c>
      <c r="D56" s="25">
        <v>669</v>
      </c>
      <c r="E56" s="25">
        <v>3371</v>
      </c>
      <c r="F56" s="24">
        <v>3466</v>
      </c>
      <c r="G56" s="25">
        <v>560</v>
      </c>
      <c r="H56" s="25">
        <v>2906</v>
      </c>
      <c r="I56" s="24">
        <v>551</v>
      </c>
      <c r="J56" s="25">
        <v>103</v>
      </c>
      <c r="K56" s="25">
        <v>448</v>
      </c>
      <c r="L56" s="24">
        <v>2367</v>
      </c>
      <c r="M56" s="25">
        <v>371</v>
      </c>
      <c r="N56" s="25">
        <v>1996</v>
      </c>
      <c r="O56" s="24">
        <v>1673</v>
      </c>
      <c r="P56" s="25">
        <v>298</v>
      </c>
      <c r="Q56" s="26">
        <v>1375</v>
      </c>
      <c r="R56" s="27">
        <v>4.8</v>
      </c>
      <c r="S56" s="27">
        <v>3.2</v>
      </c>
      <c r="T56" s="27">
        <v>5.3</v>
      </c>
      <c r="U56" s="28">
        <v>4.3</v>
      </c>
      <c r="V56" s="27">
        <v>2.8</v>
      </c>
      <c r="W56" s="27">
        <v>4.9000000000000004</v>
      </c>
      <c r="X56" s="28">
        <v>11.3</v>
      </c>
      <c r="Y56" s="27" t="s">
        <v>21</v>
      </c>
      <c r="Z56" s="27">
        <v>11.6</v>
      </c>
      <c r="AA56" s="28">
        <v>5.3</v>
      </c>
      <c r="AB56" s="27">
        <v>3.3</v>
      </c>
      <c r="AC56" s="27">
        <v>5.9</v>
      </c>
      <c r="AD56" s="28">
        <v>4.2</v>
      </c>
      <c r="AE56" s="27">
        <v>3</v>
      </c>
      <c r="AF56" s="29">
        <v>4.5999999999999996</v>
      </c>
    </row>
    <row r="57" spans="1:32" ht="12.6" hidden="1" customHeight="1" x14ac:dyDescent="0.2">
      <c r="A57" s="159"/>
      <c r="B57" s="23" t="s">
        <v>22</v>
      </c>
      <c r="C57" s="24">
        <v>7082</v>
      </c>
      <c r="D57" s="25">
        <v>1275</v>
      </c>
      <c r="E57" s="25">
        <v>5807</v>
      </c>
      <c r="F57" s="24">
        <v>5522</v>
      </c>
      <c r="G57" s="25">
        <v>936</v>
      </c>
      <c r="H57" s="25">
        <v>4586</v>
      </c>
      <c r="I57" s="24">
        <v>1516</v>
      </c>
      <c r="J57" s="25">
        <v>316</v>
      </c>
      <c r="K57" s="25">
        <v>1200</v>
      </c>
      <c r="L57" s="24">
        <v>4179</v>
      </c>
      <c r="M57" s="25">
        <v>724</v>
      </c>
      <c r="N57" s="25">
        <v>3455</v>
      </c>
      <c r="O57" s="24">
        <v>2903</v>
      </c>
      <c r="P57" s="25">
        <v>551</v>
      </c>
      <c r="Q57" s="26">
        <v>2352</v>
      </c>
      <c r="R57" s="27">
        <v>6.2</v>
      </c>
      <c r="S57" s="27">
        <v>4.2</v>
      </c>
      <c r="T57" s="27">
        <v>6.9</v>
      </c>
      <c r="U57" s="28">
        <v>5.3</v>
      </c>
      <c r="V57" s="27">
        <v>3.3</v>
      </c>
      <c r="W57" s="27">
        <v>6</v>
      </c>
      <c r="X57" s="28">
        <v>16.100000000000001</v>
      </c>
      <c r="Y57" s="27">
        <v>15.3</v>
      </c>
      <c r="Z57" s="27">
        <v>16.3</v>
      </c>
      <c r="AA57" s="28">
        <v>7</v>
      </c>
      <c r="AB57" s="27">
        <v>4.5</v>
      </c>
      <c r="AC57" s="27">
        <v>7.9</v>
      </c>
      <c r="AD57" s="28">
        <v>5.3</v>
      </c>
      <c r="AE57" s="27">
        <v>3.8</v>
      </c>
      <c r="AF57" s="29">
        <v>5.8</v>
      </c>
    </row>
    <row r="58" spans="1:32" ht="12.6" hidden="1" customHeight="1" x14ac:dyDescent="0.2">
      <c r="A58" s="159"/>
      <c r="B58" s="23" t="s">
        <v>23</v>
      </c>
      <c r="C58" s="24">
        <v>4554</v>
      </c>
      <c r="D58" s="25">
        <v>817</v>
      </c>
      <c r="E58" s="25">
        <v>3737</v>
      </c>
      <c r="F58" s="24">
        <v>3987</v>
      </c>
      <c r="G58" s="25">
        <v>696</v>
      </c>
      <c r="H58" s="25">
        <v>3291</v>
      </c>
      <c r="I58" s="24">
        <v>544</v>
      </c>
      <c r="J58" s="25">
        <v>115</v>
      </c>
      <c r="K58" s="25">
        <v>429</v>
      </c>
      <c r="L58" s="24">
        <v>2635</v>
      </c>
      <c r="M58" s="25">
        <v>433</v>
      </c>
      <c r="N58" s="25">
        <v>2202</v>
      </c>
      <c r="O58" s="24">
        <v>1919</v>
      </c>
      <c r="P58" s="25">
        <v>384</v>
      </c>
      <c r="Q58" s="26">
        <v>1535</v>
      </c>
      <c r="R58" s="27">
        <v>4.8</v>
      </c>
      <c r="S58" s="27">
        <v>2.7</v>
      </c>
      <c r="T58" s="27">
        <v>5.7</v>
      </c>
      <c r="U58" s="28">
        <v>4.4000000000000004</v>
      </c>
      <c r="V58" s="27">
        <v>2.4</v>
      </c>
      <c r="W58" s="27">
        <v>5.3</v>
      </c>
      <c r="X58" s="28">
        <v>12.8</v>
      </c>
      <c r="Y58" s="27" t="s">
        <v>21</v>
      </c>
      <c r="Z58" s="27">
        <v>12.9</v>
      </c>
      <c r="AA58" s="28">
        <v>5.0999999999999996</v>
      </c>
      <c r="AB58" s="27">
        <v>2.6</v>
      </c>
      <c r="AC58" s="27">
        <v>6.3</v>
      </c>
      <c r="AD58" s="28">
        <v>4.4000000000000004</v>
      </c>
      <c r="AE58" s="27">
        <v>2.7</v>
      </c>
      <c r="AF58" s="29">
        <v>5.0999999999999996</v>
      </c>
    </row>
    <row r="59" spans="1:32" ht="12.6" hidden="1" customHeight="1" x14ac:dyDescent="0.2">
      <c r="A59" s="159"/>
      <c r="B59" s="23" t="s">
        <v>24</v>
      </c>
      <c r="C59" s="24">
        <v>6485</v>
      </c>
      <c r="D59" s="25">
        <v>1011</v>
      </c>
      <c r="E59" s="25">
        <v>5474</v>
      </c>
      <c r="F59" s="24">
        <v>5654</v>
      </c>
      <c r="G59" s="25">
        <v>856</v>
      </c>
      <c r="H59" s="25">
        <v>4798</v>
      </c>
      <c r="I59" s="24">
        <v>816</v>
      </c>
      <c r="J59" s="25">
        <v>152</v>
      </c>
      <c r="K59" s="25">
        <v>664</v>
      </c>
      <c r="L59" s="24">
        <v>3749</v>
      </c>
      <c r="M59" s="25">
        <v>565</v>
      </c>
      <c r="N59" s="25">
        <v>3184</v>
      </c>
      <c r="O59" s="24">
        <v>2736</v>
      </c>
      <c r="P59" s="25">
        <v>446</v>
      </c>
      <c r="Q59" s="26">
        <v>2290</v>
      </c>
      <c r="R59" s="27">
        <v>4</v>
      </c>
      <c r="S59" s="27">
        <v>2.1</v>
      </c>
      <c r="T59" s="27">
        <v>4.8</v>
      </c>
      <c r="U59" s="28">
        <v>3.7</v>
      </c>
      <c r="V59" s="27">
        <v>1.8</v>
      </c>
      <c r="W59" s="27">
        <v>4.5</v>
      </c>
      <c r="X59" s="28">
        <v>8.1</v>
      </c>
      <c r="Y59" s="27">
        <v>7.8</v>
      </c>
      <c r="Z59" s="27">
        <v>8.1999999999999993</v>
      </c>
      <c r="AA59" s="28">
        <v>4.3</v>
      </c>
      <c r="AB59" s="27">
        <v>2.2000000000000002</v>
      </c>
      <c r="AC59" s="27">
        <v>5.2</v>
      </c>
      <c r="AD59" s="28">
        <v>3.6</v>
      </c>
      <c r="AE59" s="27">
        <v>2</v>
      </c>
      <c r="AF59" s="29">
        <v>4.3</v>
      </c>
    </row>
    <row r="60" spans="1:32" ht="12.6" customHeight="1" x14ac:dyDescent="0.2">
      <c r="A60" s="158">
        <v>42551</v>
      </c>
      <c r="B60" s="30" t="s">
        <v>19</v>
      </c>
      <c r="C60" s="17">
        <v>25983</v>
      </c>
      <c r="D60" s="18">
        <v>4581</v>
      </c>
      <c r="E60" s="18">
        <v>21402</v>
      </c>
      <c r="F60" s="17">
        <v>19765</v>
      </c>
      <c r="G60" s="18">
        <v>3368</v>
      </c>
      <c r="H60" s="18">
        <v>16397</v>
      </c>
      <c r="I60" s="17">
        <v>6080</v>
      </c>
      <c r="J60" s="18">
        <v>1173</v>
      </c>
      <c r="K60" s="18">
        <v>4907</v>
      </c>
      <c r="L60" s="17">
        <v>15583</v>
      </c>
      <c r="M60" s="18">
        <v>2602</v>
      </c>
      <c r="N60" s="18">
        <v>12981</v>
      </c>
      <c r="O60" s="17">
        <v>10400</v>
      </c>
      <c r="P60" s="18">
        <v>1979</v>
      </c>
      <c r="Q60" s="19">
        <v>8421</v>
      </c>
      <c r="R60" s="20">
        <v>5.6</v>
      </c>
      <c r="S60" s="20">
        <v>3.4</v>
      </c>
      <c r="T60" s="20">
        <v>6.6</v>
      </c>
      <c r="U60" s="21">
        <v>4.5999999999999996</v>
      </c>
      <c r="V60" s="20">
        <v>2.6</v>
      </c>
      <c r="W60" s="20">
        <v>5.5</v>
      </c>
      <c r="X60" s="21">
        <v>18.3</v>
      </c>
      <c r="Y60" s="20">
        <v>16.399999999999999</v>
      </c>
      <c r="Z60" s="20">
        <v>18.8</v>
      </c>
      <c r="AA60" s="21">
        <v>6.4</v>
      </c>
      <c r="AB60" s="20">
        <v>3.6</v>
      </c>
      <c r="AC60" s="20">
        <v>7.5</v>
      </c>
      <c r="AD60" s="21">
        <v>4.8</v>
      </c>
      <c r="AE60" s="20">
        <v>3.1</v>
      </c>
      <c r="AF60" s="22">
        <v>5.5</v>
      </c>
    </row>
    <row r="61" spans="1:32" ht="12.6" hidden="1" customHeight="1" x14ac:dyDescent="0.2">
      <c r="A61" s="159"/>
      <c r="B61" s="23" t="s">
        <v>20</v>
      </c>
      <c r="C61" s="24">
        <v>4997</v>
      </c>
      <c r="D61" s="25">
        <v>893</v>
      </c>
      <c r="E61" s="25">
        <v>4104</v>
      </c>
      <c r="F61" s="24">
        <v>3711</v>
      </c>
      <c r="G61" s="25">
        <v>633</v>
      </c>
      <c r="H61" s="25">
        <v>3078</v>
      </c>
      <c r="I61" s="24">
        <v>1255</v>
      </c>
      <c r="J61" s="25">
        <v>251</v>
      </c>
      <c r="K61" s="25">
        <v>1004</v>
      </c>
      <c r="L61" s="24">
        <v>3066</v>
      </c>
      <c r="M61" s="25">
        <v>494</v>
      </c>
      <c r="N61" s="25">
        <v>2572</v>
      </c>
      <c r="O61" s="24">
        <v>1931</v>
      </c>
      <c r="P61" s="25">
        <v>399</v>
      </c>
      <c r="Q61" s="26">
        <v>1532</v>
      </c>
      <c r="R61" s="27">
        <v>5.9</v>
      </c>
      <c r="S61" s="27">
        <v>4.0999999999999996</v>
      </c>
      <c r="T61" s="27">
        <v>6.5</v>
      </c>
      <c r="U61" s="28">
        <v>4.7</v>
      </c>
      <c r="V61" s="27">
        <v>3.1</v>
      </c>
      <c r="W61" s="27">
        <v>5.3</v>
      </c>
      <c r="X61" s="28">
        <v>22.5</v>
      </c>
      <c r="Y61" s="27">
        <v>21.5</v>
      </c>
      <c r="Z61" s="27">
        <v>22.7</v>
      </c>
      <c r="AA61" s="28">
        <v>6.8</v>
      </c>
      <c r="AB61" s="27">
        <v>4.4000000000000004</v>
      </c>
      <c r="AC61" s="27">
        <v>7.7</v>
      </c>
      <c r="AD61" s="28">
        <v>4.8</v>
      </c>
      <c r="AE61" s="27">
        <v>3.8</v>
      </c>
      <c r="AF61" s="29">
        <v>5.2</v>
      </c>
    </row>
    <row r="62" spans="1:32" ht="12.6" hidden="1" customHeight="1" x14ac:dyDescent="0.2">
      <c r="A62" s="159"/>
      <c r="B62" s="23" t="s">
        <v>22</v>
      </c>
      <c r="C62" s="24">
        <v>7867</v>
      </c>
      <c r="D62" s="25">
        <v>1405</v>
      </c>
      <c r="E62" s="25">
        <v>6462</v>
      </c>
      <c r="F62" s="24">
        <v>5592</v>
      </c>
      <c r="G62" s="25">
        <v>989</v>
      </c>
      <c r="H62" s="25">
        <v>4603</v>
      </c>
      <c r="I62" s="24">
        <v>2205</v>
      </c>
      <c r="J62" s="25">
        <v>395</v>
      </c>
      <c r="K62" s="25">
        <v>1810</v>
      </c>
      <c r="L62" s="24">
        <v>4778</v>
      </c>
      <c r="M62" s="25">
        <v>811</v>
      </c>
      <c r="N62" s="25">
        <v>3967</v>
      </c>
      <c r="O62" s="24">
        <v>3089</v>
      </c>
      <c r="P62" s="25">
        <v>594</v>
      </c>
      <c r="Q62" s="26">
        <v>2495</v>
      </c>
      <c r="R62" s="27">
        <v>6.8</v>
      </c>
      <c r="S62" s="27">
        <v>4.5</v>
      </c>
      <c r="T62" s="27">
        <v>7.7</v>
      </c>
      <c r="U62" s="28">
        <v>5.4</v>
      </c>
      <c r="V62" s="27">
        <v>3.4</v>
      </c>
      <c r="W62" s="27">
        <v>6.1</v>
      </c>
      <c r="X62" s="28">
        <v>20.5</v>
      </c>
      <c r="Y62" s="27">
        <v>16.5</v>
      </c>
      <c r="Z62" s="27">
        <v>21.6</v>
      </c>
      <c r="AA62" s="28">
        <v>7.9</v>
      </c>
      <c r="AB62" s="27">
        <v>5</v>
      </c>
      <c r="AC62" s="27">
        <v>9.1</v>
      </c>
      <c r="AD62" s="28">
        <v>5.6</v>
      </c>
      <c r="AE62" s="27">
        <v>4</v>
      </c>
      <c r="AF62" s="29">
        <v>6.2</v>
      </c>
    </row>
    <row r="63" spans="1:32" ht="12.6" hidden="1" customHeight="1" x14ac:dyDescent="0.2">
      <c r="A63" s="159"/>
      <c r="B63" s="23" t="s">
        <v>23</v>
      </c>
      <c r="C63" s="24">
        <v>5244</v>
      </c>
      <c r="D63" s="25">
        <v>966</v>
      </c>
      <c r="E63" s="25">
        <v>4278</v>
      </c>
      <c r="F63" s="24">
        <v>4251</v>
      </c>
      <c r="G63" s="25">
        <v>759</v>
      </c>
      <c r="H63" s="25">
        <v>3492</v>
      </c>
      <c r="I63" s="24">
        <v>968</v>
      </c>
      <c r="J63" s="25">
        <v>199</v>
      </c>
      <c r="K63" s="25">
        <v>769</v>
      </c>
      <c r="L63" s="24">
        <v>3155</v>
      </c>
      <c r="M63" s="25">
        <v>564</v>
      </c>
      <c r="N63" s="25">
        <v>2591</v>
      </c>
      <c r="O63" s="24">
        <v>2089</v>
      </c>
      <c r="P63" s="25">
        <v>402</v>
      </c>
      <c r="Q63" s="26">
        <v>1687</v>
      </c>
      <c r="R63" s="27">
        <v>5.5</v>
      </c>
      <c r="S63" s="27">
        <v>3.1</v>
      </c>
      <c r="T63" s="27">
        <v>6.6</v>
      </c>
      <c r="U63" s="28">
        <v>4.7</v>
      </c>
      <c r="V63" s="27">
        <v>2.5</v>
      </c>
      <c r="W63" s="27">
        <v>5.8</v>
      </c>
      <c r="X63" s="28">
        <v>20.2</v>
      </c>
      <c r="Y63" s="27">
        <v>19.100000000000001</v>
      </c>
      <c r="Z63" s="27">
        <v>20.6</v>
      </c>
      <c r="AA63" s="28">
        <v>6.2</v>
      </c>
      <c r="AB63" s="27">
        <v>3.4</v>
      </c>
      <c r="AC63" s="27">
        <v>7.5</v>
      </c>
      <c r="AD63" s="28">
        <v>4.7</v>
      </c>
      <c r="AE63" s="27">
        <v>2.8</v>
      </c>
      <c r="AF63" s="29">
        <v>5.7</v>
      </c>
    </row>
    <row r="64" spans="1:32" ht="12.6" hidden="1" customHeight="1" x14ac:dyDescent="0.2">
      <c r="A64" s="159"/>
      <c r="B64" s="23" t="s">
        <v>24</v>
      </c>
      <c r="C64" s="24">
        <v>7875</v>
      </c>
      <c r="D64" s="25">
        <v>1317</v>
      </c>
      <c r="E64" s="25">
        <v>6558</v>
      </c>
      <c r="F64" s="24">
        <v>6211</v>
      </c>
      <c r="G64" s="25">
        <v>987</v>
      </c>
      <c r="H64" s="25">
        <v>5224</v>
      </c>
      <c r="I64" s="24">
        <v>1652</v>
      </c>
      <c r="J64" s="25">
        <v>328</v>
      </c>
      <c r="K64" s="25">
        <v>1324</v>
      </c>
      <c r="L64" s="24">
        <v>4584</v>
      </c>
      <c r="M64" s="25">
        <v>733</v>
      </c>
      <c r="N64" s="25">
        <v>3851</v>
      </c>
      <c r="O64" s="24">
        <v>3291</v>
      </c>
      <c r="P64" s="25">
        <v>584</v>
      </c>
      <c r="Q64" s="26">
        <v>2707</v>
      </c>
      <c r="R64" s="27">
        <v>4.7</v>
      </c>
      <c r="S64" s="27">
        <v>2.6</v>
      </c>
      <c r="T64" s="27">
        <v>5.7</v>
      </c>
      <c r="U64" s="28">
        <v>4</v>
      </c>
      <c r="V64" s="27">
        <v>2</v>
      </c>
      <c r="W64" s="27">
        <v>5</v>
      </c>
      <c r="X64" s="28">
        <v>13.6</v>
      </c>
      <c r="Y64" s="27">
        <v>12.8</v>
      </c>
      <c r="Z64" s="27">
        <v>13.9</v>
      </c>
      <c r="AA64" s="28">
        <v>5.2</v>
      </c>
      <c r="AB64" s="27">
        <v>2.7</v>
      </c>
      <c r="AC64" s="27">
        <v>6.3</v>
      </c>
      <c r="AD64" s="28">
        <v>4.2</v>
      </c>
      <c r="AE64" s="27">
        <v>2.4</v>
      </c>
      <c r="AF64" s="29">
        <v>5</v>
      </c>
    </row>
    <row r="65" spans="1:32" ht="12.6" customHeight="1" x14ac:dyDescent="0.2">
      <c r="A65" s="158">
        <v>42916</v>
      </c>
      <c r="B65" s="30" t="s">
        <v>19</v>
      </c>
      <c r="C65" s="17">
        <v>25124</v>
      </c>
      <c r="D65" s="18">
        <v>4375</v>
      </c>
      <c r="E65" s="18">
        <v>20749</v>
      </c>
      <c r="F65" s="17">
        <v>18524</v>
      </c>
      <c r="G65" s="18">
        <v>3216</v>
      </c>
      <c r="H65" s="18">
        <v>15308</v>
      </c>
      <c r="I65" s="17">
        <v>6488</v>
      </c>
      <c r="J65" s="18">
        <v>1139</v>
      </c>
      <c r="K65" s="18">
        <v>5349</v>
      </c>
      <c r="L65" s="17">
        <v>15052</v>
      </c>
      <c r="M65" s="18">
        <v>2477</v>
      </c>
      <c r="N65" s="18">
        <v>12575</v>
      </c>
      <c r="O65" s="17">
        <v>10072</v>
      </c>
      <c r="P65" s="18">
        <v>1898</v>
      </c>
      <c r="Q65" s="19">
        <v>8174</v>
      </c>
      <c r="R65" s="20">
        <v>5.3</v>
      </c>
      <c r="S65" s="20">
        <v>3.1</v>
      </c>
      <c r="T65" s="20">
        <v>6.3</v>
      </c>
      <c r="U65" s="21">
        <v>4.3</v>
      </c>
      <c r="V65" s="20">
        <v>2.4</v>
      </c>
      <c r="W65" s="20">
        <v>5.2</v>
      </c>
      <c r="X65" s="21">
        <v>16.399999999999999</v>
      </c>
      <c r="Y65" s="20">
        <v>13.4</v>
      </c>
      <c r="Z65" s="22">
        <v>17.2</v>
      </c>
      <c r="AA65" s="21">
        <v>6</v>
      </c>
      <c r="AB65" s="20">
        <v>3.2</v>
      </c>
      <c r="AC65" s="20">
        <v>7.2</v>
      </c>
      <c r="AD65" s="21">
        <v>4.5999999999999996</v>
      </c>
      <c r="AE65" s="20">
        <v>2.9</v>
      </c>
      <c r="AF65" s="22">
        <v>5.3</v>
      </c>
    </row>
    <row r="66" spans="1:32" ht="12.6" hidden="1" customHeight="1" x14ac:dyDescent="0.2">
      <c r="A66" s="159"/>
      <c r="B66" s="23" t="s">
        <v>20</v>
      </c>
      <c r="C66" s="24">
        <v>5095</v>
      </c>
      <c r="D66" s="25">
        <v>859</v>
      </c>
      <c r="E66" s="25">
        <v>4236</v>
      </c>
      <c r="F66" s="24">
        <v>3659</v>
      </c>
      <c r="G66" s="25">
        <v>621</v>
      </c>
      <c r="H66" s="25">
        <v>3038</v>
      </c>
      <c r="I66" s="24">
        <v>1408</v>
      </c>
      <c r="J66" s="25">
        <v>233</v>
      </c>
      <c r="K66" s="25">
        <v>1175</v>
      </c>
      <c r="L66" s="24">
        <v>3137</v>
      </c>
      <c r="M66" s="25">
        <v>475</v>
      </c>
      <c r="N66" s="25">
        <v>2662</v>
      </c>
      <c r="O66" s="24">
        <v>1958</v>
      </c>
      <c r="P66" s="25">
        <v>384</v>
      </c>
      <c r="Q66" s="26">
        <v>1574</v>
      </c>
      <c r="R66" s="27">
        <v>5.9</v>
      </c>
      <c r="S66" s="27">
        <v>3.7</v>
      </c>
      <c r="T66" s="27">
        <v>6.7</v>
      </c>
      <c r="U66" s="28">
        <v>4.5999999999999996</v>
      </c>
      <c r="V66" s="27">
        <v>2.9</v>
      </c>
      <c r="W66" s="27">
        <v>5.3</v>
      </c>
      <c r="X66" s="28" t="s">
        <v>21</v>
      </c>
      <c r="Y66" s="27" t="s">
        <v>21</v>
      </c>
      <c r="Z66" s="29" t="s">
        <v>21</v>
      </c>
      <c r="AA66" s="28">
        <v>6.8</v>
      </c>
      <c r="AB66" s="27">
        <v>3.8</v>
      </c>
      <c r="AC66" s="27">
        <v>7.9</v>
      </c>
      <c r="AD66" s="28">
        <v>4.9000000000000004</v>
      </c>
      <c r="AE66" s="27">
        <v>3.5</v>
      </c>
      <c r="AF66" s="29">
        <v>5.4</v>
      </c>
    </row>
    <row r="67" spans="1:32" ht="12.6" hidden="1" customHeight="1" x14ac:dyDescent="0.2">
      <c r="A67" s="159"/>
      <c r="B67" s="23" t="s">
        <v>22</v>
      </c>
      <c r="C67" s="24">
        <v>7231</v>
      </c>
      <c r="D67" s="25">
        <v>1276</v>
      </c>
      <c r="E67" s="25">
        <v>5955</v>
      </c>
      <c r="F67" s="24">
        <v>5074</v>
      </c>
      <c r="G67" s="25">
        <v>882</v>
      </c>
      <c r="H67" s="25">
        <v>4192</v>
      </c>
      <c r="I67" s="24">
        <v>2114</v>
      </c>
      <c r="J67" s="25">
        <v>387</v>
      </c>
      <c r="K67" s="25">
        <v>1727</v>
      </c>
      <c r="L67" s="24">
        <v>4313</v>
      </c>
      <c r="M67" s="25">
        <v>733</v>
      </c>
      <c r="N67" s="25">
        <v>3580</v>
      </c>
      <c r="O67" s="24">
        <v>2918</v>
      </c>
      <c r="P67" s="25">
        <v>543</v>
      </c>
      <c r="Q67" s="26">
        <v>2375</v>
      </c>
      <c r="R67" s="27">
        <v>6.2</v>
      </c>
      <c r="S67" s="27">
        <v>3.9</v>
      </c>
      <c r="T67" s="27">
        <v>7.1</v>
      </c>
      <c r="U67" s="28">
        <v>4.9000000000000004</v>
      </c>
      <c r="V67" s="27">
        <v>2.9</v>
      </c>
      <c r="W67" s="27">
        <v>5.7</v>
      </c>
      <c r="X67" s="28" t="s">
        <v>21</v>
      </c>
      <c r="Y67" s="27" t="s">
        <v>21</v>
      </c>
      <c r="Z67" s="29" t="s">
        <v>21</v>
      </c>
      <c r="AA67" s="28">
        <v>7</v>
      </c>
      <c r="AB67" s="27">
        <v>4.0999999999999996</v>
      </c>
      <c r="AC67" s="27">
        <v>8.1</v>
      </c>
      <c r="AD67" s="28">
        <v>5.3</v>
      </c>
      <c r="AE67" s="27">
        <v>3.6</v>
      </c>
      <c r="AF67" s="29">
        <v>5.9</v>
      </c>
    </row>
    <row r="68" spans="1:32" ht="12.6" hidden="1" customHeight="1" x14ac:dyDescent="0.2">
      <c r="A68" s="159"/>
      <c r="B68" s="23" t="s">
        <v>23</v>
      </c>
      <c r="C68" s="24">
        <v>5222</v>
      </c>
      <c r="D68" s="25">
        <v>963</v>
      </c>
      <c r="E68" s="25">
        <v>4259</v>
      </c>
      <c r="F68" s="24">
        <v>3966</v>
      </c>
      <c r="G68" s="25">
        <v>725</v>
      </c>
      <c r="H68" s="25">
        <v>3241</v>
      </c>
      <c r="I68" s="24">
        <v>1231</v>
      </c>
      <c r="J68" s="25">
        <v>236</v>
      </c>
      <c r="K68" s="25">
        <v>995</v>
      </c>
      <c r="L68" s="24">
        <v>3178</v>
      </c>
      <c r="M68" s="25">
        <v>556</v>
      </c>
      <c r="N68" s="25">
        <v>2622</v>
      </c>
      <c r="O68" s="24">
        <v>2044</v>
      </c>
      <c r="P68" s="25">
        <v>407</v>
      </c>
      <c r="Q68" s="26">
        <v>1637</v>
      </c>
      <c r="R68" s="27">
        <v>5.4</v>
      </c>
      <c r="S68" s="27">
        <v>3</v>
      </c>
      <c r="T68" s="27">
        <v>6.6</v>
      </c>
      <c r="U68" s="28">
        <v>4.3</v>
      </c>
      <c r="V68" s="27">
        <v>2.2999999999999998</v>
      </c>
      <c r="W68" s="27">
        <v>5.4</v>
      </c>
      <c r="X68" s="28" t="s">
        <v>21</v>
      </c>
      <c r="Y68" s="27" t="s">
        <v>21</v>
      </c>
      <c r="Z68" s="29" t="s">
        <v>21</v>
      </c>
      <c r="AA68" s="28">
        <v>6</v>
      </c>
      <c r="AB68" s="27">
        <v>3.2</v>
      </c>
      <c r="AC68" s="27">
        <v>7.5</v>
      </c>
      <c r="AD68" s="28">
        <v>4.5999999999999996</v>
      </c>
      <c r="AE68" s="27">
        <v>2.7</v>
      </c>
      <c r="AF68" s="29">
        <v>5.5</v>
      </c>
    </row>
    <row r="69" spans="1:32" ht="12.6" hidden="1" customHeight="1" x14ac:dyDescent="0.2">
      <c r="A69" s="159"/>
      <c r="B69" s="23" t="s">
        <v>24</v>
      </c>
      <c r="C69" s="24">
        <v>7576</v>
      </c>
      <c r="D69" s="25">
        <v>1277</v>
      </c>
      <c r="E69" s="25">
        <v>6299</v>
      </c>
      <c r="F69" s="24">
        <v>5825</v>
      </c>
      <c r="G69" s="25">
        <v>988</v>
      </c>
      <c r="H69" s="25">
        <v>4837</v>
      </c>
      <c r="I69" s="24">
        <v>1735</v>
      </c>
      <c r="J69" s="25">
        <v>283</v>
      </c>
      <c r="K69" s="25">
        <v>1452</v>
      </c>
      <c r="L69" s="24">
        <v>4424</v>
      </c>
      <c r="M69" s="25">
        <v>713</v>
      </c>
      <c r="N69" s="25">
        <v>3711</v>
      </c>
      <c r="O69" s="24">
        <v>3152</v>
      </c>
      <c r="P69" s="25">
        <v>564</v>
      </c>
      <c r="Q69" s="26">
        <v>2588</v>
      </c>
      <c r="R69" s="27">
        <v>4.5</v>
      </c>
      <c r="S69" s="27">
        <v>2.4</v>
      </c>
      <c r="T69" s="27">
        <v>5.5</v>
      </c>
      <c r="U69" s="28">
        <v>3.8</v>
      </c>
      <c r="V69" s="27">
        <v>1.9</v>
      </c>
      <c r="W69" s="27">
        <v>4.7</v>
      </c>
      <c r="X69" s="28" t="s">
        <v>21</v>
      </c>
      <c r="Y69" s="27" t="s">
        <v>21</v>
      </c>
      <c r="Z69" s="29" t="s">
        <v>21</v>
      </c>
      <c r="AA69" s="28">
        <v>4.9000000000000004</v>
      </c>
      <c r="AB69" s="27">
        <v>2.5</v>
      </c>
      <c r="AC69" s="27">
        <v>6.1</v>
      </c>
      <c r="AD69" s="28">
        <v>4</v>
      </c>
      <c r="AE69" s="27">
        <v>2.2000000000000002</v>
      </c>
      <c r="AF69" s="29">
        <v>4.8</v>
      </c>
    </row>
    <row r="70" spans="1:32" ht="12.6" customHeight="1" x14ac:dyDescent="0.2">
      <c r="A70" s="158">
        <v>43281</v>
      </c>
      <c r="B70" s="30" t="s">
        <v>19</v>
      </c>
      <c r="C70" s="17">
        <v>22351</v>
      </c>
      <c r="D70" s="18">
        <v>4058</v>
      </c>
      <c r="E70" s="18">
        <v>18293</v>
      </c>
      <c r="F70" s="17">
        <v>16228</v>
      </c>
      <c r="G70" s="18">
        <v>2990</v>
      </c>
      <c r="H70" s="18">
        <v>13238</v>
      </c>
      <c r="I70" s="17">
        <v>5990</v>
      </c>
      <c r="J70" s="18">
        <v>1037</v>
      </c>
      <c r="K70" s="18">
        <v>4953</v>
      </c>
      <c r="L70" s="17">
        <v>13414</v>
      </c>
      <c r="M70" s="18">
        <v>2345</v>
      </c>
      <c r="N70" s="18">
        <v>11069</v>
      </c>
      <c r="O70" s="17">
        <v>8937</v>
      </c>
      <c r="P70" s="18">
        <v>1713</v>
      </c>
      <c r="Q70" s="19">
        <v>7224</v>
      </c>
      <c r="R70" s="20">
        <v>4.7</v>
      </c>
      <c r="S70" s="20">
        <v>2.9</v>
      </c>
      <c r="T70" s="20">
        <v>5.5</v>
      </c>
      <c r="U70" s="21">
        <v>3.8</v>
      </c>
      <c r="V70" s="20">
        <v>2.2999999999999998</v>
      </c>
      <c r="W70" s="20">
        <v>4.4000000000000004</v>
      </c>
      <c r="X70" s="21">
        <v>13.5</v>
      </c>
      <c r="Y70" s="20">
        <v>11.2</v>
      </c>
      <c r="Z70" s="22">
        <v>14.1</v>
      </c>
      <c r="AA70" s="21">
        <v>5.2</v>
      </c>
      <c r="AB70" s="20">
        <v>3.1</v>
      </c>
      <c r="AC70" s="20">
        <v>6.1</v>
      </c>
      <c r="AD70" s="21">
        <v>4</v>
      </c>
      <c r="AE70" s="20">
        <v>2.6</v>
      </c>
      <c r="AF70" s="22">
        <v>4.7</v>
      </c>
    </row>
    <row r="71" spans="1:32" ht="12.6" hidden="1" customHeight="1" x14ac:dyDescent="0.2">
      <c r="A71" s="159"/>
      <c r="B71" s="23" t="s">
        <v>20</v>
      </c>
      <c r="C71" s="24">
        <v>4680</v>
      </c>
      <c r="D71" s="25">
        <v>776</v>
      </c>
      <c r="E71" s="25">
        <v>3904</v>
      </c>
      <c r="F71" s="24">
        <v>3396</v>
      </c>
      <c r="G71" s="25">
        <v>573</v>
      </c>
      <c r="H71" s="25">
        <v>2823</v>
      </c>
      <c r="I71" s="24">
        <v>1255</v>
      </c>
      <c r="J71" s="25">
        <v>198</v>
      </c>
      <c r="K71" s="25">
        <v>1057</v>
      </c>
      <c r="L71" s="24">
        <v>2952</v>
      </c>
      <c r="M71" s="25">
        <v>457</v>
      </c>
      <c r="N71" s="25">
        <v>2495</v>
      </c>
      <c r="O71" s="24">
        <v>1728</v>
      </c>
      <c r="P71" s="25">
        <v>319</v>
      </c>
      <c r="Q71" s="26">
        <v>1409</v>
      </c>
      <c r="R71" s="27">
        <v>5.4</v>
      </c>
      <c r="S71" s="27">
        <v>3.4</v>
      </c>
      <c r="T71" s="27">
        <v>6.1</v>
      </c>
      <c r="U71" s="28">
        <v>4.3</v>
      </c>
      <c r="V71" s="27">
        <v>2.7</v>
      </c>
      <c r="W71" s="27">
        <v>4.9000000000000004</v>
      </c>
      <c r="X71" s="28" t="s">
        <v>21</v>
      </c>
      <c r="Y71" s="27" t="s">
        <v>21</v>
      </c>
      <c r="Z71" s="29" t="s">
        <v>21</v>
      </c>
      <c r="AA71" s="28">
        <v>6.3</v>
      </c>
      <c r="AB71" s="27">
        <v>3.8</v>
      </c>
      <c r="AC71" s="27">
        <v>7.2</v>
      </c>
      <c r="AD71" s="28">
        <v>4.3</v>
      </c>
      <c r="AE71" s="27">
        <v>3</v>
      </c>
      <c r="AF71" s="29">
        <v>4.8</v>
      </c>
    </row>
    <row r="72" spans="1:32" ht="12.6" hidden="1" customHeight="1" x14ac:dyDescent="0.2">
      <c r="A72" s="159"/>
      <c r="B72" s="23" t="s">
        <v>22</v>
      </c>
      <c r="C72" s="24">
        <v>6624</v>
      </c>
      <c r="D72" s="25">
        <v>1276</v>
      </c>
      <c r="E72" s="25">
        <v>5348</v>
      </c>
      <c r="F72" s="24">
        <v>4486</v>
      </c>
      <c r="G72" s="25">
        <v>878</v>
      </c>
      <c r="H72" s="25">
        <v>3608</v>
      </c>
      <c r="I72" s="24">
        <v>2085</v>
      </c>
      <c r="J72" s="25">
        <v>387</v>
      </c>
      <c r="K72" s="25">
        <v>1698</v>
      </c>
      <c r="L72" s="24">
        <v>3941</v>
      </c>
      <c r="M72" s="25">
        <v>748</v>
      </c>
      <c r="N72" s="25">
        <v>3193</v>
      </c>
      <c r="O72" s="24">
        <v>2683</v>
      </c>
      <c r="P72" s="25">
        <v>528</v>
      </c>
      <c r="Q72" s="26">
        <v>2155</v>
      </c>
      <c r="R72" s="27">
        <v>5.6</v>
      </c>
      <c r="S72" s="27">
        <v>3.9</v>
      </c>
      <c r="T72" s="27">
        <v>6.2</v>
      </c>
      <c r="U72" s="28">
        <v>4.3</v>
      </c>
      <c r="V72" s="27">
        <v>2.9</v>
      </c>
      <c r="W72" s="27">
        <v>4.8</v>
      </c>
      <c r="X72" s="28" t="s">
        <v>21</v>
      </c>
      <c r="Y72" s="27" t="s">
        <v>21</v>
      </c>
      <c r="Z72" s="29" t="s">
        <v>21</v>
      </c>
      <c r="AA72" s="28">
        <v>6.2</v>
      </c>
      <c r="AB72" s="27">
        <v>4.3</v>
      </c>
      <c r="AC72" s="27">
        <v>7</v>
      </c>
      <c r="AD72" s="28">
        <v>4.8</v>
      </c>
      <c r="AE72" s="27">
        <v>3.5</v>
      </c>
      <c r="AF72" s="29">
        <v>5.3</v>
      </c>
    </row>
    <row r="73" spans="1:32" ht="12.6" hidden="1" customHeight="1" x14ac:dyDescent="0.2">
      <c r="A73" s="159"/>
      <c r="B73" s="23" t="s">
        <v>23</v>
      </c>
      <c r="C73" s="24">
        <v>4558</v>
      </c>
      <c r="D73" s="25">
        <v>872</v>
      </c>
      <c r="E73" s="25">
        <v>3686</v>
      </c>
      <c r="F73" s="24">
        <v>3438</v>
      </c>
      <c r="G73" s="25">
        <v>658</v>
      </c>
      <c r="H73" s="25">
        <v>2780</v>
      </c>
      <c r="I73" s="24">
        <v>1092</v>
      </c>
      <c r="J73" s="25">
        <v>208</v>
      </c>
      <c r="K73" s="25">
        <v>884</v>
      </c>
      <c r="L73" s="24">
        <v>2776</v>
      </c>
      <c r="M73" s="25">
        <v>506</v>
      </c>
      <c r="N73" s="25">
        <v>2270</v>
      </c>
      <c r="O73" s="24">
        <v>1782</v>
      </c>
      <c r="P73" s="25">
        <v>366</v>
      </c>
      <c r="Q73" s="26">
        <v>1416</v>
      </c>
      <c r="R73" s="27">
        <v>4.5999999999999996</v>
      </c>
      <c r="S73" s="27">
        <v>2.7</v>
      </c>
      <c r="T73" s="27">
        <v>5.5</v>
      </c>
      <c r="U73" s="28">
        <v>3.7</v>
      </c>
      <c r="V73" s="27">
        <v>2.1</v>
      </c>
      <c r="W73" s="27">
        <v>4.5</v>
      </c>
      <c r="X73" s="28" t="s">
        <v>21</v>
      </c>
      <c r="Y73" s="27" t="s">
        <v>21</v>
      </c>
      <c r="Z73" s="29" t="s">
        <v>21</v>
      </c>
      <c r="AA73" s="28">
        <v>5.2</v>
      </c>
      <c r="AB73" s="27">
        <v>2.9</v>
      </c>
      <c r="AC73" s="27">
        <v>6.2</v>
      </c>
      <c r="AD73" s="28">
        <v>3.9</v>
      </c>
      <c r="AE73" s="27">
        <v>2.4</v>
      </c>
      <c r="AF73" s="29">
        <v>4.7</v>
      </c>
    </row>
    <row r="74" spans="1:32" ht="12.6" hidden="1" customHeight="1" x14ac:dyDescent="0.2">
      <c r="A74" s="159"/>
      <c r="B74" s="23" t="s">
        <v>24</v>
      </c>
      <c r="C74" s="24">
        <v>6489</v>
      </c>
      <c r="D74" s="25">
        <v>1134</v>
      </c>
      <c r="E74" s="25">
        <v>5355</v>
      </c>
      <c r="F74" s="24">
        <v>4908</v>
      </c>
      <c r="G74" s="25">
        <v>881</v>
      </c>
      <c r="H74" s="25">
        <v>4027</v>
      </c>
      <c r="I74" s="24">
        <v>1558</v>
      </c>
      <c r="J74" s="25">
        <v>244</v>
      </c>
      <c r="K74" s="25">
        <v>1314</v>
      </c>
      <c r="L74" s="24">
        <v>3745</v>
      </c>
      <c r="M74" s="25">
        <v>634</v>
      </c>
      <c r="N74" s="25">
        <v>3111</v>
      </c>
      <c r="O74" s="24">
        <v>2744</v>
      </c>
      <c r="P74" s="25">
        <v>500</v>
      </c>
      <c r="Q74" s="26">
        <v>2244</v>
      </c>
      <c r="R74" s="27">
        <v>3.8</v>
      </c>
      <c r="S74" s="27">
        <v>2.1</v>
      </c>
      <c r="T74" s="27">
        <v>4.5</v>
      </c>
      <c r="U74" s="28">
        <v>3.1</v>
      </c>
      <c r="V74" s="27">
        <v>1.8</v>
      </c>
      <c r="W74" s="27">
        <v>3.8</v>
      </c>
      <c r="X74" s="28" t="s">
        <v>21</v>
      </c>
      <c r="Y74" s="27" t="s">
        <v>21</v>
      </c>
      <c r="Z74" s="29" t="s">
        <v>21</v>
      </c>
      <c r="AA74" s="28">
        <v>4.0999999999999996</v>
      </c>
      <c r="AB74" s="27">
        <v>2.2000000000000002</v>
      </c>
      <c r="AC74" s="27">
        <v>4.9000000000000004</v>
      </c>
      <c r="AD74" s="28">
        <v>3.4</v>
      </c>
      <c r="AE74" s="27">
        <v>2</v>
      </c>
      <c r="AF74" s="29">
        <v>4.0999999999999996</v>
      </c>
    </row>
    <row r="75" spans="1:32" ht="12.6" customHeight="1" x14ac:dyDescent="0.2">
      <c r="A75" s="158">
        <v>43646</v>
      </c>
      <c r="B75" s="30" t="s">
        <v>19</v>
      </c>
      <c r="C75" s="17">
        <v>21042</v>
      </c>
      <c r="D75" s="18">
        <v>3694</v>
      </c>
      <c r="E75" s="18">
        <v>17348</v>
      </c>
      <c r="F75" s="17">
        <v>15072</v>
      </c>
      <c r="G75" s="18">
        <v>2717</v>
      </c>
      <c r="H75" s="18">
        <v>12355</v>
      </c>
      <c r="I75" s="17">
        <v>5865</v>
      </c>
      <c r="J75" s="18">
        <v>962</v>
      </c>
      <c r="K75" s="18">
        <v>4903</v>
      </c>
      <c r="L75" s="17">
        <v>12862</v>
      </c>
      <c r="M75" s="18">
        <v>2145</v>
      </c>
      <c r="N75" s="18">
        <v>10717</v>
      </c>
      <c r="O75" s="17">
        <v>8180</v>
      </c>
      <c r="P75" s="18">
        <v>1549</v>
      </c>
      <c r="Q75" s="19">
        <v>6631</v>
      </c>
      <c r="R75" s="20">
        <v>4.4000000000000004</v>
      </c>
      <c r="S75" s="20">
        <v>2.6</v>
      </c>
      <c r="T75" s="20">
        <v>5.0999999999999996</v>
      </c>
      <c r="U75" s="21">
        <v>3.5</v>
      </c>
      <c r="V75" s="20">
        <v>2.1</v>
      </c>
      <c r="W75" s="20">
        <v>4.0999999999999996</v>
      </c>
      <c r="X75" s="21">
        <v>12.1</v>
      </c>
      <c r="Y75" s="20">
        <v>9.4</v>
      </c>
      <c r="Z75" s="22">
        <v>12.8</v>
      </c>
      <c r="AA75" s="21">
        <v>5</v>
      </c>
      <c r="AB75" s="20">
        <v>2.8</v>
      </c>
      <c r="AC75" s="20">
        <v>5.8</v>
      </c>
      <c r="AD75" s="21">
        <v>3.7</v>
      </c>
      <c r="AE75" s="20">
        <v>2.4</v>
      </c>
      <c r="AF75" s="22">
        <v>4.3</v>
      </c>
    </row>
    <row r="76" spans="1:32" ht="12.6" hidden="1" customHeight="1" x14ac:dyDescent="0.2">
      <c r="A76" s="159"/>
      <c r="B76" s="23" t="s">
        <v>20</v>
      </c>
      <c r="C76" s="24">
        <v>4307</v>
      </c>
      <c r="D76" s="25">
        <v>742</v>
      </c>
      <c r="E76" s="25">
        <v>3565</v>
      </c>
      <c r="F76" s="24">
        <v>3073</v>
      </c>
      <c r="G76" s="25">
        <v>546</v>
      </c>
      <c r="H76" s="25">
        <v>2527</v>
      </c>
      <c r="I76" s="24">
        <v>1212</v>
      </c>
      <c r="J76" s="25">
        <v>192</v>
      </c>
      <c r="K76" s="25">
        <v>1020</v>
      </c>
      <c r="L76" s="24">
        <v>2709</v>
      </c>
      <c r="M76" s="25">
        <v>427</v>
      </c>
      <c r="N76" s="25">
        <v>2282</v>
      </c>
      <c r="O76" s="24">
        <v>1598</v>
      </c>
      <c r="P76" s="25">
        <v>315</v>
      </c>
      <c r="Q76" s="26">
        <v>1283</v>
      </c>
      <c r="R76" s="27">
        <v>5</v>
      </c>
      <c r="S76" s="27">
        <v>3.3</v>
      </c>
      <c r="T76" s="27">
        <v>5.5</v>
      </c>
      <c r="U76" s="28">
        <v>3.9</v>
      </c>
      <c r="V76" s="27">
        <v>2.6</v>
      </c>
      <c r="W76" s="27">
        <v>4.4000000000000004</v>
      </c>
      <c r="X76" s="28" t="s">
        <v>21</v>
      </c>
      <c r="Y76" s="27" t="s">
        <v>21</v>
      </c>
      <c r="Z76" s="29" t="s">
        <v>21</v>
      </c>
      <c r="AA76" s="28">
        <v>5.7</v>
      </c>
      <c r="AB76" s="27">
        <v>3.5</v>
      </c>
      <c r="AC76" s="27">
        <v>6.5</v>
      </c>
      <c r="AD76" s="28">
        <v>4</v>
      </c>
      <c r="AE76" s="27">
        <v>3</v>
      </c>
      <c r="AF76" s="29">
        <v>4.4000000000000004</v>
      </c>
    </row>
    <row r="77" spans="1:32" ht="12.6" hidden="1" customHeight="1" x14ac:dyDescent="0.2">
      <c r="A77" s="159"/>
      <c r="B77" s="23" t="s">
        <v>22</v>
      </c>
      <c r="C77" s="24">
        <v>6377</v>
      </c>
      <c r="D77" s="25">
        <v>1190</v>
      </c>
      <c r="E77" s="25">
        <v>5187</v>
      </c>
      <c r="F77" s="24">
        <v>4196</v>
      </c>
      <c r="G77" s="25">
        <v>819</v>
      </c>
      <c r="H77" s="25">
        <v>3377</v>
      </c>
      <c r="I77" s="24">
        <v>2142</v>
      </c>
      <c r="J77" s="25">
        <v>364</v>
      </c>
      <c r="K77" s="25">
        <v>1778</v>
      </c>
      <c r="L77" s="24">
        <v>3914</v>
      </c>
      <c r="M77" s="25">
        <v>695</v>
      </c>
      <c r="N77" s="25">
        <v>3219</v>
      </c>
      <c r="O77" s="24">
        <v>2463</v>
      </c>
      <c r="P77" s="25">
        <v>495</v>
      </c>
      <c r="Q77" s="26">
        <v>1968</v>
      </c>
      <c r="R77" s="27">
        <v>5.3</v>
      </c>
      <c r="S77" s="27">
        <v>3.7</v>
      </c>
      <c r="T77" s="27">
        <v>5.9</v>
      </c>
      <c r="U77" s="28">
        <v>4</v>
      </c>
      <c r="V77" s="27">
        <v>2.8</v>
      </c>
      <c r="W77" s="27">
        <v>4.4000000000000004</v>
      </c>
      <c r="X77" s="28" t="s">
        <v>21</v>
      </c>
      <c r="Y77" s="27" t="s">
        <v>21</v>
      </c>
      <c r="Z77" s="29" t="s">
        <v>21</v>
      </c>
      <c r="AA77" s="28">
        <v>6.1</v>
      </c>
      <c r="AB77" s="27">
        <v>4</v>
      </c>
      <c r="AC77" s="27">
        <v>6.8</v>
      </c>
      <c r="AD77" s="28">
        <v>4.4000000000000004</v>
      </c>
      <c r="AE77" s="27">
        <v>3.3</v>
      </c>
      <c r="AF77" s="29">
        <v>4.8</v>
      </c>
    </row>
    <row r="78" spans="1:32" ht="12.6" hidden="1" customHeight="1" x14ac:dyDescent="0.2">
      <c r="A78" s="159"/>
      <c r="B78" s="23" t="s">
        <v>23</v>
      </c>
      <c r="C78" s="24">
        <v>4426</v>
      </c>
      <c r="D78" s="25">
        <v>765</v>
      </c>
      <c r="E78" s="25">
        <v>3661</v>
      </c>
      <c r="F78" s="24">
        <v>3291</v>
      </c>
      <c r="G78" s="25">
        <v>582</v>
      </c>
      <c r="H78" s="25">
        <v>2709</v>
      </c>
      <c r="I78" s="24">
        <v>1107</v>
      </c>
      <c r="J78" s="25">
        <v>179</v>
      </c>
      <c r="K78" s="25">
        <v>928</v>
      </c>
      <c r="L78" s="24">
        <v>2672</v>
      </c>
      <c r="M78" s="25">
        <v>436</v>
      </c>
      <c r="N78" s="25">
        <v>2236</v>
      </c>
      <c r="O78" s="24">
        <v>1754</v>
      </c>
      <c r="P78" s="25">
        <v>329</v>
      </c>
      <c r="Q78" s="26">
        <v>1425</v>
      </c>
      <c r="R78" s="27">
        <v>4.4000000000000004</v>
      </c>
      <c r="S78" s="27">
        <v>2.4</v>
      </c>
      <c r="T78" s="27">
        <v>5.4</v>
      </c>
      <c r="U78" s="28">
        <v>3.6</v>
      </c>
      <c r="V78" s="27">
        <v>1.9</v>
      </c>
      <c r="W78" s="27">
        <v>4.4000000000000004</v>
      </c>
      <c r="X78" s="28" t="s">
        <v>21</v>
      </c>
      <c r="Y78" s="27" t="s">
        <v>21</v>
      </c>
      <c r="Z78" s="29" t="s">
        <v>21</v>
      </c>
      <c r="AA78" s="28">
        <v>4.9000000000000004</v>
      </c>
      <c r="AB78" s="27">
        <v>2.5</v>
      </c>
      <c r="AC78" s="27">
        <v>6.1</v>
      </c>
      <c r="AD78" s="28">
        <v>3.9</v>
      </c>
      <c r="AE78" s="27">
        <v>2.2000000000000002</v>
      </c>
      <c r="AF78" s="29">
        <v>4.7</v>
      </c>
    </row>
    <row r="79" spans="1:32" ht="12.6" hidden="1" customHeight="1" x14ac:dyDescent="0.2">
      <c r="A79" s="159"/>
      <c r="B79" s="23" t="s">
        <v>24</v>
      </c>
      <c r="C79" s="31">
        <v>5932</v>
      </c>
      <c r="D79" s="32">
        <v>997</v>
      </c>
      <c r="E79" s="32">
        <v>4935</v>
      </c>
      <c r="F79" s="31">
        <v>4512</v>
      </c>
      <c r="G79" s="32">
        <v>770</v>
      </c>
      <c r="H79" s="32">
        <v>3742</v>
      </c>
      <c r="I79" s="31">
        <v>1404</v>
      </c>
      <c r="J79" s="32">
        <v>227</v>
      </c>
      <c r="K79" s="32">
        <v>1177</v>
      </c>
      <c r="L79" s="31">
        <v>3567</v>
      </c>
      <c r="M79" s="32">
        <v>587</v>
      </c>
      <c r="N79" s="32">
        <v>2980</v>
      </c>
      <c r="O79" s="31">
        <v>2365</v>
      </c>
      <c r="P79" s="32">
        <v>410</v>
      </c>
      <c r="Q79" s="33">
        <v>1955</v>
      </c>
      <c r="R79" s="27">
        <v>3.4</v>
      </c>
      <c r="S79" s="27">
        <v>1.9</v>
      </c>
      <c r="T79" s="27">
        <v>4.0999999999999996</v>
      </c>
      <c r="U79" s="28">
        <v>2.9</v>
      </c>
      <c r="V79" s="27">
        <v>1.6</v>
      </c>
      <c r="W79" s="27">
        <v>3.5</v>
      </c>
      <c r="X79" s="28" t="s">
        <v>21</v>
      </c>
      <c r="Y79" s="27" t="s">
        <v>21</v>
      </c>
      <c r="Z79" s="29" t="s">
        <v>21</v>
      </c>
      <c r="AA79" s="28">
        <v>3.8</v>
      </c>
      <c r="AB79" s="27">
        <v>2</v>
      </c>
      <c r="AC79" s="27">
        <v>4.7</v>
      </c>
      <c r="AD79" s="28">
        <v>3</v>
      </c>
      <c r="AE79" s="27">
        <v>1.7</v>
      </c>
      <c r="AF79" s="29">
        <v>3.5</v>
      </c>
    </row>
    <row r="80" spans="1:32" ht="11.25" hidden="1" customHeight="1" x14ac:dyDescent="0.2">
      <c r="A80" s="34" t="s">
        <v>25</v>
      </c>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6" t="s">
        <v>26</v>
      </c>
    </row>
    <row r="82" spans="1:1" x14ac:dyDescent="0.2">
      <c r="A82" s="3" t="s">
        <v>27</v>
      </c>
    </row>
  </sheetData>
  <autoFilter ref="A13:AF80" xr:uid="{00000000-0009-0000-0000-000004000000}">
    <filterColumn colId="1">
      <filters>
        <filter val="03 Niedersachsen"/>
      </filters>
    </filterColumn>
  </autoFilter>
  <mergeCells count="30">
    <mergeCell ref="A7:AF7"/>
    <mergeCell ref="A8:Q8"/>
    <mergeCell ref="A9:Q9"/>
    <mergeCell ref="A11:A14"/>
    <mergeCell ref="B11:B14"/>
    <mergeCell ref="C11:Q11"/>
    <mergeCell ref="R11:AF11"/>
    <mergeCell ref="C12:E12"/>
    <mergeCell ref="F12:H12"/>
    <mergeCell ref="I12:K12"/>
    <mergeCell ref="AD12:AF12"/>
    <mergeCell ref="X12:Z12"/>
    <mergeCell ref="AA12:AC12"/>
    <mergeCell ref="A35:A39"/>
    <mergeCell ref="L12:N12"/>
    <mergeCell ref="O12:Q12"/>
    <mergeCell ref="R12:T12"/>
    <mergeCell ref="U12:W12"/>
    <mergeCell ref="A15:A19"/>
    <mergeCell ref="A20:A24"/>
    <mergeCell ref="A25:A29"/>
    <mergeCell ref="A30:A34"/>
    <mergeCell ref="A70:A74"/>
    <mergeCell ref="A75:A79"/>
    <mergeCell ref="A40:A44"/>
    <mergeCell ref="A45:A49"/>
    <mergeCell ref="A50:A54"/>
    <mergeCell ref="A55:A59"/>
    <mergeCell ref="A60:A64"/>
    <mergeCell ref="A65:A69"/>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2018_C6_Zeitreihe</vt:lpstr>
      <vt:lpstr>2021_Rohdaten_BA</vt:lpstr>
      <vt:lpstr>2021_Downloadtabelle_5-3-2</vt:lpstr>
      <vt:lpstr>2021_5-3-2_CSV_Vorbereitung</vt:lpstr>
      <vt:lpstr>2021_5-3-2_CSV_Export</vt:lpstr>
      <vt:lpstr>2021_5-3-2_CSV_Export2</vt:lpstr>
      <vt:lpstr>2021_5-3-2_CSV_Export_A</vt:lpstr>
      <vt:lpstr>2021_5-3-3_CSV_Export_B</vt:lpstr>
      <vt:lpstr>alte_Tabelle</vt:lpstr>
      <vt:lpstr>2018_C6_Rohdaten</vt:lpstr>
      <vt:lpstr>2018_C6_Rohdaten_2</vt:lpstr>
      <vt:lpstr>Rohdaten_BA</vt:lpstr>
    </vt:vector>
  </TitlesOfParts>
  <Company>IT.Niedersachsen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Biester, Christoph (LSN)</dc:creator>
  <cp:lastModifiedBy>Biester, Christoph (LSN)</cp:lastModifiedBy>
  <dcterms:created xsi:type="dcterms:W3CDTF">2019-07-19T09:19:36Z</dcterms:created>
  <dcterms:modified xsi:type="dcterms:W3CDTF">2021-09-29T10:56:51Z</dcterms:modified>
</cp:coreProperties>
</file>