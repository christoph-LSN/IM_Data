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helpers\test\"/>
    </mc:Choice>
  </mc:AlternateContent>
  <xr:revisionPtr revIDLastSave="0" documentId="13_ncr:1_{ADBEDB83-903C-4DC3-BD40-03B367D1366F}" xr6:coauthVersionLast="36" xr6:coauthVersionMax="36" xr10:uidLastSave="{00000000-0000-0000-0000-000000000000}"/>
  <bookViews>
    <workbookView xWindow="0" yWindow="0" windowWidth="28800" windowHeight="13110" firstSheet="1" activeTab="5" xr2:uid="{E2F3437C-59A7-410F-A07B-14F3ECB9B11D}"/>
  </bookViews>
  <sheets>
    <sheet name="Tabelle1" sheetId="1" r:id="rId1"/>
    <sheet name="Tabelle3" sheetId="3" r:id="rId2"/>
    <sheet name="Tabelle4" sheetId="4" r:id="rId3"/>
    <sheet name="2020_1-2-3_CSV_Vorbereitung" sheetId="2" r:id="rId4"/>
    <sheet name="Tabelle5" sheetId="5" r:id="rId5"/>
    <sheet name="Tabelle6" sheetId="6" r:id="rId6"/>
  </sheets>
  <externalReferences>
    <externalReference r:id="rId7"/>
    <externalReference r:id="rId8"/>
    <externalReference r:id="rId9"/>
  </externalReferences>
  <definedNames>
    <definedName name="_xlnm._FilterDatabase" localSheetId="1" hidden="1">Tabelle3!$A$8:$Z$1280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3" i="5" l="1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262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10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158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06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54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2" i="5"/>
  <c r="A263" i="2" l="1"/>
  <c r="C263" i="2" s="1"/>
  <c r="B263" i="2"/>
  <c r="E263" i="2"/>
  <c r="F263" i="2"/>
  <c r="A264" i="2"/>
  <c r="C264" i="2" s="1"/>
  <c r="B264" i="2"/>
  <c r="F264" i="2"/>
  <c r="A265" i="2"/>
  <c r="E265" i="2" s="1"/>
  <c r="B265" i="2"/>
  <c r="C265" i="2"/>
  <c r="F265" i="2"/>
  <c r="A266" i="2"/>
  <c r="B266" i="2"/>
  <c r="C266" i="2"/>
  <c r="E266" i="2"/>
  <c r="F266" i="2"/>
  <c r="A267" i="2"/>
  <c r="C267" i="2" s="1"/>
  <c r="B267" i="2"/>
  <c r="E267" i="2"/>
  <c r="F267" i="2"/>
  <c r="A268" i="2"/>
  <c r="C268" i="2" s="1"/>
  <c r="B268" i="2"/>
  <c r="F268" i="2"/>
  <c r="A269" i="2"/>
  <c r="E269" i="2" s="1"/>
  <c r="B269" i="2"/>
  <c r="C269" i="2"/>
  <c r="F269" i="2"/>
  <c r="A270" i="2"/>
  <c r="B270" i="2"/>
  <c r="C270" i="2"/>
  <c r="E270" i="2"/>
  <c r="F270" i="2"/>
  <c r="A271" i="2"/>
  <c r="C271" i="2" s="1"/>
  <c r="B271" i="2"/>
  <c r="E271" i="2"/>
  <c r="F271" i="2"/>
  <c r="A272" i="2"/>
  <c r="C272" i="2" s="1"/>
  <c r="B272" i="2"/>
  <c r="F272" i="2"/>
  <c r="A273" i="2"/>
  <c r="E273" i="2" s="1"/>
  <c r="B273" i="2"/>
  <c r="C273" i="2"/>
  <c r="F273" i="2"/>
  <c r="A274" i="2"/>
  <c r="B274" i="2"/>
  <c r="C274" i="2"/>
  <c r="E274" i="2"/>
  <c r="F274" i="2"/>
  <c r="A275" i="2"/>
  <c r="C275" i="2" s="1"/>
  <c r="B275" i="2"/>
  <c r="E275" i="2"/>
  <c r="F275" i="2"/>
  <c r="A276" i="2"/>
  <c r="C276" i="2" s="1"/>
  <c r="B276" i="2"/>
  <c r="F276" i="2"/>
  <c r="A277" i="2"/>
  <c r="E277" i="2" s="1"/>
  <c r="B277" i="2"/>
  <c r="C277" i="2"/>
  <c r="F277" i="2"/>
  <c r="A278" i="2"/>
  <c r="B278" i="2"/>
  <c r="C278" i="2"/>
  <c r="E278" i="2"/>
  <c r="F278" i="2"/>
  <c r="A279" i="2"/>
  <c r="B279" i="2"/>
  <c r="C279" i="2"/>
  <c r="E279" i="2"/>
  <c r="F279" i="2"/>
  <c r="A280" i="2"/>
  <c r="C280" i="2" s="1"/>
  <c r="B280" i="2"/>
  <c r="F280" i="2"/>
  <c r="A281" i="2"/>
  <c r="E281" i="2" s="1"/>
  <c r="B281" i="2"/>
  <c r="C281" i="2"/>
  <c r="F281" i="2"/>
  <c r="A282" i="2"/>
  <c r="B282" i="2"/>
  <c r="C282" i="2"/>
  <c r="E282" i="2"/>
  <c r="F282" i="2"/>
  <c r="A283" i="2"/>
  <c r="B283" i="2"/>
  <c r="C283" i="2"/>
  <c r="E283" i="2"/>
  <c r="F283" i="2"/>
  <c r="A284" i="2"/>
  <c r="C284" i="2" s="1"/>
  <c r="B284" i="2"/>
  <c r="F284" i="2"/>
  <c r="A285" i="2"/>
  <c r="E285" i="2" s="1"/>
  <c r="B285" i="2"/>
  <c r="C285" i="2"/>
  <c r="F285" i="2"/>
  <c r="A286" i="2"/>
  <c r="B286" i="2"/>
  <c r="C286" i="2"/>
  <c r="E286" i="2"/>
  <c r="F286" i="2"/>
  <c r="A287" i="2"/>
  <c r="B287" i="2"/>
  <c r="C287" i="2"/>
  <c r="E287" i="2"/>
  <c r="F287" i="2"/>
  <c r="A288" i="2"/>
  <c r="C288" i="2" s="1"/>
  <c r="B288" i="2"/>
  <c r="F288" i="2"/>
  <c r="A289" i="2"/>
  <c r="E289" i="2" s="1"/>
  <c r="B289" i="2"/>
  <c r="C289" i="2"/>
  <c r="F289" i="2"/>
  <c r="A290" i="2"/>
  <c r="B290" i="2"/>
  <c r="C290" i="2"/>
  <c r="E290" i="2"/>
  <c r="F290" i="2"/>
  <c r="A291" i="2"/>
  <c r="B291" i="2"/>
  <c r="C291" i="2"/>
  <c r="E291" i="2"/>
  <c r="F291" i="2"/>
  <c r="A292" i="2"/>
  <c r="C292" i="2" s="1"/>
  <c r="B292" i="2"/>
  <c r="F292" i="2"/>
  <c r="A293" i="2"/>
  <c r="E293" i="2" s="1"/>
  <c r="B293" i="2"/>
  <c r="C293" i="2"/>
  <c r="F293" i="2"/>
  <c r="A294" i="2"/>
  <c r="B294" i="2"/>
  <c r="C294" i="2"/>
  <c r="E294" i="2"/>
  <c r="F294" i="2"/>
  <c r="A295" i="2"/>
  <c r="B295" i="2"/>
  <c r="C295" i="2"/>
  <c r="E295" i="2"/>
  <c r="F295" i="2"/>
  <c r="A296" i="2"/>
  <c r="C296" i="2" s="1"/>
  <c r="B296" i="2"/>
  <c r="F296" i="2"/>
  <c r="A297" i="2"/>
  <c r="E297" i="2" s="1"/>
  <c r="B297" i="2"/>
  <c r="C297" i="2"/>
  <c r="F297" i="2"/>
  <c r="A298" i="2"/>
  <c r="B298" i="2"/>
  <c r="C298" i="2"/>
  <c r="E298" i="2"/>
  <c r="F298" i="2"/>
  <c r="A299" i="2"/>
  <c r="B299" i="2"/>
  <c r="C299" i="2"/>
  <c r="E299" i="2"/>
  <c r="F299" i="2"/>
  <c r="A300" i="2"/>
  <c r="C300" i="2" s="1"/>
  <c r="B300" i="2"/>
  <c r="F300" i="2"/>
  <c r="A301" i="2"/>
  <c r="E301" i="2" s="1"/>
  <c r="B301" i="2"/>
  <c r="C301" i="2"/>
  <c r="F301" i="2"/>
  <c r="A302" i="2"/>
  <c r="B302" i="2"/>
  <c r="C302" i="2"/>
  <c r="E302" i="2"/>
  <c r="F302" i="2"/>
  <c r="A303" i="2"/>
  <c r="B303" i="2"/>
  <c r="C303" i="2"/>
  <c r="E303" i="2"/>
  <c r="F303" i="2"/>
  <c r="A304" i="2"/>
  <c r="C304" i="2" s="1"/>
  <c r="B304" i="2"/>
  <c r="F304" i="2"/>
  <c r="A305" i="2"/>
  <c r="E305" i="2" s="1"/>
  <c r="B305" i="2"/>
  <c r="C305" i="2"/>
  <c r="F305" i="2"/>
  <c r="A306" i="2"/>
  <c r="B306" i="2"/>
  <c r="C306" i="2"/>
  <c r="E306" i="2"/>
  <c r="F306" i="2"/>
  <c r="A307" i="2"/>
  <c r="B307" i="2"/>
  <c r="C307" i="2"/>
  <c r="E307" i="2"/>
  <c r="F307" i="2"/>
  <c r="A308" i="2"/>
  <c r="C308" i="2" s="1"/>
  <c r="B308" i="2"/>
  <c r="F308" i="2"/>
  <c r="A309" i="2"/>
  <c r="E309" i="2" s="1"/>
  <c r="B309" i="2"/>
  <c r="C309" i="2"/>
  <c r="F309" i="2"/>
  <c r="A310" i="2"/>
  <c r="B310" i="2"/>
  <c r="C310" i="2"/>
  <c r="E310" i="2"/>
  <c r="F310" i="2"/>
  <c r="A311" i="2"/>
  <c r="B311" i="2"/>
  <c r="C311" i="2"/>
  <c r="E311" i="2"/>
  <c r="F311" i="2"/>
  <c r="A312" i="2"/>
  <c r="C312" i="2" s="1"/>
  <c r="B312" i="2"/>
  <c r="F312" i="2"/>
  <c r="A313" i="2"/>
  <c r="E313" i="2" s="1"/>
  <c r="B313" i="2"/>
  <c r="C313" i="2"/>
  <c r="F313" i="2"/>
  <c r="F262" i="2"/>
  <c r="B262" i="2"/>
  <c r="A262" i="2"/>
  <c r="E262" i="2" s="1"/>
  <c r="A256" i="2"/>
  <c r="C256" i="2" s="1"/>
  <c r="B256" i="2"/>
  <c r="E256" i="2"/>
  <c r="F256" i="2"/>
  <c r="A257" i="2"/>
  <c r="C257" i="2" s="1"/>
  <c r="B257" i="2"/>
  <c r="F257" i="2"/>
  <c r="A258" i="2"/>
  <c r="E258" i="2" s="1"/>
  <c r="B258" i="2"/>
  <c r="F258" i="2"/>
  <c r="A259" i="2"/>
  <c r="B259" i="2"/>
  <c r="C259" i="2"/>
  <c r="E259" i="2"/>
  <c r="F259" i="2"/>
  <c r="A260" i="2"/>
  <c r="B260" i="2"/>
  <c r="C260" i="2"/>
  <c r="E260" i="2"/>
  <c r="F260" i="2"/>
  <c r="A261" i="2"/>
  <c r="C261" i="2" s="1"/>
  <c r="B261" i="2"/>
  <c r="F261" i="2"/>
  <c r="A211" i="2"/>
  <c r="B211" i="2"/>
  <c r="C211" i="2"/>
  <c r="E211" i="2"/>
  <c r="F211" i="2"/>
  <c r="A212" i="2"/>
  <c r="C212" i="2" s="1"/>
  <c r="B212" i="2"/>
  <c r="F212" i="2"/>
  <c r="A213" i="2"/>
  <c r="E213" i="2" s="1"/>
  <c r="B213" i="2"/>
  <c r="C213" i="2"/>
  <c r="F213" i="2"/>
  <c r="A214" i="2"/>
  <c r="B214" i="2"/>
  <c r="C214" i="2"/>
  <c r="E214" i="2"/>
  <c r="F214" i="2"/>
  <c r="A215" i="2"/>
  <c r="B215" i="2"/>
  <c r="C215" i="2"/>
  <c r="E215" i="2"/>
  <c r="F215" i="2"/>
  <c r="A216" i="2"/>
  <c r="C216" i="2" s="1"/>
  <c r="B216" i="2"/>
  <c r="F216" i="2"/>
  <c r="A217" i="2"/>
  <c r="E217" i="2" s="1"/>
  <c r="B217" i="2"/>
  <c r="C217" i="2"/>
  <c r="F217" i="2"/>
  <c r="A218" i="2"/>
  <c r="B218" i="2"/>
  <c r="C218" i="2"/>
  <c r="E218" i="2"/>
  <c r="F218" i="2"/>
  <c r="A219" i="2"/>
  <c r="B219" i="2"/>
  <c r="C219" i="2"/>
  <c r="E219" i="2"/>
  <c r="F219" i="2"/>
  <c r="A220" i="2"/>
  <c r="C220" i="2" s="1"/>
  <c r="B220" i="2"/>
  <c r="F220" i="2"/>
  <c r="A221" i="2"/>
  <c r="E221" i="2" s="1"/>
  <c r="B221" i="2"/>
  <c r="C221" i="2"/>
  <c r="F221" i="2"/>
  <c r="A222" i="2"/>
  <c r="B222" i="2"/>
  <c r="C222" i="2"/>
  <c r="E222" i="2"/>
  <c r="F222" i="2"/>
  <c r="A223" i="2"/>
  <c r="B223" i="2"/>
  <c r="C223" i="2"/>
  <c r="E223" i="2"/>
  <c r="F223" i="2"/>
  <c r="A224" i="2"/>
  <c r="C224" i="2" s="1"/>
  <c r="B224" i="2"/>
  <c r="F224" i="2"/>
  <c r="A225" i="2"/>
  <c r="E225" i="2" s="1"/>
  <c r="B225" i="2"/>
  <c r="C225" i="2"/>
  <c r="F225" i="2"/>
  <c r="A226" i="2"/>
  <c r="B226" i="2"/>
  <c r="C226" i="2"/>
  <c r="E226" i="2"/>
  <c r="F226" i="2"/>
  <c r="A227" i="2"/>
  <c r="B227" i="2"/>
  <c r="C227" i="2"/>
  <c r="E227" i="2"/>
  <c r="F227" i="2"/>
  <c r="A228" i="2"/>
  <c r="C228" i="2" s="1"/>
  <c r="B228" i="2"/>
  <c r="F228" i="2"/>
  <c r="A229" i="2"/>
  <c r="E229" i="2" s="1"/>
  <c r="B229" i="2"/>
  <c r="C229" i="2"/>
  <c r="F229" i="2"/>
  <c r="A230" i="2"/>
  <c r="B230" i="2"/>
  <c r="C230" i="2"/>
  <c r="E230" i="2"/>
  <c r="F230" i="2"/>
  <c r="A231" i="2"/>
  <c r="B231" i="2"/>
  <c r="C231" i="2"/>
  <c r="E231" i="2"/>
  <c r="F231" i="2"/>
  <c r="A232" i="2"/>
  <c r="C232" i="2" s="1"/>
  <c r="B232" i="2"/>
  <c r="F232" i="2"/>
  <c r="A233" i="2"/>
  <c r="E233" i="2" s="1"/>
  <c r="B233" i="2"/>
  <c r="C233" i="2"/>
  <c r="F233" i="2"/>
  <c r="A234" i="2"/>
  <c r="B234" i="2"/>
  <c r="C234" i="2"/>
  <c r="E234" i="2"/>
  <c r="F234" i="2"/>
  <c r="A235" i="2"/>
  <c r="B235" i="2"/>
  <c r="C235" i="2"/>
  <c r="E235" i="2"/>
  <c r="F235" i="2"/>
  <c r="A236" i="2"/>
  <c r="C236" i="2" s="1"/>
  <c r="B236" i="2"/>
  <c r="F236" i="2"/>
  <c r="A237" i="2"/>
  <c r="E237" i="2" s="1"/>
  <c r="B237" i="2"/>
  <c r="C237" i="2"/>
  <c r="F237" i="2"/>
  <c r="A238" i="2"/>
  <c r="B238" i="2"/>
  <c r="C238" i="2"/>
  <c r="E238" i="2"/>
  <c r="F238" i="2"/>
  <c r="A239" i="2"/>
  <c r="B239" i="2"/>
  <c r="C239" i="2"/>
  <c r="E239" i="2"/>
  <c r="F239" i="2"/>
  <c r="A240" i="2"/>
  <c r="C240" i="2" s="1"/>
  <c r="B240" i="2"/>
  <c r="F240" i="2"/>
  <c r="A241" i="2"/>
  <c r="E241" i="2" s="1"/>
  <c r="B241" i="2"/>
  <c r="C241" i="2"/>
  <c r="F241" i="2"/>
  <c r="A242" i="2"/>
  <c r="B242" i="2"/>
  <c r="C242" i="2"/>
  <c r="E242" i="2"/>
  <c r="F242" i="2"/>
  <c r="A243" i="2"/>
  <c r="B243" i="2"/>
  <c r="C243" i="2"/>
  <c r="E243" i="2"/>
  <c r="F243" i="2"/>
  <c r="A244" i="2"/>
  <c r="C244" i="2" s="1"/>
  <c r="B244" i="2"/>
  <c r="F244" i="2"/>
  <c r="A245" i="2"/>
  <c r="E245" i="2" s="1"/>
  <c r="B245" i="2"/>
  <c r="C245" i="2"/>
  <c r="F245" i="2"/>
  <c r="A246" i="2"/>
  <c r="B246" i="2"/>
  <c r="C246" i="2"/>
  <c r="E246" i="2"/>
  <c r="F246" i="2"/>
  <c r="A247" i="2"/>
  <c r="B247" i="2"/>
  <c r="C247" i="2"/>
  <c r="E247" i="2"/>
  <c r="F247" i="2"/>
  <c r="A248" i="2"/>
  <c r="C248" i="2" s="1"/>
  <c r="B248" i="2"/>
  <c r="F248" i="2"/>
  <c r="A249" i="2"/>
  <c r="E249" i="2" s="1"/>
  <c r="B249" i="2"/>
  <c r="C249" i="2"/>
  <c r="F249" i="2"/>
  <c r="A250" i="2"/>
  <c r="B250" i="2"/>
  <c r="C250" i="2"/>
  <c r="E250" i="2"/>
  <c r="F250" i="2"/>
  <c r="A251" i="2"/>
  <c r="B251" i="2"/>
  <c r="C251" i="2"/>
  <c r="E251" i="2"/>
  <c r="F251" i="2"/>
  <c r="A252" i="2"/>
  <c r="C252" i="2" s="1"/>
  <c r="B252" i="2"/>
  <c r="F252" i="2"/>
  <c r="A253" i="2"/>
  <c r="E253" i="2" s="1"/>
  <c r="B253" i="2"/>
  <c r="C253" i="2"/>
  <c r="F253" i="2"/>
  <c r="A254" i="2"/>
  <c r="B254" i="2"/>
  <c r="C254" i="2"/>
  <c r="E254" i="2"/>
  <c r="F254" i="2"/>
  <c r="A255" i="2"/>
  <c r="B255" i="2"/>
  <c r="C255" i="2"/>
  <c r="E255" i="2"/>
  <c r="F255" i="2"/>
  <c r="F210" i="2"/>
  <c r="B210" i="2"/>
  <c r="A210" i="2"/>
  <c r="A196" i="2"/>
  <c r="C196" i="2" s="1"/>
  <c r="B196" i="2"/>
  <c r="F196" i="2"/>
  <c r="A197" i="2"/>
  <c r="C197" i="2" s="1"/>
  <c r="B197" i="2"/>
  <c r="F197" i="2"/>
  <c r="A198" i="2"/>
  <c r="B198" i="2"/>
  <c r="C198" i="2"/>
  <c r="E198" i="2"/>
  <c r="F198" i="2"/>
  <c r="A199" i="2"/>
  <c r="B199" i="2"/>
  <c r="C199" i="2"/>
  <c r="E199" i="2"/>
  <c r="F199" i="2"/>
  <c r="A200" i="2"/>
  <c r="C200" i="2" s="1"/>
  <c r="B200" i="2"/>
  <c r="F200" i="2"/>
  <c r="A201" i="2"/>
  <c r="C201" i="2" s="1"/>
  <c r="B201" i="2"/>
  <c r="F201" i="2"/>
  <c r="A202" i="2"/>
  <c r="B202" i="2"/>
  <c r="C202" i="2"/>
  <c r="E202" i="2"/>
  <c r="F202" i="2"/>
  <c r="A203" i="2"/>
  <c r="B203" i="2"/>
  <c r="C203" i="2"/>
  <c r="E203" i="2"/>
  <c r="F203" i="2"/>
  <c r="A204" i="2"/>
  <c r="C204" i="2" s="1"/>
  <c r="B204" i="2"/>
  <c r="F204" i="2"/>
  <c r="A205" i="2"/>
  <c r="C205" i="2" s="1"/>
  <c r="B205" i="2"/>
  <c r="F205" i="2"/>
  <c r="A206" i="2"/>
  <c r="B206" i="2"/>
  <c r="C206" i="2"/>
  <c r="E206" i="2"/>
  <c r="F206" i="2"/>
  <c r="A207" i="2"/>
  <c r="B207" i="2"/>
  <c r="C207" i="2"/>
  <c r="E207" i="2"/>
  <c r="F207" i="2"/>
  <c r="A208" i="2"/>
  <c r="C208" i="2" s="1"/>
  <c r="B208" i="2"/>
  <c r="E208" i="2"/>
  <c r="F208" i="2"/>
  <c r="A209" i="2"/>
  <c r="C209" i="2" s="1"/>
  <c r="B209" i="2"/>
  <c r="F209" i="2"/>
  <c r="E210" i="2"/>
  <c r="C210" i="2"/>
  <c r="A159" i="2"/>
  <c r="C159" i="2" s="1"/>
  <c r="B159" i="2"/>
  <c r="E159" i="2"/>
  <c r="F159" i="2"/>
  <c r="A160" i="2"/>
  <c r="C160" i="2" s="1"/>
  <c r="B160" i="2"/>
  <c r="F160" i="2"/>
  <c r="A161" i="2"/>
  <c r="E161" i="2" s="1"/>
  <c r="B161" i="2"/>
  <c r="C161" i="2"/>
  <c r="F161" i="2"/>
  <c r="A162" i="2"/>
  <c r="B162" i="2"/>
  <c r="C162" i="2"/>
  <c r="E162" i="2"/>
  <c r="F162" i="2"/>
  <c r="A163" i="2"/>
  <c r="B163" i="2"/>
  <c r="C163" i="2"/>
  <c r="E163" i="2"/>
  <c r="F163" i="2"/>
  <c r="A164" i="2"/>
  <c r="C164" i="2" s="1"/>
  <c r="B164" i="2"/>
  <c r="F164" i="2"/>
  <c r="A165" i="2"/>
  <c r="E165" i="2" s="1"/>
  <c r="B165" i="2"/>
  <c r="C165" i="2"/>
  <c r="F165" i="2"/>
  <c r="A166" i="2"/>
  <c r="B166" i="2"/>
  <c r="C166" i="2"/>
  <c r="E166" i="2"/>
  <c r="F166" i="2"/>
  <c r="A167" i="2"/>
  <c r="B167" i="2"/>
  <c r="C167" i="2"/>
  <c r="E167" i="2"/>
  <c r="F167" i="2"/>
  <c r="A168" i="2"/>
  <c r="C168" i="2" s="1"/>
  <c r="B168" i="2"/>
  <c r="F168" i="2"/>
  <c r="A169" i="2"/>
  <c r="E169" i="2" s="1"/>
  <c r="B169" i="2"/>
  <c r="C169" i="2"/>
  <c r="F169" i="2"/>
  <c r="A170" i="2"/>
  <c r="B170" i="2"/>
  <c r="C170" i="2"/>
  <c r="E170" i="2"/>
  <c r="F170" i="2"/>
  <c r="A171" i="2"/>
  <c r="B171" i="2"/>
  <c r="C171" i="2"/>
  <c r="E171" i="2"/>
  <c r="F171" i="2"/>
  <c r="A172" i="2"/>
  <c r="C172" i="2" s="1"/>
  <c r="B172" i="2"/>
  <c r="F172" i="2"/>
  <c r="A173" i="2"/>
  <c r="E173" i="2" s="1"/>
  <c r="B173" i="2"/>
  <c r="C173" i="2"/>
  <c r="F173" i="2"/>
  <c r="A174" i="2"/>
  <c r="B174" i="2"/>
  <c r="C174" i="2"/>
  <c r="E174" i="2"/>
  <c r="F174" i="2"/>
  <c r="A175" i="2"/>
  <c r="B175" i="2"/>
  <c r="C175" i="2"/>
  <c r="E175" i="2"/>
  <c r="F175" i="2"/>
  <c r="A176" i="2"/>
  <c r="C176" i="2" s="1"/>
  <c r="B176" i="2"/>
  <c r="F176" i="2"/>
  <c r="A177" i="2"/>
  <c r="E177" i="2" s="1"/>
  <c r="B177" i="2"/>
  <c r="C177" i="2"/>
  <c r="F177" i="2"/>
  <c r="A178" i="2"/>
  <c r="B178" i="2"/>
  <c r="C178" i="2"/>
  <c r="E178" i="2"/>
  <c r="F178" i="2"/>
  <c r="A179" i="2"/>
  <c r="B179" i="2"/>
  <c r="C179" i="2"/>
  <c r="E179" i="2"/>
  <c r="F179" i="2"/>
  <c r="A180" i="2"/>
  <c r="C180" i="2" s="1"/>
  <c r="B180" i="2"/>
  <c r="F180" i="2"/>
  <c r="A181" i="2"/>
  <c r="E181" i="2" s="1"/>
  <c r="B181" i="2"/>
  <c r="C181" i="2"/>
  <c r="F181" i="2"/>
  <c r="A182" i="2"/>
  <c r="B182" i="2"/>
  <c r="C182" i="2"/>
  <c r="E182" i="2"/>
  <c r="F182" i="2"/>
  <c r="A183" i="2"/>
  <c r="B183" i="2"/>
  <c r="C183" i="2"/>
  <c r="E183" i="2"/>
  <c r="F183" i="2"/>
  <c r="A184" i="2"/>
  <c r="C184" i="2" s="1"/>
  <c r="B184" i="2"/>
  <c r="F184" i="2"/>
  <c r="A185" i="2"/>
  <c r="E185" i="2" s="1"/>
  <c r="B185" i="2"/>
  <c r="C185" i="2"/>
  <c r="F185" i="2"/>
  <c r="A186" i="2"/>
  <c r="B186" i="2"/>
  <c r="C186" i="2"/>
  <c r="E186" i="2"/>
  <c r="F186" i="2"/>
  <c r="A187" i="2"/>
  <c r="B187" i="2"/>
  <c r="C187" i="2"/>
  <c r="E187" i="2"/>
  <c r="F187" i="2"/>
  <c r="A188" i="2"/>
  <c r="C188" i="2" s="1"/>
  <c r="B188" i="2"/>
  <c r="F188" i="2"/>
  <c r="A189" i="2"/>
  <c r="E189" i="2" s="1"/>
  <c r="B189" i="2"/>
  <c r="C189" i="2"/>
  <c r="F189" i="2"/>
  <c r="A190" i="2"/>
  <c r="B190" i="2"/>
  <c r="C190" i="2"/>
  <c r="E190" i="2"/>
  <c r="F190" i="2"/>
  <c r="A191" i="2"/>
  <c r="B191" i="2"/>
  <c r="C191" i="2"/>
  <c r="E191" i="2"/>
  <c r="F191" i="2"/>
  <c r="A192" i="2"/>
  <c r="C192" i="2" s="1"/>
  <c r="B192" i="2"/>
  <c r="F192" i="2"/>
  <c r="A193" i="2"/>
  <c r="E193" i="2" s="1"/>
  <c r="B193" i="2"/>
  <c r="C193" i="2"/>
  <c r="F193" i="2"/>
  <c r="A194" i="2"/>
  <c r="B194" i="2"/>
  <c r="C194" i="2"/>
  <c r="E194" i="2"/>
  <c r="F194" i="2"/>
  <c r="A195" i="2"/>
  <c r="B195" i="2"/>
  <c r="C195" i="2"/>
  <c r="E195" i="2"/>
  <c r="F195" i="2"/>
  <c r="F158" i="2"/>
  <c r="B158" i="2"/>
  <c r="A158" i="2"/>
  <c r="C158" i="2"/>
  <c r="A149" i="2"/>
  <c r="C149" i="2" s="1"/>
  <c r="B149" i="2"/>
  <c r="F149" i="2"/>
  <c r="A150" i="2"/>
  <c r="C150" i="2" s="1"/>
  <c r="B150" i="2"/>
  <c r="F150" i="2"/>
  <c r="A151" i="2"/>
  <c r="B151" i="2"/>
  <c r="C151" i="2"/>
  <c r="E151" i="2"/>
  <c r="F151" i="2"/>
  <c r="A152" i="2"/>
  <c r="C152" i="2" s="1"/>
  <c r="B152" i="2"/>
  <c r="E152" i="2"/>
  <c r="F152" i="2"/>
  <c r="A153" i="2"/>
  <c r="C153" i="2" s="1"/>
  <c r="B153" i="2"/>
  <c r="F153" i="2"/>
  <c r="A154" i="2"/>
  <c r="C154" i="2" s="1"/>
  <c r="B154" i="2"/>
  <c r="F154" i="2"/>
  <c r="A155" i="2"/>
  <c r="B155" i="2"/>
  <c r="C155" i="2"/>
  <c r="E155" i="2"/>
  <c r="F155" i="2"/>
  <c r="A156" i="2"/>
  <c r="C156" i="2" s="1"/>
  <c r="B156" i="2"/>
  <c r="E156" i="2"/>
  <c r="F156" i="2"/>
  <c r="A157" i="2"/>
  <c r="C157" i="2" s="1"/>
  <c r="B157" i="2"/>
  <c r="F157" i="2"/>
  <c r="A107" i="2"/>
  <c r="B107" i="2"/>
  <c r="C107" i="2"/>
  <c r="E107" i="2"/>
  <c r="F107" i="2"/>
  <c r="A108" i="2"/>
  <c r="C108" i="2" s="1"/>
  <c r="B108" i="2"/>
  <c r="F108" i="2"/>
  <c r="A109" i="2"/>
  <c r="E109" i="2" s="1"/>
  <c r="B109" i="2"/>
  <c r="C109" i="2"/>
  <c r="F109" i="2"/>
  <c r="A110" i="2"/>
  <c r="B110" i="2"/>
  <c r="C110" i="2"/>
  <c r="E110" i="2"/>
  <c r="F110" i="2"/>
  <c r="A111" i="2"/>
  <c r="B111" i="2"/>
  <c r="C111" i="2"/>
  <c r="E111" i="2"/>
  <c r="F111" i="2"/>
  <c r="A112" i="2"/>
  <c r="C112" i="2" s="1"/>
  <c r="B112" i="2"/>
  <c r="F112" i="2"/>
  <c r="A113" i="2"/>
  <c r="E113" i="2" s="1"/>
  <c r="B113" i="2"/>
  <c r="C113" i="2"/>
  <c r="F113" i="2"/>
  <c r="A114" i="2"/>
  <c r="B114" i="2"/>
  <c r="C114" i="2"/>
  <c r="E114" i="2"/>
  <c r="F114" i="2"/>
  <c r="A115" i="2"/>
  <c r="B115" i="2"/>
  <c r="C115" i="2"/>
  <c r="E115" i="2"/>
  <c r="F115" i="2"/>
  <c r="A116" i="2"/>
  <c r="C116" i="2" s="1"/>
  <c r="B116" i="2"/>
  <c r="F116" i="2"/>
  <c r="A117" i="2"/>
  <c r="E117" i="2" s="1"/>
  <c r="B117" i="2"/>
  <c r="C117" i="2"/>
  <c r="F117" i="2"/>
  <c r="A118" i="2"/>
  <c r="B118" i="2"/>
  <c r="C118" i="2"/>
  <c r="E118" i="2"/>
  <c r="F118" i="2"/>
  <c r="A119" i="2"/>
  <c r="B119" i="2"/>
  <c r="C119" i="2"/>
  <c r="E119" i="2"/>
  <c r="F119" i="2"/>
  <c r="A120" i="2"/>
  <c r="C120" i="2" s="1"/>
  <c r="B120" i="2"/>
  <c r="F120" i="2"/>
  <c r="A121" i="2"/>
  <c r="E121" i="2" s="1"/>
  <c r="B121" i="2"/>
  <c r="C121" i="2"/>
  <c r="F121" i="2"/>
  <c r="A122" i="2"/>
  <c r="B122" i="2"/>
  <c r="C122" i="2"/>
  <c r="E122" i="2"/>
  <c r="F122" i="2"/>
  <c r="A123" i="2"/>
  <c r="B123" i="2"/>
  <c r="C123" i="2"/>
  <c r="E123" i="2"/>
  <c r="F123" i="2"/>
  <c r="A124" i="2"/>
  <c r="C124" i="2" s="1"/>
  <c r="B124" i="2"/>
  <c r="F124" i="2"/>
  <c r="A125" i="2"/>
  <c r="E125" i="2" s="1"/>
  <c r="B125" i="2"/>
  <c r="C125" i="2"/>
  <c r="F125" i="2"/>
  <c r="A126" i="2"/>
  <c r="B126" i="2"/>
  <c r="C126" i="2"/>
  <c r="E126" i="2"/>
  <c r="F126" i="2"/>
  <c r="A127" i="2"/>
  <c r="B127" i="2"/>
  <c r="C127" i="2"/>
  <c r="E127" i="2"/>
  <c r="F127" i="2"/>
  <c r="A128" i="2"/>
  <c r="C128" i="2" s="1"/>
  <c r="B128" i="2"/>
  <c r="F128" i="2"/>
  <c r="A129" i="2"/>
  <c r="E129" i="2" s="1"/>
  <c r="B129" i="2"/>
  <c r="C129" i="2"/>
  <c r="F129" i="2"/>
  <c r="A130" i="2"/>
  <c r="B130" i="2"/>
  <c r="C130" i="2"/>
  <c r="E130" i="2"/>
  <c r="F130" i="2"/>
  <c r="A131" i="2"/>
  <c r="B131" i="2"/>
  <c r="C131" i="2"/>
  <c r="E131" i="2"/>
  <c r="F131" i="2"/>
  <c r="A132" i="2"/>
  <c r="C132" i="2" s="1"/>
  <c r="B132" i="2"/>
  <c r="F132" i="2"/>
  <c r="A133" i="2"/>
  <c r="E133" i="2" s="1"/>
  <c r="B133" i="2"/>
  <c r="C133" i="2"/>
  <c r="F133" i="2"/>
  <c r="A134" i="2"/>
  <c r="B134" i="2"/>
  <c r="C134" i="2"/>
  <c r="E134" i="2"/>
  <c r="F134" i="2"/>
  <c r="A135" i="2"/>
  <c r="B135" i="2"/>
  <c r="C135" i="2"/>
  <c r="E135" i="2"/>
  <c r="F135" i="2"/>
  <c r="A136" i="2"/>
  <c r="C136" i="2" s="1"/>
  <c r="B136" i="2"/>
  <c r="F136" i="2"/>
  <c r="A137" i="2"/>
  <c r="E137" i="2" s="1"/>
  <c r="B137" i="2"/>
  <c r="C137" i="2"/>
  <c r="F137" i="2"/>
  <c r="A138" i="2"/>
  <c r="B138" i="2"/>
  <c r="C138" i="2"/>
  <c r="E138" i="2"/>
  <c r="F138" i="2"/>
  <c r="A139" i="2"/>
  <c r="B139" i="2"/>
  <c r="C139" i="2"/>
  <c r="E139" i="2"/>
  <c r="F139" i="2"/>
  <c r="A140" i="2"/>
  <c r="C140" i="2" s="1"/>
  <c r="B140" i="2"/>
  <c r="F140" i="2"/>
  <c r="A141" i="2"/>
  <c r="E141" i="2" s="1"/>
  <c r="B141" i="2"/>
  <c r="C141" i="2"/>
  <c r="F141" i="2"/>
  <c r="A142" i="2"/>
  <c r="B142" i="2"/>
  <c r="C142" i="2"/>
  <c r="E142" i="2"/>
  <c r="F142" i="2"/>
  <c r="A143" i="2"/>
  <c r="B143" i="2"/>
  <c r="C143" i="2"/>
  <c r="E143" i="2"/>
  <c r="F143" i="2"/>
  <c r="A144" i="2"/>
  <c r="C144" i="2" s="1"/>
  <c r="B144" i="2"/>
  <c r="F144" i="2"/>
  <c r="A145" i="2"/>
  <c r="E145" i="2" s="1"/>
  <c r="B145" i="2"/>
  <c r="C145" i="2"/>
  <c r="F145" i="2"/>
  <c r="A146" i="2"/>
  <c r="B146" i="2"/>
  <c r="C146" i="2"/>
  <c r="E146" i="2"/>
  <c r="F146" i="2"/>
  <c r="A147" i="2"/>
  <c r="B147" i="2"/>
  <c r="C147" i="2"/>
  <c r="E147" i="2"/>
  <c r="F147" i="2"/>
  <c r="A148" i="2"/>
  <c r="C148" i="2" s="1"/>
  <c r="B148" i="2"/>
  <c r="F148" i="2"/>
  <c r="B106" i="2"/>
  <c r="F106" i="2"/>
  <c r="A106" i="2"/>
  <c r="A55" i="2"/>
  <c r="B55" i="2"/>
  <c r="C55" i="2"/>
  <c r="E55" i="2"/>
  <c r="F55" i="2"/>
  <c r="A56" i="2"/>
  <c r="C56" i="2" s="1"/>
  <c r="B56" i="2"/>
  <c r="F56" i="2"/>
  <c r="A57" i="2"/>
  <c r="E57" i="2" s="1"/>
  <c r="B57" i="2"/>
  <c r="C57" i="2"/>
  <c r="F57" i="2"/>
  <c r="A58" i="2"/>
  <c r="C58" i="2" s="1"/>
  <c r="B58" i="2"/>
  <c r="E58" i="2"/>
  <c r="F58" i="2"/>
  <c r="A59" i="2"/>
  <c r="B59" i="2"/>
  <c r="C59" i="2"/>
  <c r="E59" i="2"/>
  <c r="F59" i="2"/>
  <c r="A60" i="2"/>
  <c r="C60" i="2" s="1"/>
  <c r="B60" i="2"/>
  <c r="F60" i="2"/>
  <c r="A61" i="2"/>
  <c r="E61" i="2" s="1"/>
  <c r="B61" i="2"/>
  <c r="C61" i="2"/>
  <c r="F61" i="2"/>
  <c r="A62" i="2"/>
  <c r="C62" i="2" s="1"/>
  <c r="B62" i="2"/>
  <c r="E62" i="2"/>
  <c r="F62" i="2"/>
  <c r="A63" i="2"/>
  <c r="B63" i="2"/>
  <c r="C63" i="2"/>
  <c r="E63" i="2"/>
  <c r="F63" i="2"/>
  <c r="A64" i="2"/>
  <c r="C64" i="2" s="1"/>
  <c r="B64" i="2"/>
  <c r="F64" i="2"/>
  <c r="A65" i="2"/>
  <c r="E65" i="2" s="1"/>
  <c r="B65" i="2"/>
  <c r="C65" i="2"/>
  <c r="F65" i="2"/>
  <c r="A66" i="2"/>
  <c r="C66" i="2" s="1"/>
  <c r="B66" i="2"/>
  <c r="E66" i="2"/>
  <c r="F66" i="2"/>
  <c r="A67" i="2"/>
  <c r="B67" i="2"/>
  <c r="C67" i="2"/>
  <c r="E67" i="2"/>
  <c r="F67" i="2"/>
  <c r="A68" i="2"/>
  <c r="C68" i="2" s="1"/>
  <c r="B68" i="2"/>
  <c r="F68" i="2"/>
  <c r="A69" i="2"/>
  <c r="E69" i="2" s="1"/>
  <c r="B69" i="2"/>
  <c r="C69" i="2"/>
  <c r="F69" i="2"/>
  <c r="A70" i="2"/>
  <c r="C70" i="2" s="1"/>
  <c r="B70" i="2"/>
  <c r="E70" i="2"/>
  <c r="F70" i="2"/>
  <c r="A71" i="2"/>
  <c r="B71" i="2"/>
  <c r="C71" i="2"/>
  <c r="E71" i="2"/>
  <c r="F71" i="2"/>
  <c r="A72" i="2"/>
  <c r="C72" i="2" s="1"/>
  <c r="B72" i="2"/>
  <c r="F72" i="2"/>
  <c r="A73" i="2"/>
  <c r="E73" i="2" s="1"/>
  <c r="B73" i="2"/>
  <c r="C73" i="2"/>
  <c r="F73" i="2"/>
  <c r="A74" i="2"/>
  <c r="C74" i="2" s="1"/>
  <c r="B74" i="2"/>
  <c r="E74" i="2"/>
  <c r="F74" i="2"/>
  <c r="A75" i="2"/>
  <c r="B75" i="2"/>
  <c r="C75" i="2"/>
  <c r="E75" i="2"/>
  <c r="F75" i="2"/>
  <c r="A76" i="2"/>
  <c r="C76" i="2" s="1"/>
  <c r="B76" i="2"/>
  <c r="F76" i="2"/>
  <c r="A77" i="2"/>
  <c r="E77" i="2" s="1"/>
  <c r="B77" i="2"/>
  <c r="C77" i="2"/>
  <c r="F77" i="2"/>
  <c r="A78" i="2"/>
  <c r="C78" i="2" s="1"/>
  <c r="B78" i="2"/>
  <c r="E78" i="2"/>
  <c r="F78" i="2"/>
  <c r="A79" i="2"/>
  <c r="B79" i="2"/>
  <c r="C79" i="2"/>
  <c r="E79" i="2"/>
  <c r="F79" i="2"/>
  <c r="A80" i="2"/>
  <c r="C80" i="2" s="1"/>
  <c r="B80" i="2"/>
  <c r="F80" i="2"/>
  <c r="A81" i="2"/>
  <c r="E81" i="2" s="1"/>
  <c r="B81" i="2"/>
  <c r="C81" i="2"/>
  <c r="F81" i="2"/>
  <c r="A82" i="2"/>
  <c r="C82" i="2" s="1"/>
  <c r="B82" i="2"/>
  <c r="E82" i="2"/>
  <c r="F82" i="2"/>
  <c r="A83" i="2"/>
  <c r="B83" i="2"/>
  <c r="C83" i="2"/>
  <c r="E83" i="2"/>
  <c r="F83" i="2"/>
  <c r="A84" i="2"/>
  <c r="C84" i="2" s="1"/>
  <c r="B84" i="2"/>
  <c r="F84" i="2"/>
  <c r="A85" i="2"/>
  <c r="E85" i="2" s="1"/>
  <c r="B85" i="2"/>
  <c r="C85" i="2"/>
  <c r="F85" i="2"/>
  <c r="A86" i="2"/>
  <c r="C86" i="2" s="1"/>
  <c r="B86" i="2"/>
  <c r="E86" i="2"/>
  <c r="F86" i="2"/>
  <c r="A87" i="2"/>
  <c r="B87" i="2"/>
  <c r="C87" i="2"/>
  <c r="E87" i="2"/>
  <c r="F87" i="2"/>
  <c r="A88" i="2"/>
  <c r="C88" i="2" s="1"/>
  <c r="B88" i="2"/>
  <c r="F88" i="2"/>
  <c r="A89" i="2"/>
  <c r="E89" i="2" s="1"/>
  <c r="B89" i="2"/>
  <c r="C89" i="2"/>
  <c r="F89" i="2"/>
  <c r="A90" i="2"/>
  <c r="C90" i="2" s="1"/>
  <c r="B90" i="2"/>
  <c r="E90" i="2"/>
  <c r="F90" i="2"/>
  <c r="A91" i="2"/>
  <c r="B91" i="2"/>
  <c r="C91" i="2"/>
  <c r="E91" i="2"/>
  <c r="F91" i="2"/>
  <c r="A92" i="2"/>
  <c r="C92" i="2" s="1"/>
  <c r="B92" i="2"/>
  <c r="F92" i="2"/>
  <c r="A93" i="2"/>
  <c r="E93" i="2" s="1"/>
  <c r="B93" i="2"/>
  <c r="C93" i="2"/>
  <c r="F93" i="2"/>
  <c r="A94" i="2"/>
  <c r="C94" i="2" s="1"/>
  <c r="B94" i="2"/>
  <c r="E94" i="2"/>
  <c r="F94" i="2"/>
  <c r="A95" i="2"/>
  <c r="B95" i="2"/>
  <c r="C95" i="2"/>
  <c r="E95" i="2"/>
  <c r="F95" i="2"/>
  <c r="A96" i="2"/>
  <c r="C96" i="2" s="1"/>
  <c r="B96" i="2"/>
  <c r="F96" i="2"/>
  <c r="A97" i="2"/>
  <c r="E97" i="2" s="1"/>
  <c r="B97" i="2"/>
  <c r="C97" i="2"/>
  <c r="F97" i="2"/>
  <c r="A98" i="2"/>
  <c r="C98" i="2" s="1"/>
  <c r="B98" i="2"/>
  <c r="E98" i="2"/>
  <c r="F98" i="2"/>
  <c r="A99" i="2"/>
  <c r="B99" i="2"/>
  <c r="C99" i="2"/>
  <c r="E99" i="2"/>
  <c r="F99" i="2"/>
  <c r="A100" i="2"/>
  <c r="C100" i="2" s="1"/>
  <c r="B100" i="2"/>
  <c r="F100" i="2"/>
  <c r="A101" i="2"/>
  <c r="E101" i="2" s="1"/>
  <c r="B101" i="2"/>
  <c r="C101" i="2"/>
  <c r="F101" i="2"/>
  <c r="A102" i="2"/>
  <c r="C102" i="2" s="1"/>
  <c r="B102" i="2"/>
  <c r="E102" i="2"/>
  <c r="F102" i="2"/>
  <c r="A103" i="2"/>
  <c r="B103" i="2"/>
  <c r="C103" i="2"/>
  <c r="E103" i="2"/>
  <c r="F103" i="2"/>
  <c r="A104" i="2"/>
  <c r="C104" i="2" s="1"/>
  <c r="B104" i="2"/>
  <c r="F104" i="2"/>
  <c r="A105" i="2"/>
  <c r="E105" i="2" s="1"/>
  <c r="B105" i="2"/>
  <c r="C105" i="2"/>
  <c r="F105" i="2"/>
  <c r="C106" i="2"/>
  <c r="E106" i="2"/>
  <c r="F54" i="2"/>
  <c r="B54" i="2"/>
  <c r="A54" i="2"/>
  <c r="A53" i="2"/>
  <c r="C53" i="2" s="1"/>
  <c r="B53" i="2"/>
  <c r="F53" i="2"/>
  <c r="E54" i="2"/>
  <c r="C54" i="2"/>
  <c r="A51" i="2"/>
  <c r="C51" i="2" s="1"/>
  <c r="B51" i="2"/>
  <c r="E51" i="2"/>
  <c r="F51" i="2"/>
  <c r="A52" i="2"/>
  <c r="C52" i="2" s="1"/>
  <c r="B52" i="2"/>
  <c r="F52" i="2"/>
  <c r="A40" i="2"/>
  <c r="C40" i="2" s="1"/>
  <c r="B40" i="2"/>
  <c r="F40" i="2"/>
  <c r="A41" i="2"/>
  <c r="C41" i="2" s="1"/>
  <c r="B41" i="2"/>
  <c r="F41" i="2"/>
  <c r="A42" i="2"/>
  <c r="B42" i="2"/>
  <c r="C42" i="2"/>
  <c r="E42" i="2"/>
  <c r="F42" i="2"/>
  <c r="A43" i="2"/>
  <c r="B43" i="2"/>
  <c r="C43" i="2"/>
  <c r="E43" i="2"/>
  <c r="F43" i="2"/>
  <c r="A44" i="2"/>
  <c r="C44" i="2" s="1"/>
  <c r="B44" i="2"/>
  <c r="F44" i="2"/>
  <c r="A45" i="2"/>
  <c r="E45" i="2" s="1"/>
  <c r="B45" i="2"/>
  <c r="C45" i="2"/>
  <c r="F45" i="2"/>
  <c r="A46" i="2"/>
  <c r="B46" i="2"/>
  <c r="C46" i="2"/>
  <c r="E46" i="2"/>
  <c r="F46" i="2"/>
  <c r="A47" i="2"/>
  <c r="B47" i="2"/>
  <c r="C47" i="2"/>
  <c r="E47" i="2"/>
  <c r="F47" i="2"/>
  <c r="A48" i="2"/>
  <c r="C48" i="2" s="1"/>
  <c r="B48" i="2"/>
  <c r="F48" i="2"/>
  <c r="A49" i="2"/>
  <c r="E49" i="2" s="1"/>
  <c r="B49" i="2"/>
  <c r="C49" i="2"/>
  <c r="F49" i="2"/>
  <c r="A50" i="2"/>
  <c r="B50" i="2"/>
  <c r="C50" i="2"/>
  <c r="E50" i="2"/>
  <c r="F50" i="2"/>
  <c r="A5" i="2"/>
  <c r="C5" i="2" s="1"/>
  <c r="B5" i="2"/>
  <c r="E5" i="2"/>
  <c r="F5" i="2"/>
  <c r="A6" i="2"/>
  <c r="E6" i="2" s="1"/>
  <c r="B6" i="2"/>
  <c r="C6" i="2"/>
  <c r="F6" i="2"/>
  <c r="A7" i="2"/>
  <c r="E7" i="2" s="1"/>
  <c r="B7" i="2"/>
  <c r="F7" i="2"/>
  <c r="A8" i="2"/>
  <c r="B8" i="2"/>
  <c r="C8" i="2"/>
  <c r="E8" i="2"/>
  <c r="F8" i="2"/>
  <c r="A9" i="2"/>
  <c r="C9" i="2" s="1"/>
  <c r="B9" i="2"/>
  <c r="E9" i="2"/>
  <c r="F9" i="2"/>
  <c r="A10" i="2"/>
  <c r="E10" i="2" s="1"/>
  <c r="B10" i="2"/>
  <c r="C10" i="2"/>
  <c r="F10" i="2"/>
  <c r="A11" i="2"/>
  <c r="E11" i="2" s="1"/>
  <c r="B11" i="2"/>
  <c r="F11" i="2"/>
  <c r="A12" i="2"/>
  <c r="B12" i="2"/>
  <c r="C12" i="2"/>
  <c r="E12" i="2"/>
  <c r="F12" i="2"/>
  <c r="A13" i="2"/>
  <c r="C13" i="2" s="1"/>
  <c r="B13" i="2"/>
  <c r="E13" i="2"/>
  <c r="F13" i="2"/>
  <c r="A14" i="2"/>
  <c r="E14" i="2" s="1"/>
  <c r="B14" i="2"/>
  <c r="C14" i="2"/>
  <c r="F14" i="2"/>
  <c r="A15" i="2"/>
  <c r="E15" i="2" s="1"/>
  <c r="B15" i="2"/>
  <c r="F15" i="2"/>
  <c r="A16" i="2"/>
  <c r="B16" i="2"/>
  <c r="C16" i="2"/>
  <c r="E16" i="2"/>
  <c r="F16" i="2"/>
  <c r="A17" i="2"/>
  <c r="C17" i="2" s="1"/>
  <c r="B17" i="2"/>
  <c r="E17" i="2"/>
  <c r="F17" i="2"/>
  <c r="A18" i="2"/>
  <c r="E18" i="2" s="1"/>
  <c r="B18" i="2"/>
  <c r="C18" i="2"/>
  <c r="F18" i="2"/>
  <c r="A19" i="2"/>
  <c r="C19" i="2" s="1"/>
  <c r="B19" i="2"/>
  <c r="E19" i="2"/>
  <c r="F19" i="2"/>
  <c r="A20" i="2"/>
  <c r="B20" i="2"/>
  <c r="C20" i="2"/>
  <c r="E20" i="2"/>
  <c r="F20" i="2"/>
  <c r="A21" i="2"/>
  <c r="C21" i="2" s="1"/>
  <c r="B21" i="2"/>
  <c r="F21" i="2"/>
  <c r="A22" i="2"/>
  <c r="E22" i="2" s="1"/>
  <c r="B22" i="2"/>
  <c r="C22" i="2"/>
  <c r="F22" i="2"/>
  <c r="A23" i="2"/>
  <c r="C23" i="2" s="1"/>
  <c r="B23" i="2"/>
  <c r="E23" i="2"/>
  <c r="F23" i="2"/>
  <c r="A24" i="2"/>
  <c r="B24" i="2"/>
  <c r="C24" i="2"/>
  <c r="E24" i="2"/>
  <c r="F24" i="2"/>
  <c r="A25" i="2"/>
  <c r="C25" i="2" s="1"/>
  <c r="B25" i="2"/>
  <c r="F25" i="2"/>
  <c r="A26" i="2"/>
  <c r="E26" i="2" s="1"/>
  <c r="B26" i="2"/>
  <c r="C26" i="2"/>
  <c r="F26" i="2"/>
  <c r="A27" i="2"/>
  <c r="C27" i="2" s="1"/>
  <c r="B27" i="2"/>
  <c r="E27" i="2"/>
  <c r="F27" i="2"/>
  <c r="A28" i="2"/>
  <c r="B28" i="2"/>
  <c r="C28" i="2"/>
  <c r="E28" i="2"/>
  <c r="F28" i="2"/>
  <c r="A29" i="2"/>
  <c r="C29" i="2" s="1"/>
  <c r="B29" i="2"/>
  <c r="F29" i="2"/>
  <c r="A30" i="2"/>
  <c r="E30" i="2" s="1"/>
  <c r="B30" i="2"/>
  <c r="C30" i="2"/>
  <c r="F30" i="2"/>
  <c r="A31" i="2"/>
  <c r="C31" i="2" s="1"/>
  <c r="B31" i="2"/>
  <c r="E31" i="2"/>
  <c r="F31" i="2"/>
  <c r="A32" i="2"/>
  <c r="B32" i="2"/>
  <c r="C32" i="2"/>
  <c r="E32" i="2"/>
  <c r="F32" i="2"/>
  <c r="A33" i="2"/>
  <c r="C33" i="2" s="1"/>
  <c r="B33" i="2"/>
  <c r="F33" i="2"/>
  <c r="A34" i="2"/>
  <c r="E34" i="2" s="1"/>
  <c r="B34" i="2"/>
  <c r="C34" i="2"/>
  <c r="F34" i="2"/>
  <c r="A35" i="2"/>
  <c r="C35" i="2" s="1"/>
  <c r="B35" i="2"/>
  <c r="E35" i="2"/>
  <c r="F35" i="2"/>
  <c r="A36" i="2"/>
  <c r="B36" i="2"/>
  <c r="C36" i="2"/>
  <c r="E36" i="2"/>
  <c r="F36" i="2"/>
  <c r="A37" i="2"/>
  <c r="C37" i="2" s="1"/>
  <c r="B37" i="2"/>
  <c r="F37" i="2"/>
  <c r="A38" i="2"/>
  <c r="E38" i="2" s="1"/>
  <c r="B38" i="2"/>
  <c r="C38" i="2"/>
  <c r="F38" i="2"/>
  <c r="A39" i="2"/>
  <c r="C39" i="2" s="1"/>
  <c r="B39" i="2"/>
  <c r="E39" i="2"/>
  <c r="F39" i="2"/>
  <c r="A3" i="2"/>
  <c r="C3" i="2" s="1"/>
  <c r="B3" i="2"/>
  <c r="F3" i="2"/>
  <c r="A4" i="2"/>
  <c r="E4" i="2" s="1"/>
  <c r="B4" i="2"/>
  <c r="C4" i="2"/>
  <c r="F4" i="2"/>
  <c r="G23" i="4"/>
  <c r="H23" i="4"/>
  <c r="I23" i="4"/>
  <c r="J23" i="4"/>
  <c r="K23" i="4"/>
  <c r="L23" i="4"/>
  <c r="F23" i="4"/>
  <c r="B2" i="2"/>
  <c r="A2" i="2"/>
  <c r="E2" i="2" s="1"/>
  <c r="F2" i="2"/>
  <c r="M9" i="3"/>
  <c r="N9" i="3"/>
  <c r="O9" i="3"/>
  <c r="P9" i="3"/>
  <c r="Q9" i="3"/>
  <c r="R9" i="3"/>
  <c r="M10" i="3"/>
  <c r="N10" i="3"/>
  <c r="O10" i="3"/>
  <c r="P10" i="3"/>
  <c r="Q10" i="3"/>
  <c r="R10" i="3"/>
  <c r="M11" i="3"/>
  <c r="N11" i="3"/>
  <c r="O11" i="3"/>
  <c r="P11" i="3"/>
  <c r="Q11" i="3"/>
  <c r="R11" i="3"/>
  <c r="M12" i="3"/>
  <c r="N12" i="3"/>
  <c r="O12" i="3"/>
  <c r="P12" i="3"/>
  <c r="Q12" i="3"/>
  <c r="R12" i="3"/>
  <c r="M13" i="3"/>
  <c r="N13" i="3"/>
  <c r="O13" i="3"/>
  <c r="P13" i="3"/>
  <c r="Q13" i="3"/>
  <c r="R13" i="3"/>
  <c r="M14" i="3"/>
  <c r="N14" i="3"/>
  <c r="O14" i="3"/>
  <c r="P14" i="3"/>
  <c r="Q14" i="3"/>
  <c r="R14" i="3"/>
  <c r="M15" i="3"/>
  <c r="N15" i="3"/>
  <c r="O15" i="3"/>
  <c r="P15" i="3"/>
  <c r="Q15" i="3"/>
  <c r="R15" i="3"/>
  <c r="M16" i="3"/>
  <c r="N16" i="3"/>
  <c r="O16" i="3"/>
  <c r="P16" i="3"/>
  <c r="Q16" i="3"/>
  <c r="R16" i="3"/>
  <c r="M17" i="3"/>
  <c r="N17" i="3"/>
  <c r="O17" i="3"/>
  <c r="P17" i="3"/>
  <c r="Q17" i="3"/>
  <c r="R17" i="3"/>
  <c r="M18" i="3"/>
  <c r="N18" i="3"/>
  <c r="O18" i="3"/>
  <c r="P18" i="3"/>
  <c r="Q18" i="3"/>
  <c r="R18" i="3"/>
  <c r="M19" i="3"/>
  <c r="N19" i="3"/>
  <c r="O19" i="3"/>
  <c r="P19" i="3"/>
  <c r="Q19" i="3"/>
  <c r="R19" i="3"/>
  <c r="M20" i="3"/>
  <c r="N20" i="3"/>
  <c r="O20" i="3"/>
  <c r="P20" i="3"/>
  <c r="Q20" i="3"/>
  <c r="R20" i="3"/>
  <c r="M21" i="3"/>
  <c r="N21" i="3"/>
  <c r="O21" i="3"/>
  <c r="P21" i="3"/>
  <c r="Q21" i="3"/>
  <c r="R21" i="3"/>
  <c r="M22" i="3"/>
  <c r="N22" i="3"/>
  <c r="O22" i="3"/>
  <c r="P22" i="3"/>
  <c r="Q22" i="3"/>
  <c r="R22" i="3"/>
  <c r="M23" i="3"/>
  <c r="N23" i="3"/>
  <c r="O23" i="3"/>
  <c r="P23" i="3"/>
  <c r="Q23" i="3"/>
  <c r="R23" i="3"/>
  <c r="M24" i="3"/>
  <c r="N24" i="3"/>
  <c r="O24" i="3"/>
  <c r="P24" i="3"/>
  <c r="Q24" i="3"/>
  <c r="R24" i="3"/>
  <c r="M25" i="3"/>
  <c r="N25" i="3"/>
  <c r="O25" i="3"/>
  <c r="P25" i="3"/>
  <c r="Q25" i="3"/>
  <c r="R25" i="3"/>
  <c r="M26" i="3"/>
  <c r="N26" i="3"/>
  <c r="O26" i="3"/>
  <c r="P26" i="3"/>
  <c r="Q26" i="3"/>
  <c r="R26" i="3"/>
  <c r="M27" i="3"/>
  <c r="N27" i="3"/>
  <c r="O27" i="3"/>
  <c r="P27" i="3"/>
  <c r="Q27" i="3"/>
  <c r="R27" i="3"/>
  <c r="M28" i="3"/>
  <c r="N28" i="3"/>
  <c r="O28" i="3"/>
  <c r="P28" i="3"/>
  <c r="Q28" i="3"/>
  <c r="R28" i="3"/>
  <c r="M29" i="3"/>
  <c r="N29" i="3"/>
  <c r="O29" i="3"/>
  <c r="P29" i="3"/>
  <c r="Q29" i="3"/>
  <c r="R29" i="3"/>
  <c r="M30" i="3"/>
  <c r="N30" i="3"/>
  <c r="O30" i="3"/>
  <c r="P30" i="3"/>
  <c r="Q30" i="3"/>
  <c r="R30" i="3"/>
  <c r="M31" i="3"/>
  <c r="N31" i="3"/>
  <c r="O31" i="3"/>
  <c r="P31" i="3"/>
  <c r="Q31" i="3"/>
  <c r="R31" i="3"/>
  <c r="M32" i="3"/>
  <c r="N32" i="3"/>
  <c r="O32" i="3"/>
  <c r="P32" i="3"/>
  <c r="Q32" i="3"/>
  <c r="R32" i="3"/>
  <c r="M33" i="3"/>
  <c r="N33" i="3"/>
  <c r="O33" i="3"/>
  <c r="P33" i="3"/>
  <c r="Q33" i="3"/>
  <c r="R33" i="3"/>
  <c r="M34" i="3"/>
  <c r="N34" i="3"/>
  <c r="O34" i="3"/>
  <c r="P34" i="3"/>
  <c r="Q34" i="3"/>
  <c r="R34" i="3"/>
  <c r="M35" i="3"/>
  <c r="N35" i="3"/>
  <c r="O35" i="3"/>
  <c r="P35" i="3"/>
  <c r="Q35" i="3"/>
  <c r="R35" i="3"/>
  <c r="M36" i="3"/>
  <c r="N36" i="3"/>
  <c r="O36" i="3"/>
  <c r="P36" i="3"/>
  <c r="Q36" i="3"/>
  <c r="R36" i="3"/>
  <c r="M37" i="3"/>
  <c r="N37" i="3"/>
  <c r="O37" i="3"/>
  <c r="P37" i="3"/>
  <c r="Q37" i="3"/>
  <c r="R37" i="3"/>
  <c r="M38" i="3"/>
  <c r="N38" i="3"/>
  <c r="O38" i="3"/>
  <c r="P38" i="3"/>
  <c r="Q38" i="3"/>
  <c r="R38" i="3"/>
  <c r="M39" i="3"/>
  <c r="N39" i="3"/>
  <c r="O39" i="3"/>
  <c r="P39" i="3"/>
  <c r="Q39" i="3"/>
  <c r="R39" i="3"/>
  <c r="M40" i="3"/>
  <c r="N40" i="3"/>
  <c r="O40" i="3"/>
  <c r="P40" i="3"/>
  <c r="Q40" i="3"/>
  <c r="R40" i="3"/>
  <c r="M41" i="3"/>
  <c r="N41" i="3"/>
  <c r="O41" i="3"/>
  <c r="P41" i="3"/>
  <c r="Q41" i="3"/>
  <c r="R41" i="3"/>
  <c r="M42" i="3"/>
  <c r="N42" i="3"/>
  <c r="O42" i="3"/>
  <c r="P42" i="3"/>
  <c r="Q42" i="3"/>
  <c r="R42" i="3"/>
  <c r="M43" i="3"/>
  <c r="N43" i="3"/>
  <c r="O43" i="3"/>
  <c r="P43" i="3"/>
  <c r="Q43" i="3"/>
  <c r="R43" i="3"/>
  <c r="M44" i="3"/>
  <c r="N44" i="3"/>
  <c r="O44" i="3"/>
  <c r="P44" i="3"/>
  <c r="Q44" i="3"/>
  <c r="R44" i="3"/>
  <c r="M45" i="3"/>
  <c r="N45" i="3"/>
  <c r="O45" i="3"/>
  <c r="P45" i="3"/>
  <c r="Q45" i="3"/>
  <c r="R45" i="3"/>
  <c r="M46" i="3"/>
  <c r="N46" i="3"/>
  <c r="O46" i="3"/>
  <c r="P46" i="3"/>
  <c r="Q46" i="3"/>
  <c r="R46" i="3"/>
  <c r="M47" i="3"/>
  <c r="N47" i="3"/>
  <c r="O47" i="3"/>
  <c r="P47" i="3"/>
  <c r="Q47" i="3"/>
  <c r="R47" i="3"/>
  <c r="M48" i="3"/>
  <c r="N48" i="3"/>
  <c r="O48" i="3"/>
  <c r="P48" i="3"/>
  <c r="Q48" i="3"/>
  <c r="R48" i="3"/>
  <c r="M49" i="3"/>
  <c r="N49" i="3"/>
  <c r="O49" i="3"/>
  <c r="P49" i="3"/>
  <c r="Q49" i="3"/>
  <c r="R49" i="3"/>
  <c r="M50" i="3"/>
  <c r="N50" i="3"/>
  <c r="O50" i="3"/>
  <c r="P50" i="3"/>
  <c r="Q50" i="3"/>
  <c r="R50" i="3"/>
  <c r="M51" i="3"/>
  <c r="N51" i="3"/>
  <c r="O51" i="3"/>
  <c r="P51" i="3"/>
  <c r="Q51" i="3"/>
  <c r="R51" i="3"/>
  <c r="M52" i="3"/>
  <c r="N52" i="3"/>
  <c r="O52" i="3"/>
  <c r="P52" i="3"/>
  <c r="Q52" i="3"/>
  <c r="R52" i="3"/>
  <c r="M53" i="3"/>
  <c r="N53" i="3"/>
  <c r="O53" i="3"/>
  <c r="P53" i="3"/>
  <c r="Q53" i="3"/>
  <c r="R53" i="3"/>
  <c r="M54" i="3"/>
  <c r="N54" i="3"/>
  <c r="O54" i="3"/>
  <c r="P54" i="3"/>
  <c r="Q54" i="3"/>
  <c r="R54" i="3"/>
  <c r="M55" i="3"/>
  <c r="N55" i="3"/>
  <c r="O55" i="3"/>
  <c r="P55" i="3"/>
  <c r="Q55" i="3"/>
  <c r="R55" i="3"/>
  <c r="M56" i="3"/>
  <c r="N56" i="3"/>
  <c r="O56" i="3"/>
  <c r="P56" i="3"/>
  <c r="Q56" i="3"/>
  <c r="R56" i="3"/>
  <c r="M57" i="3"/>
  <c r="N57" i="3"/>
  <c r="O57" i="3"/>
  <c r="P57" i="3"/>
  <c r="Q57" i="3"/>
  <c r="R57" i="3"/>
  <c r="M58" i="3"/>
  <c r="N58" i="3"/>
  <c r="O58" i="3"/>
  <c r="P58" i="3"/>
  <c r="Q58" i="3"/>
  <c r="R58" i="3"/>
  <c r="M59" i="3"/>
  <c r="N59" i="3"/>
  <c r="O59" i="3"/>
  <c r="P59" i="3"/>
  <c r="Q59" i="3"/>
  <c r="R59" i="3"/>
  <c r="M60" i="3"/>
  <c r="N60" i="3"/>
  <c r="O60" i="3"/>
  <c r="P60" i="3"/>
  <c r="Q60" i="3"/>
  <c r="R60" i="3"/>
  <c r="M61" i="3"/>
  <c r="N61" i="3"/>
  <c r="O61" i="3"/>
  <c r="P61" i="3"/>
  <c r="Q61" i="3"/>
  <c r="R61" i="3"/>
  <c r="M62" i="3"/>
  <c r="N62" i="3"/>
  <c r="O62" i="3"/>
  <c r="P62" i="3"/>
  <c r="Q62" i="3"/>
  <c r="R62" i="3"/>
  <c r="M63" i="3"/>
  <c r="N63" i="3"/>
  <c r="O63" i="3"/>
  <c r="P63" i="3"/>
  <c r="Q63" i="3"/>
  <c r="R63" i="3"/>
  <c r="M64" i="3"/>
  <c r="N64" i="3"/>
  <c r="O64" i="3"/>
  <c r="P64" i="3"/>
  <c r="Q64" i="3"/>
  <c r="R64" i="3"/>
  <c r="M65" i="3"/>
  <c r="N65" i="3"/>
  <c r="O65" i="3"/>
  <c r="P65" i="3"/>
  <c r="Q65" i="3"/>
  <c r="R65" i="3"/>
  <c r="M66" i="3"/>
  <c r="N66" i="3"/>
  <c r="O66" i="3"/>
  <c r="P66" i="3"/>
  <c r="Q66" i="3"/>
  <c r="R66" i="3"/>
  <c r="M67" i="3"/>
  <c r="N67" i="3"/>
  <c r="O67" i="3"/>
  <c r="P67" i="3"/>
  <c r="Q67" i="3"/>
  <c r="R67" i="3"/>
  <c r="M68" i="3"/>
  <c r="N68" i="3"/>
  <c r="O68" i="3"/>
  <c r="P68" i="3"/>
  <c r="Q68" i="3"/>
  <c r="R68" i="3"/>
  <c r="M69" i="3"/>
  <c r="N69" i="3"/>
  <c r="O69" i="3"/>
  <c r="P69" i="3"/>
  <c r="Q69" i="3"/>
  <c r="R69" i="3"/>
  <c r="M70" i="3"/>
  <c r="N70" i="3"/>
  <c r="O70" i="3"/>
  <c r="P70" i="3"/>
  <c r="Q70" i="3"/>
  <c r="R70" i="3"/>
  <c r="M71" i="3"/>
  <c r="N71" i="3"/>
  <c r="O71" i="3"/>
  <c r="P71" i="3"/>
  <c r="Q71" i="3"/>
  <c r="R71" i="3"/>
  <c r="M72" i="3"/>
  <c r="N72" i="3"/>
  <c r="O72" i="3"/>
  <c r="P72" i="3"/>
  <c r="Q72" i="3"/>
  <c r="R72" i="3"/>
  <c r="M73" i="3"/>
  <c r="N73" i="3"/>
  <c r="O73" i="3"/>
  <c r="P73" i="3"/>
  <c r="Q73" i="3"/>
  <c r="R73" i="3"/>
  <c r="M74" i="3"/>
  <c r="N74" i="3"/>
  <c r="O74" i="3"/>
  <c r="P74" i="3"/>
  <c r="Q74" i="3"/>
  <c r="R74" i="3"/>
  <c r="M75" i="3"/>
  <c r="N75" i="3"/>
  <c r="O75" i="3"/>
  <c r="P75" i="3"/>
  <c r="Q75" i="3"/>
  <c r="R75" i="3"/>
  <c r="M76" i="3"/>
  <c r="N76" i="3"/>
  <c r="O76" i="3"/>
  <c r="P76" i="3"/>
  <c r="Q76" i="3"/>
  <c r="R76" i="3"/>
  <c r="M77" i="3"/>
  <c r="N77" i="3"/>
  <c r="O77" i="3"/>
  <c r="P77" i="3"/>
  <c r="Q77" i="3"/>
  <c r="R77" i="3"/>
  <c r="M78" i="3"/>
  <c r="N78" i="3"/>
  <c r="O78" i="3"/>
  <c r="P78" i="3"/>
  <c r="Q78" i="3"/>
  <c r="R78" i="3"/>
  <c r="M79" i="3"/>
  <c r="N79" i="3"/>
  <c r="O79" i="3"/>
  <c r="P79" i="3"/>
  <c r="Q79" i="3"/>
  <c r="R79" i="3"/>
  <c r="M80" i="3"/>
  <c r="N80" i="3"/>
  <c r="O80" i="3"/>
  <c r="P80" i="3"/>
  <c r="Q80" i="3"/>
  <c r="R80" i="3"/>
  <c r="M81" i="3"/>
  <c r="N81" i="3"/>
  <c r="O81" i="3"/>
  <c r="P81" i="3"/>
  <c r="Q81" i="3"/>
  <c r="R81" i="3"/>
  <c r="M82" i="3"/>
  <c r="N82" i="3"/>
  <c r="O82" i="3"/>
  <c r="P82" i="3"/>
  <c r="Q82" i="3"/>
  <c r="R82" i="3"/>
  <c r="M83" i="3"/>
  <c r="N83" i="3"/>
  <c r="O83" i="3"/>
  <c r="P83" i="3"/>
  <c r="Q83" i="3"/>
  <c r="R83" i="3"/>
  <c r="M84" i="3"/>
  <c r="N84" i="3"/>
  <c r="O84" i="3"/>
  <c r="P84" i="3"/>
  <c r="Q84" i="3"/>
  <c r="R84" i="3"/>
  <c r="M85" i="3"/>
  <c r="N85" i="3"/>
  <c r="O85" i="3"/>
  <c r="P85" i="3"/>
  <c r="Q85" i="3"/>
  <c r="R85" i="3"/>
  <c r="M86" i="3"/>
  <c r="N86" i="3"/>
  <c r="O86" i="3"/>
  <c r="P86" i="3"/>
  <c r="Q86" i="3"/>
  <c r="R86" i="3"/>
  <c r="M87" i="3"/>
  <c r="N87" i="3"/>
  <c r="O87" i="3"/>
  <c r="P87" i="3"/>
  <c r="Q87" i="3"/>
  <c r="R87" i="3"/>
  <c r="M88" i="3"/>
  <c r="N88" i="3"/>
  <c r="O88" i="3"/>
  <c r="P88" i="3"/>
  <c r="Q88" i="3"/>
  <c r="R88" i="3"/>
  <c r="M89" i="3"/>
  <c r="N89" i="3"/>
  <c r="O89" i="3"/>
  <c r="P89" i="3"/>
  <c r="Q89" i="3"/>
  <c r="R89" i="3"/>
  <c r="M90" i="3"/>
  <c r="N90" i="3"/>
  <c r="O90" i="3"/>
  <c r="P90" i="3"/>
  <c r="Q90" i="3"/>
  <c r="R90" i="3"/>
  <c r="M91" i="3"/>
  <c r="N91" i="3"/>
  <c r="O91" i="3"/>
  <c r="P91" i="3"/>
  <c r="Q91" i="3"/>
  <c r="R91" i="3"/>
  <c r="M92" i="3"/>
  <c r="N92" i="3"/>
  <c r="O92" i="3"/>
  <c r="P92" i="3"/>
  <c r="Q92" i="3"/>
  <c r="R92" i="3"/>
  <c r="M93" i="3"/>
  <c r="N93" i="3"/>
  <c r="O93" i="3"/>
  <c r="P93" i="3"/>
  <c r="Q93" i="3"/>
  <c r="R93" i="3"/>
  <c r="M94" i="3"/>
  <c r="N94" i="3"/>
  <c r="O94" i="3"/>
  <c r="P94" i="3"/>
  <c r="Q94" i="3"/>
  <c r="R94" i="3"/>
  <c r="M95" i="3"/>
  <c r="N95" i="3"/>
  <c r="O95" i="3"/>
  <c r="P95" i="3"/>
  <c r="Q95" i="3"/>
  <c r="R95" i="3"/>
  <c r="M96" i="3"/>
  <c r="N96" i="3"/>
  <c r="O96" i="3"/>
  <c r="P96" i="3"/>
  <c r="Q96" i="3"/>
  <c r="R96" i="3"/>
  <c r="M97" i="3"/>
  <c r="N97" i="3"/>
  <c r="O97" i="3"/>
  <c r="P97" i="3"/>
  <c r="Q97" i="3"/>
  <c r="R97" i="3"/>
  <c r="M98" i="3"/>
  <c r="N98" i="3"/>
  <c r="O98" i="3"/>
  <c r="P98" i="3"/>
  <c r="Q98" i="3"/>
  <c r="R98" i="3"/>
  <c r="M99" i="3"/>
  <c r="N99" i="3"/>
  <c r="O99" i="3"/>
  <c r="P99" i="3"/>
  <c r="Q99" i="3"/>
  <c r="R99" i="3"/>
  <c r="M100" i="3"/>
  <c r="N100" i="3"/>
  <c r="O100" i="3"/>
  <c r="P100" i="3"/>
  <c r="Q100" i="3"/>
  <c r="R100" i="3"/>
  <c r="M101" i="3"/>
  <c r="N101" i="3"/>
  <c r="O101" i="3"/>
  <c r="P101" i="3"/>
  <c r="Q101" i="3"/>
  <c r="R101" i="3"/>
  <c r="M102" i="3"/>
  <c r="N102" i="3"/>
  <c r="O102" i="3"/>
  <c r="P102" i="3"/>
  <c r="Q102" i="3"/>
  <c r="R102" i="3"/>
  <c r="M103" i="3"/>
  <c r="N103" i="3"/>
  <c r="O103" i="3"/>
  <c r="P103" i="3"/>
  <c r="Q103" i="3"/>
  <c r="R103" i="3"/>
  <c r="M104" i="3"/>
  <c r="N104" i="3"/>
  <c r="O104" i="3"/>
  <c r="P104" i="3"/>
  <c r="Q104" i="3"/>
  <c r="R104" i="3"/>
  <c r="M105" i="3"/>
  <c r="N105" i="3"/>
  <c r="O105" i="3"/>
  <c r="P105" i="3"/>
  <c r="Q105" i="3"/>
  <c r="R105" i="3"/>
  <c r="M106" i="3"/>
  <c r="N106" i="3"/>
  <c r="O106" i="3"/>
  <c r="P106" i="3"/>
  <c r="Q106" i="3"/>
  <c r="R106" i="3"/>
  <c r="M107" i="3"/>
  <c r="N107" i="3"/>
  <c r="O107" i="3"/>
  <c r="P107" i="3"/>
  <c r="Q107" i="3"/>
  <c r="R107" i="3"/>
  <c r="M108" i="3"/>
  <c r="N108" i="3"/>
  <c r="O108" i="3"/>
  <c r="P108" i="3"/>
  <c r="Q108" i="3"/>
  <c r="R108" i="3"/>
  <c r="M109" i="3"/>
  <c r="N109" i="3"/>
  <c r="O109" i="3"/>
  <c r="P109" i="3"/>
  <c r="Q109" i="3"/>
  <c r="R109" i="3"/>
  <c r="M110" i="3"/>
  <c r="N110" i="3"/>
  <c r="O110" i="3"/>
  <c r="P110" i="3"/>
  <c r="Q110" i="3"/>
  <c r="R110" i="3"/>
  <c r="M111" i="3"/>
  <c r="N111" i="3"/>
  <c r="O111" i="3"/>
  <c r="P111" i="3"/>
  <c r="Q111" i="3"/>
  <c r="R111" i="3"/>
  <c r="M112" i="3"/>
  <c r="N112" i="3"/>
  <c r="O112" i="3"/>
  <c r="P112" i="3"/>
  <c r="Q112" i="3"/>
  <c r="R112" i="3"/>
  <c r="M113" i="3"/>
  <c r="N113" i="3"/>
  <c r="O113" i="3"/>
  <c r="P113" i="3"/>
  <c r="Q113" i="3"/>
  <c r="R113" i="3"/>
  <c r="M114" i="3"/>
  <c r="N114" i="3"/>
  <c r="O114" i="3"/>
  <c r="P114" i="3"/>
  <c r="Q114" i="3"/>
  <c r="R114" i="3"/>
  <c r="M115" i="3"/>
  <c r="N115" i="3"/>
  <c r="O115" i="3"/>
  <c r="P115" i="3"/>
  <c r="Q115" i="3"/>
  <c r="R115" i="3"/>
  <c r="M116" i="3"/>
  <c r="N116" i="3"/>
  <c r="O116" i="3"/>
  <c r="P116" i="3"/>
  <c r="Q116" i="3"/>
  <c r="R116" i="3"/>
  <c r="M117" i="3"/>
  <c r="N117" i="3"/>
  <c r="O117" i="3"/>
  <c r="P117" i="3"/>
  <c r="Q117" i="3"/>
  <c r="R117" i="3"/>
  <c r="M118" i="3"/>
  <c r="N118" i="3"/>
  <c r="O118" i="3"/>
  <c r="P118" i="3"/>
  <c r="Q118" i="3"/>
  <c r="R118" i="3"/>
  <c r="M119" i="3"/>
  <c r="N119" i="3"/>
  <c r="O119" i="3"/>
  <c r="P119" i="3"/>
  <c r="Q119" i="3"/>
  <c r="R119" i="3"/>
  <c r="M120" i="3"/>
  <c r="N120" i="3"/>
  <c r="O120" i="3"/>
  <c r="P120" i="3"/>
  <c r="Q120" i="3"/>
  <c r="R120" i="3"/>
  <c r="M121" i="3"/>
  <c r="N121" i="3"/>
  <c r="O121" i="3"/>
  <c r="P121" i="3"/>
  <c r="Q121" i="3"/>
  <c r="R121" i="3"/>
  <c r="M122" i="3"/>
  <c r="N122" i="3"/>
  <c r="O122" i="3"/>
  <c r="P122" i="3"/>
  <c r="Q122" i="3"/>
  <c r="R122" i="3"/>
  <c r="M123" i="3"/>
  <c r="N123" i="3"/>
  <c r="O123" i="3"/>
  <c r="P123" i="3"/>
  <c r="Q123" i="3"/>
  <c r="R123" i="3"/>
  <c r="M124" i="3"/>
  <c r="N124" i="3"/>
  <c r="O124" i="3"/>
  <c r="P124" i="3"/>
  <c r="Q124" i="3"/>
  <c r="R124" i="3"/>
  <c r="M125" i="3"/>
  <c r="N125" i="3"/>
  <c r="O125" i="3"/>
  <c r="P125" i="3"/>
  <c r="Q125" i="3"/>
  <c r="R125" i="3"/>
  <c r="M126" i="3"/>
  <c r="N126" i="3"/>
  <c r="O126" i="3"/>
  <c r="P126" i="3"/>
  <c r="Q126" i="3"/>
  <c r="R126" i="3"/>
  <c r="M127" i="3"/>
  <c r="N127" i="3"/>
  <c r="O127" i="3"/>
  <c r="P127" i="3"/>
  <c r="Q127" i="3"/>
  <c r="R127" i="3"/>
  <c r="M128" i="3"/>
  <c r="N128" i="3"/>
  <c r="O128" i="3"/>
  <c r="P128" i="3"/>
  <c r="Q128" i="3"/>
  <c r="R128" i="3"/>
  <c r="M129" i="3"/>
  <c r="N129" i="3"/>
  <c r="O129" i="3"/>
  <c r="P129" i="3"/>
  <c r="Q129" i="3"/>
  <c r="R129" i="3"/>
  <c r="M130" i="3"/>
  <c r="N130" i="3"/>
  <c r="O130" i="3"/>
  <c r="P130" i="3"/>
  <c r="Q130" i="3"/>
  <c r="R130" i="3"/>
  <c r="M131" i="3"/>
  <c r="N131" i="3"/>
  <c r="O131" i="3"/>
  <c r="P131" i="3"/>
  <c r="Q131" i="3"/>
  <c r="R131" i="3"/>
  <c r="M132" i="3"/>
  <c r="N132" i="3"/>
  <c r="O132" i="3"/>
  <c r="P132" i="3"/>
  <c r="Q132" i="3"/>
  <c r="R132" i="3"/>
  <c r="M133" i="3"/>
  <c r="N133" i="3"/>
  <c r="O133" i="3"/>
  <c r="P133" i="3"/>
  <c r="Q133" i="3"/>
  <c r="R133" i="3"/>
  <c r="M134" i="3"/>
  <c r="N134" i="3"/>
  <c r="O134" i="3"/>
  <c r="P134" i="3"/>
  <c r="Q134" i="3"/>
  <c r="R134" i="3"/>
  <c r="M135" i="3"/>
  <c r="N135" i="3"/>
  <c r="O135" i="3"/>
  <c r="P135" i="3"/>
  <c r="Q135" i="3"/>
  <c r="R135" i="3"/>
  <c r="M136" i="3"/>
  <c r="N136" i="3"/>
  <c r="O136" i="3"/>
  <c r="P136" i="3"/>
  <c r="Q136" i="3"/>
  <c r="R136" i="3"/>
  <c r="M137" i="3"/>
  <c r="N137" i="3"/>
  <c r="O137" i="3"/>
  <c r="P137" i="3"/>
  <c r="Q137" i="3"/>
  <c r="R137" i="3"/>
  <c r="M138" i="3"/>
  <c r="N138" i="3"/>
  <c r="O138" i="3"/>
  <c r="P138" i="3"/>
  <c r="Q138" i="3"/>
  <c r="R138" i="3"/>
  <c r="M139" i="3"/>
  <c r="N139" i="3"/>
  <c r="O139" i="3"/>
  <c r="P139" i="3"/>
  <c r="Q139" i="3"/>
  <c r="R139" i="3"/>
  <c r="M140" i="3"/>
  <c r="N140" i="3"/>
  <c r="O140" i="3"/>
  <c r="P140" i="3"/>
  <c r="Q140" i="3"/>
  <c r="R140" i="3"/>
  <c r="M141" i="3"/>
  <c r="N141" i="3"/>
  <c r="O141" i="3"/>
  <c r="P141" i="3"/>
  <c r="Q141" i="3"/>
  <c r="R141" i="3"/>
  <c r="M142" i="3"/>
  <c r="N142" i="3"/>
  <c r="O142" i="3"/>
  <c r="P142" i="3"/>
  <c r="Q142" i="3"/>
  <c r="R142" i="3"/>
  <c r="M143" i="3"/>
  <c r="N143" i="3"/>
  <c r="O143" i="3"/>
  <c r="P143" i="3"/>
  <c r="Q143" i="3"/>
  <c r="R143" i="3"/>
  <c r="M144" i="3"/>
  <c r="N144" i="3"/>
  <c r="O144" i="3"/>
  <c r="P144" i="3"/>
  <c r="Q144" i="3"/>
  <c r="R144" i="3"/>
  <c r="M145" i="3"/>
  <c r="N145" i="3"/>
  <c r="O145" i="3"/>
  <c r="P145" i="3"/>
  <c r="Q145" i="3"/>
  <c r="R145" i="3"/>
  <c r="M146" i="3"/>
  <c r="N146" i="3"/>
  <c r="O146" i="3"/>
  <c r="P146" i="3"/>
  <c r="Q146" i="3"/>
  <c r="R146" i="3"/>
  <c r="M147" i="3"/>
  <c r="N147" i="3"/>
  <c r="O147" i="3"/>
  <c r="P147" i="3"/>
  <c r="Q147" i="3"/>
  <c r="R147" i="3"/>
  <c r="M148" i="3"/>
  <c r="N148" i="3"/>
  <c r="O148" i="3"/>
  <c r="P148" i="3"/>
  <c r="Q148" i="3"/>
  <c r="R148" i="3"/>
  <c r="M149" i="3"/>
  <c r="N149" i="3"/>
  <c r="O149" i="3"/>
  <c r="P149" i="3"/>
  <c r="Q149" i="3"/>
  <c r="R149" i="3"/>
  <c r="M150" i="3"/>
  <c r="N150" i="3"/>
  <c r="O150" i="3"/>
  <c r="P150" i="3"/>
  <c r="Q150" i="3"/>
  <c r="R150" i="3"/>
  <c r="M151" i="3"/>
  <c r="N151" i="3"/>
  <c r="O151" i="3"/>
  <c r="P151" i="3"/>
  <c r="Q151" i="3"/>
  <c r="R151" i="3"/>
  <c r="M152" i="3"/>
  <c r="N152" i="3"/>
  <c r="O152" i="3"/>
  <c r="P152" i="3"/>
  <c r="Q152" i="3"/>
  <c r="R152" i="3"/>
  <c r="M153" i="3"/>
  <c r="N153" i="3"/>
  <c r="O153" i="3"/>
  <c r="P153" i="3"/>
  <c r="Q153" i="3"/>
  <c r="R153" i="3"/>
  <c r="M154" i="3"/>
  <c r="N154" i="3"/>
  <c r="O154" i="3"/>
  <c r="P154" i="3"/>
  <c r="Q154" i="3"/>
  <c r="R154" i="3"/>
  <c r="M155" i="3"/>
  <c r="N155" i="3"/>
  <c r="O155" i="3"/>
  <c r="P155" i="3"/>
  <c r="Q155" i="3"/>
  <c r="R155" i="3"/>
  <c r="M156" i="3"/>
  <c r="N156" i="3"/>
  <c r="O156" i="3"/>
  <c r="P156" i="3"/>
  <c r="Q156" i="3"/>
  <c r="R156" i="3"/>
  <c r="M157" i="3"/>
  <c r="N157" i="3"/>
  <c r="O157" i="3"/>
  <c r="P157" i="3"/>
  <c r="Q157" i="3"/>
  <c r="R157" i="3"/>
  <c r="M158" i="3"/>
  <c r="N158" i="3"/>
  <c r="O158" i="3"/>
  <c r="P158" i="3"/>
  <c r="Q158" i="3"/>
  <c r="R158" i="3"/>
  <c r="M159" i="3"/>
  <c r="N159" i="3"/>
  <c r="O159" i="3"/>
  <c r="P159" i="3"/>
  <c r="Q159" i="3"/>
  <c r="R159" i="3"/>
  <c r="M160" i="3"/>
  <c r="N160" i="3"/>
  <c r="O160" i="3"/>
  <c r="P160" i="3"/>
  <c r="Q160" i="3"/>
  <c r="R160" i="3"/>
  <c r="M161" i="3"/>
  <c r="N161" i="3"/>
  <c r="O161" i="3"/>
  <c r="P161" i="3"/>
  <c r="Q161" i="3"/>
  <c r="R161" i="3"/>
  <c r="M162" i="3"/>
  <c r="N162" i="3"/>
  <c r="O162" i="3"/>
  <c r="P162" i="3"/>
  <c r="Q162" i="3"/>
  <c r="R162" i="3"/>
  <c r="M163" i="3"/>
  <c r="N163" i="3"/>
  <c r="O163" i="3"/>
  <c r="P163" i="3"/>
  <c r="Q163" i="3"/>
  <c r="R163" i="3"/>
  <c r="M164" i="3"/>
  <c r="N164" i="3"/>
  <c r="O164" i="3"/>
  <c r="P164" i="3"/>
  <c r="Q164" i="3"/>
  <c r="R164" i="3"/>
  <c r="M165" i="3"/>
  <c r="N165" i="3"/>
  <c r="O165" i="3"/>
  <c r="P165" i="3"/>
  <c r="Q165" i="3"/>
  <c r="R165" i="3"/>
  <c r="M166" i="3"/>
  <c r="N166" i="3"/>
  <c r="O166" i="3"/>
  <c r="P166" i="3"/>
  <c r="Q166" i="3"/>
  <c r="R166" i="3"/>
  <c r="M167" i="3"/>
  <c r="N167" i="3"/>
  <c r="O167" i="3"/>
  <c r="P167" i="3"/>
  <c r="Q167" i="3"/>
  <c r="R167" i="3"/>
  <c r="M168" i="3"/>
  <c r="N168" i="3"/>
  <c r="O168" i="3"/>
  <c r="P168" i="3"/>
  <c r="Q168" i="3"/>
  <c r="R168" i="3"/>
  <c r="M169" i="3"/>
  <c r="N169" i="3"/>
  <c r="O169" i="3"/>
  <c r="P169" i="3"/>
  <c r="Q169" i="3"/>
  <c r="R169" i="3"/>
  <c r="M170" i="3"/>
  <c r="N170" i="3"/>
  <c r="O170" i="3"/>
  <c r="P170" i="3"/>
  <c r="Q170" i="3"/>
  <c r="R170" i="3"/>
  <c r="M171" i="3"/>
  <c r="N171" i="3"/>
  <c r="O171" i="3"/>
  <c r="P171" i="3"/>
  <c r="Q171" i="3"/>
  <c r="R171" i="3"/>
  <c r="M172" i="3"/>
  <c r="N172" i="3"/>
  <c r="O172" i="3"/>
  <c r="P172" i="3"/>
  <c r="Q172" i="3"/>
  <c r="R172" i="3"/>
  <c r="M173" i="3"/>
  <c r="N173" i="3"/>
  <c r="O173" i="3"/>
  <c r="P173" i="3"/>
  <c r="Q173" i="3"/>
  <c r="R173" i="3"/>
  <c r="M174" i="3"/>
  <c r="N174" i="3"/>
  <c r="O174" i="3"/>
  <c r="P174" i="3"/>
  <c r="Q174" i="3"/>
  <c r="R174" i="3"/>
  <c r="M175" i="3"/>
  <c r="N175" i="3"/>
  <c r="O175" i="3"/>
  <c r="P175" i="3"/>
  <c r="Q175" i="3"/>
  <c r="R175" i="3"/>
  <c r="M176" i="3"/>
  <c r="N176" i="3"/>
  <c r="O176" i="3"/>
  <c r="P176" i="3"/>
  <c r="Q176" i="3"/>
  <c r="R176" i="3"/>
  <c r="M177" i="3"/>
  <c r="N177" i="3"/>
  <c r="O177" i="3"/>
  <c r="P177" i="3"/>
  <c r="Q177" i="3"/>
  <c r="R177" i="3"/>
  <c r="M178" i="3"/>
  <c r="N178" i="3"/>
  <c r="O178" i="3"/>
  <c r="P178" i="3"/>
  <c r="Q178" i="3"/>
  <c r="R178" i="3"/>
  <c r="M179" i="3"/>
  <c r="N179" i="3"/>
  <c r="O179" i="3"/>
  <c r="P179" i="3"/>
  <c r="Q179" i="3"/>
  <c r="R179" i="3"/>
  <c r="M180" i="3"/>
  <c r="N180" i="3"/>
  <c r="O180" i="3"/>
  <c r="P180" i="3"/>
  <c r="Q180" i="3"/>
  <c r="R180" i="3"/>
  <c r="M181" i="3"/>
  <c r="N181" i="3"/>
  <c r="O181" i="3"/>
  <c r="P181" i="3"/>
  <c r="Q181" i="3"/>
  <c r="R181" i="3"/>
  <c r="M182" i="3"/>
  <c r="N182" i="3"/>
  <c r="O182" i="3"/>
  <c r="P182" i="3"/>
  <c r="Q182" i="3"/>
  <c r="R182" i="3"/>
  <c r="M183" i="3"/>
  <c r="N183" i="3"/>
  <c r="O183" i="3"/>
  <c r="P183" i="3"/>
  <c r="Q183" i="3"/>
  <c r="R183" i="3"/>
  <c r="M184" i="3"/>
  <c r="N184" i="3"/>
  <c r="O184" i="3"/>
  <c r="P184" i="3"/>
  <c r="Q184" i="3"/>
  <c r="R184" i="3"/>
  <c r="M185" i="3"/>
  <c r="N185" i="3"/>
  <c r="O185" i="3"/>
  <c r="P185" i="3"/>
  <c r="Q185" i="3"/>
  <c r="R185" i="3"/>
  <c r="M186" i="3"/>
  <c r="N186" i="3"/>
  <c r="O186" i="3"/>
  <c r="P186" i="3"/>
  <c r="Q186" i="3"/>
  <c r="R186" i="3"/>
  <c r="M187" i="3"/>
  <c r="N187" i="3"/>
  <c r="O187" i="3"/>
  <c r="P187" i="3"/>
  <c r="Q187" i="3"/>
  <c r="R187" i="3"/>
  <c r="M188" i="3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M191" i="3"/>
  <c r="N191" i="3"/>
  <c r="O191" i="3"/>
  <c r="P191" i="3"/>
  <c r="Q191" i="3"/>
  <c r="R191" i="3"/>
  <c r="M192" i="3"/>
  <c r="N192" i="3"/>
  <c r="O192" i="3"/>
  <c r="P192" i="3"/>
  <c r="Q192" i="3"/>
  <c r="R192" i="3"/>
  <c r="M193" i="3"/>
  <c r="N193" i="3"/>
  <c r="O193" i="3"/>
  <c r="P193" i="3"/>
  <c r="Q193" i="3"/>
  <c r="R193" i="3"/>
  <c r="M194" i="3"/>
  <c r="N194" i="3"/>
  <c r="O194" i="3"/>
  <c r="P194" i="3"/>
  <c r="Q194" i="3"/>
  <c r="R194" i="3"/>
  <c r="M195" i="3"/>
  <c r="N195" i="3"/>
  <c r="O195" i="3"/>
  <c r="P195" i="3"/>
  <c r="Q195" i="3"/>
  <c r="R195" i="3"/>
  <c r="M196" i="3"/>
  <c r="N196" i="3"/>
  <c r="O196" i="3"/>
  <c r="P196" i="3"/>
  <c r="Q196" i="3"/>
  <c r="R196" i="3"/>
  <c r="M197" i="3"/>
  <c r="N197" i="3"/>
  <c r="O197" i="3"/>
  <c r="P197" i="3"/>
  <c r="Q197" i="3"/>
  <c r="R197" i="3"/>
  <c r="M198" i="3"/>
  <c r="N198" i="3"/>
  <c r="O198" i="3"/>
  <c r="P198" i="3"/>
  <c r="Q198" i="3"/>
  <c r="R198" i="3"/>
  <c r="M199" i="3"/>
  <c r="N199" i="3"/>
  <c r="O199" i="3"/>
  <c r="P199" i="3"/>
  <c r="Q199" i="3"/>
  <c r="R199" i="3"/>
  <c r="M200" i="3"/>
  <c r="N200" i="3"/>
  <c r="O200" i="3"/>
  <c r="P200" i="3"/>
  <c r="Q200" i="3"/>
  <c r="R200" i="3"/>
  <c r="M201" i="3"/>
  <c r="N201" i="3"/>
  <c r="O201" i="3"/>
  <c r="P201" i="3"/>
  <c r="Q201" i="3"/>
  <c r="R201" i="3"/>
  <c r="M202" i="3"/>
  <c r="N202" i="3"/>
  <c r="O202" i="3"/>
  <c r="P202" i="3"/>
  <c r="Q202" i="3"/>
  <c r="R202" i="3"/>
  <c r="M203" i="3"/>
  <c r="N203" i="3"/>
  <c r="O203" i="3"/>
  <c r="P203" i="3"/>
  <c r="Q203" i="3"/>
  <c r="R203" i="3"/>
  <c r="M204" i="3"/>
  <c r="N204" i="3"/>
  <c r="O204" i="3"/>
  <c r="P204" i="3"/>
  <c r="Q204" i="3"/>
  <c r="R204" i="3"/>
  <c r="M205" i="3"/>
  <c r="N205" i="3"/>
  <c r="O205" i="3"/>
  <c r="P205" i="3"/>
  <c r="Q205" i="3"/>
  <c r="R205" i="3"/>
  <c r="M206" i="3"/>
  <c r="N206" i="3"/>
  <c r="O206" i="3"/>
  <c r="P206" i="3"/>
  <c r="Q206" i="3"/>
  <c r="R206" i="3"/>
  <c r="M207" i="3"/>
  <c r="N207" i="3"/>
  <c r="O207" i="3"/>
  <c r="P207" i="3"/>
  <c r="Q207" i="3"/>
  <c r="R207" i="3"/>
  <c r="M208" i="3"/>
  <c r="N208" i="3"/>
  <c r="O208" i="3"/>
  <c r="P208" i="3"/>
  <c r="Q208" i="3"/>
  <c r="R208" i="3"/>
  <c r="M209" i="3"/>
  <c r="N209" i="3"/>
  <c r="O209" i="3"/>
  <c r="P209" i="3"/>
  <c r="Q209" i="3"/>
  <c r="R209" i="3"/>
  <c r="M210" i="3"/>
  <c r="N210" i="3"/>
  <c r="O210" i="3"/>
  <c r="P210" i="3"/>
  <c r="Q210" i="3"/>
  <c r="R210" i="3"/>
  <c r="M211" i="3"/>
  <c r="N211" i="3"/>
  <c r="O211" i="3"/>
  <c r="P211" i="3"/>
  <c r="Q211" i="3"/>
  <c r="R211" i="3"/>
  <c r="M212" i="3"/>
  <c r="N212" i="3"/>
  <c r="O212" i="3"/>
  <c r="P212" i="3"/>
  <c r="Q212" i="3"/>
  <c r="R212" i="3"/>
  <c r="M213" i="3"/>
  <c r="N213" i="3"/>
  <c r="O213" i="3"/>
  <c r="P213" i="3"/>
  <c r="Q213" i="3"/>
  <c r="R213" i="3"/>
  <c r="M214" i="3"/>
  <c r="N214" i="3"/>
  <c r="O214" i="3"/>
  <c r="P214" i="3"/>
  <c r="Q214" i="3"/>
  <c r="R214" i="3"/>
  <c r="M215" i="3"/>
  <c r="N215" i="3"/>
  <c r="O215" i="3"/>
  <c r="P215" i="3"/>
  <c r="Q215" i="3"/>
  <c r="R215" i="3"/>
  <c r="M216" i="3"/>
  <c r="N216" i="3"/>
  <c r="O216" i="3"/>
  <c r="P216" i="3"/>
  <c r="Q216" i="3"/>
  <c r="R216" i="3"/>
  <c r="M217" i="3"/>
  <c r="N217" i="3"/>
  <c r="O217" i="3"/>
  <c r="P217" i="3"/>
  <c r="Q217" i="3"/>
  <c r="R217" i="3"/>
  <c r="M218" i="3"/>
  <c r="N218" i="3"/>
  <c r="O218" i="3"/>
  <c r="P218" i="3"/>
  <c r="Q218" i="3"/>
  <c r="R218" i="3"/>
  <c r="M219" i="3"/>
  <c r="N219" i="3"/>
  <c r="O219" i="3"/>
  <c r="P219" i="3"/>
  <c r="Q219" i="3"/>
  <c r="R219" i="3"/>
  <c r="M220" i="3"/>
  <c r="N220" i="3"/>
  <c r="O220" i="3"/>
  <c r="P220" i="3"/>
  <c r="Q220" i="3"/>
  <c r="R220" i="3"/>
  <c r="M221" i="3"/>
  <c r="N221" i="3"/>
  <c r="O221" i="3"/>
  <c r="P221" i="3"/>
  <c r="Q221" i="3"/>
  <c r="R221" i="3"/>
  <c r="M222" i="3"/>
  <c r="N222" i="3"/>
  <c r="O222" i="3"/>
  <c r="P222" i="3"/>
  <c r="Q222" i="3"/>
  <c r="R222" i="3"/>
  <c r="M223" i="3"/>
  <c r="N223" i="3"/>
  <c r="O223" i="3"/>
  <c r="P223" i="3"/>
  <c r="Q223" i="3"/>
  <c r="R223" i="3"/>
  <c r="M224" i="3"/>
  <c r="N224" i="3"/>
  <c r="O224" i="3"/>
  <c r="P224" i="3"/>
  <c r="Q224" i="3"/>
  <c r="R224" i="3"/>
  <c r="M225" i="3"/>
  <c r="N225" i="3"/>
  <c r="O225" i="3"/>
  <c r="P225" i="3"/>
  <c r="Q225" i="3"/>
  <c r="R225" i="3"/>
  <c r="M226" i="3"/>
  <c r="N226" i="3"/>
  <c r="O226" i="3"/>
  <c r="P226" i="3"/>
  <c r="Q226" i="3"/>
  <c r="R226" i="3"/>
  <c r="M227" i="3"/>
  <c r="N227" i="3"/>
  <c r="O227" i="3"/>
  <c r="P227" i="3"/>
  <c r="Q227" i="3"/>
  <c r="R227" i="3"/>
  <c r="M228" i="3"/>
  <c r="N228" i="3"/>
  <c r="O228" i="3"/>
  <c r="P228" i="3"/>
  <c r="Q228" i="3"/>
  <c r="R228" i="3"/>
  <c r="M229" i="3"/>
  <c r="N229" i="3"/>
  <c r="O229" i="3"/>
  <c r="P229" i="3"/>
  <c r="Q229" i="3"/>
  <c r="R229" i="3"/>
  <c r="M230" i="3"/>
  <c r="N230" i="3"/>
  <c r="O230" i="3"/>
  <c r="P230" i="3"/>
  <c r="Q230" i="3"/>
  <c r="R230" i="3"/>
  <c r="M231" i="3"/>
  <c r="N231" i="3"/>
  <c r="O231" i="3"/>
  <c r="P231" i="3"/>
  <c r="Q231" i="3"/>
  <c r="R231" i="3"/>
  <c r="M232" i="3"/>
  <c r="N232" i="3"/>
  <c r="O232" i="3"/>
  <c r="P232" i="3"/>
  <c r="Q232" i="3"/>
  <c r="R232" i="3"/>
  <c r="M233" i="3"/>
  <c r="N233" i="3"/>
  <c r="O233" i="3"/>
  <c r="P233" i="3"/>
  <c r="Q233" i="3"/>
  <c r="R233" i="3"/>
  <c r="M234" i="3"/>
  <c r="N234" i="3"/>
  <c r="O234" i="3"/>
  <c r="P234" i="3"/>
  <c r="Q234" i="3"/>
  <c r="R234" i="3"/>
  <c r="M235" i="3"/>
  <c r="N235" i="3"/>
  <c r="O235" i="3"/>
  <c r="P235" i="3"/>
  <c r="Q235" i="3"/>
  <c r="R235" i="3"/>
  <c r="M236" i="3"/>
  <c r="N236" i="3"/>
  <c r="O236" i="3"/>
  <c r="P236" i="3"/>
  <c r="Q236" i="3"/>
  <c r="R236" i="3"/>
  <c r="M237" i="3"/>
  <c r="N237" i="3"/>
  <c r="O237" i="3"/>
  <c r="P237" i="3"/>
  <c r="Q237" i="3"/>
  <c r="R237" i="3"/>
  <c r="M238" i="3"/>
  <c r="N238" i="3"/>
  <c r="O238" i="3"/>
  <c r="P238" i="3"/>
  <c r="Q238" i="3"/>
  <c r="R238" i="3"/>
  <c r="M239" i="3"/>
  <c r="N239" i="3"/>
  <c r="O239" i="3"/>
  <c r="P239" i="3"/>
  <c r="Q239" i="3"/>
  <c r="R239" i="3"/>
  <c r="M240" i="3"/>
  <c r="N240" i="3"/>
  <c r="O240" i="3"/>
  <c r="P240" i="3"/>
  <c r="Q240" i="3"/>
  <c r="R240" i="3"/>
  <c r="M241" i="3"/>
  <c r="N241" i="3"/>
  <c r="O241" i="3"/>
  <c r="P241" i="3"/>
  <c r="Q241" i="3"/>
  <c r="R241" i="3"/>
  <c r="M242" i="3"/>
  <c r="N242" i="3"/>
  <c r="O242" i="3"/>
  <c r="P242" i="3"/>
  <c r="Q242" i="3"/>
  <c r="R242" i="3"/>
  <c r="M243" i="3"/>
  <c r="N243" i="3"/>
  <c r="O243" i="3"/>
  <c r="P243" i="3"/>
  <c r="Q243" i="3"/>
  <c r="R243" i="3"/>
  <c r="M244" i="3"/>
  <c r="N244" i="3"/>
  <c r="O244" i="3"/>
  <c r="P244" i="3"/>
  <c r="Q244" i="3"/>
  <c r="R244" i="3"/>
  <c r="M245" i="3"/>
  <c r="N245" i="3"/>
  <c r="O245" i="3"/>
  <c r="P245" i="3"/>
  <c r="Q245" i="3"/>
  <c r="R245" i="3"/>
  <c r="M246" i="3"/>
  <c r="N246" i="3"/>
  <c r="O246" i="3"/>
  <c r="P246" i="3"/>
  <c r="Q246" i="3"/>
  <c r="R246" i="3"/>
  <c r="M247" i="3"/>
  <c r="N247" i="3"/>
  <c r="O247" i="3"/>
  <c r="P247" i="3"/>
  <c r="Q247" i="3"/>
  <c r="R247" i="3"/>
  <c r="M248" i="3"/>
  <c r="N248" i="3"/>
  <c r="O248" i="3"/>
  <c r="P248" i="3"/>
  <c r="Q248" i="3"/>
  <c r="R248" i="3"/>
  <c r="M249" i="3"/>
  <c r="N249" i="3"/>
  <c r="O249" i="3"/>
  <c r="P249" i="3"/>
  <c r="Q249" i="3"/>
  <c r="R249" i="3"/>
  <c r="M250" i="3"/>
  <c r="N250" i="3"/>
  <c r="O250" i="3"/>
  <c r="P250" i="3"/>
  <c r="Q250" i="3"/>
  <c r="R250" i="3"/>
  <c r="M251" i="3"/>
  <c r="N251" i="3"/>
  <c r="O251" i="3"/>
  <c r="P251" i="3"/>
  <c r="Q251" i="3"/>
  <c r="R251" i="3"/>
  <c r="M252" i="3"/>
  <c r="N252" i="3"/>
  <c r="O252" i="3"/>
  <c r="P252" i="3"/>
  <c r="Q252" i="3"/>
  <c r="R252" i="3"/>
  <c r="M253" i="3"/>
  <c r="N253" i="3"/>
  <c r="O253" i="3"/>
  <c r="P253" i="3"/>
  <c r="Q253" i="3"/>
  <c r="R253" i="3"/>
  <c r="M254" i="3"/>
  <c r="N254" i="3"/>
  <c r="O254" i="3"/>
  <c r="P254" i="3"/>
  <c r="Q254" i="3"/>
  <c r="R254" i="3"/>
  <c r="M255" i="3"/>
  <c r="N255" i="3"/>
  <c r="O255" i="3"/>
  <c r="P255" i="3"/>
  <c r="Q255" i="3"/>
  <c r="R255" i="3"/>
  <c r="M256" i="3"/>
  <c r="N256" i="3"/>
  <c r="O256" i="3"/>
  <c r="P256" i="3"/>
  <c r="Q256" i="3"/>
  <c r="R256" i="3"/>
  <c r="M257" i="3"/>
  <c r="N257" i="3"/>
  <c r="O257" i="3"/>
  <c r="P257" i="3"/>
  <c r="Q257" i="3"/>
  <c r="R257" i="3"/>
  <c r="M258" i="3"/>
  <c r="N258" i="3"/>
  <c r="O258" i="3"/>
  <c r="P258" i="3"/>
  <c r="Q258" i="3"/>
  <c r="R258" i="3"/>
  <c r="M259" i="3"/>
  <c r="N259" i="3"/>
  <c r="O259" i="3"/>
  <c r="P259" i="3"/>
  <c r="Q259" i="3"/>
  <c r="R259" i="3"/>
  <c r="M260" i="3"/>
  <c r="N260" i="3"/>
  <c r="O260" i="3"/>
  <c r="P260" i="3"/>
  <c r="Q260" i="3"/>
  <c r="R260" i="3"/>
  <c r="M261" i="3"/>
  <c r="N261" i="3"/>
  <c r="O261" i="3"/>
  <c r="P261" i="3"/>
  <c r="Q261" i="3"/>
  <c r="R261" i="3"/>
  <c r="M262" i="3"/>
  <c r="N262" i="3"/>
  <c r="O262" i="3"/>
  <c r="P262" i="3"/>
  <c r="Q262" i="3"/>
  <c r="R262" i="3"/>
  <c r="M263" i="3"/>
  <c r="N263" i="3"/>
  <c r="O263" i="3"/>
  <c r="P263" i="3"/>
  <c r="Q263" i="3"/>
  <c r="R263" i="3"/>
  <c r="M264" i="3"/>
  <c r="N264" i="3"/>
  <c r="O264" i="3"/>
  <c r="P264" i="3"/>
  <c r="Q264" i="3"/>
  <c r="R264" i="3"/>
  <c r="M265" i="3"/>
  <c r="N265" i="3"/>
  <c r="O265" i="3"/>
  <c r="P265" i="3"/>
  <c r="Q265" i="3"/>
  <c r="R265" i="3"/>
  <c r="M266" i="3"/>
  <c r="N266" i="3"/>
  <c r="O266" i="3"/>
  <c r="P266" i="3"/>
  <c r="Q266" i="3"/>
  <c r="R266" i="3"/>
  <c r="M267" i="3"/>
  <c r="N267" i="3"/>
  <c r="O267" i="3"/>
  <c r="P267" i="3"/>
  <c r="Q267" i="3"/>
  <c r="R267" i="3"/>
  <c r="M268" i="3"/>
  <c r="N268" i="3"/>
  <c r="O268" i="3"/>
  <c r="P268" i="3"/>
  <c r="Q268" i="3"/>
  <c r="R268" i="3"/>
  <c r="M269" i="3"/>
  <c r="N269" i="3"/>
  <c r="O269" i="3"/>
  <c r="P269" i="3"/>
  <c r="Q269" i="3"/>
  <c r="R269" i="3"/>
  <c r="M270" i="3"/>
  <c r="N270" i="3"/>
  <c r="O270" i="3"/>
  <c r="P270" i="3"/>
  <c r="Q270" i="3"/>
  <c r="R270" i="3"/>
  <c r="M271" i="3"/>
  <c r="N271" i="3"/>
  <c r="O271" i="3"/>
  <c r="P271" i="3"/>
  <c r="Q271" i="3"/>
  <c r="R271" i="3"/>
  <c r="M272" i="3"/>
  <c r="N272" i="3"/>
  <c r="O272" i="3"/>
  <c r="P272" i="3"/>
  <c r="Q272" i="3"/>
  <c r="R272" i="3"/>
  <c r="M273" i="3"/>
  <c r="N273" i="3"/>
  <c r="O273" i="3"/>
  <c r="P273" i="3"/>
  <c r="Q273" i="3"/>
  <c r="R273" i="3"/>
  <c r="M274" i="3"/>
  <c r="N274" i="3"/>
  <c r="O274" i="3"/>
  <c r="P274" i="3"/>
  <c r="Q274" i="3"/>
  <c r="R274" i="3"/>
  <c r="M275" i="3"/>
  <c r="N275" i="3"/>
  <c r="O275" i="3"/>
  <c r="P275" i="3"/>
  <c r="Q275" i="3"/>
  <c r="R275" i="3"/>
  <c r="M276" i="3"/>
  <c r="N276" i="3"/>
  <c r="O276" i="3"/>
  <c r="P276" i="3"/>
  <c r="Q276" i="3"/>
  <c r="R276" i="3"/>
  <c r="M277" i="3"/>
  <c r="N277" i="3"/>
  <c r="O277" i="3"/>
  <c r="P277" i="3"/>
  <c r="Q277" i="3"/>
  <c r="R277" i="3"/>
  <c r="M278" i="3"/>
  <c r="N278" i="3"/>
  <c r="O278" i="3"/>
  <c r="P278" i="3"/>
  <c r="Q278" i="3"/>
  <c r="R278" i="3"/>
  <c r="M279" i="3"/>
  <c r="N279" i="3"/>
  <c r="O279" i="3"/>
  <c r="P279" i="3"/>
  <c r="Q279" i="3"/>
  <c r="R279" i="3"/>
  <c r="M280" i="3"/>
  <c r="N280" i="3"/>
  <c r="O280" i="3"/>
  <c r="P280" i="3"/>
  <c r="Q280" i="3"/>
  <c r="R280" i="3"/>
  <c r="M281" i="3"/>
  <c r="N281" i="3"/>
  <c r="O281" i="3"/>
  <c r="P281" i="3"/>
  <c r="Q281" i="3"/>
  <c r="R281" i="3"/>
  <c r="M282" i="3"/>
  <c r="N282" i="3"/>
  <c r="O282" i="3"/>
  <c r="P282" i="3"/>
  <c r="Q282" i="3"/>
  <c r="R282" i="3"/>
  <c r="M283" i="3"/>
  <c r="N283" i="3"/>
  <c r="O283" i="3"/>
  <c r="P283" i="3"/>
  <c r="Q283" i="3"/>
  <c r="R283" i="3"/>
  <c r="M284" i="3"/>
  <c r="N284" i="3"/>
  <c r="O284" i="3"/>
  <c r="P284" i="3"/>
  <c r="Q284" i="3"/>
  <c r="R284" i="3"/>
  <c r="M285" i="3"/>
  <c r="N285" i="3"/>
  <c r="O285" i="3"/>
  <c r="P285" i="3"/>
  <c r="Q285" i="3"/>
  <c r="R285" i="3"/>
  <c r="M286" i="3"/>
  <c r="N286" i="3"/>
  <c r="O286" i="3"/>
  <c r="P286" i="3"/>
  <c r="Q286" i="3"/>
  <c r="R286" i="3"/>
  <c r="M287" i="3"/>
  <c r="N287" i="3"/>
  <c r="O287" i="3"/>
  <c r="P287" i="3"/>
  <c r="Q287" i="3"/>
  <c r="R287" i="3"/>
  <c r="M288" i="3"/>
  <c r="N288" i="3"/>
  <c r="O288" i="3"/>
  <c r="P288" i="3"/>
  <c r="Q288" i="3"/>
  <c r="R288" i="3"/>
  <c r="M289" i="3"/>
  <c r="N289" i="3"/>
  <c r="O289" i="3"/>
  <c r="P289" i="3"/>
  <c r="Q289" i="3"/>
  <c r="R289" i="3"/>
  <c r="M290" i="3"/>
  <c r="N290" i="3"/>
  <c r="O290" i="3"/>
  <c r="P290" i="3"/>
  <c r="Q290" i="3"/>
  <c r="R290" i="3"/>
  <c r="M291" i="3"/>
  <c r="N291" i="3"/>
  <c r="O291" i="3"/>
  <c r="P291" i="3"/>
  <c r="Q291" i="3"/>
  <c r="R291" i="3"/>
  <c r="M292" i="3"/>
  <c r="N292" i="3"/>
  <c r="O292" i="3"/>
  <c r="P292" i="3"/>
  <c r="Q292" i="3"/>
  <c r="R292" i="3"/>
  <c r="M293" i="3"/>
  <c r="N293" i="3"/>
  <c r="O293" i="3"/>
  <c r="P293" i="3"/>
  <c r="Q293" i="3"/>
  <c r="R293" i="3"/>
  <c r="M294" i="3"/>
  <c r="N294" i="3"/>
  <c r="O294" i="3"/>
  <c r="P294" i="3"/>
  <c r="Q294" i="3"/>
  <c r="R294" i="3"/>
  <c r="M295" i="3"/>
  <c r="N295" i="3"/>
  <c r="O295" i="3"/>
  <c r="P295" i="3"/>
  <c r="Q295" i="3"/>
  <c r="R295" i="3"/>
  <c r="M296" i="3"/>
  <c r="N296" i="3"/>
  <c r="O296" i="3"/>
  <c r="P296" i="3"/>
  <c r="Q296" i="3"/>
  <c r="R296" i="3"/>
  <c r="M297" i="3"/>
  <c r="N297" i="3"/>
  <c r="O297" i="3"/>
  <c r="P297" i="3"/>
  <c r="Q297" i="3"/>
  <c r="R297" i="3"/>
  <c r="M298" i="3"/>
  <c r="N298" i="3"/>
  <c r="O298" i="3"/>
  <c r="P298" i="3"/>
  <c r="Q298" i="3"/>
  <c r="R298" i="3"/>
  <c r="M299" i="3"/>
  <c r="N299" i="3"/>
  <c r="O299" i="3"/>
  <c r="P299" i="3"/>
  <c r="Q299" i="3"/>
  <c r="R299" i="3"/>
  <c r="M300" i="3"/>
  <c r="N300" i="3"/>
  <c r="O300" i="3"/>
  <c r="P300" i="3"/>
  <c r="Q300" i="3"/>
  <c r="R300" i="3"/>
  <c r="M301" i="3"/>
  <c r="N301" i="3"/>
  <c r="O301" i="3"/>
  <c r="P301" i="3"/>
  <c r="Q301" i="3"/>
  <c r="R301" i="3"/>
  <c r="M302" i="3"/>
  <c r="N302" i="3"/>
  <c r="O302" i="3"/>
  <c r="P302" i="3"/>
  <c r="Q302" i="3"/>
  <c r="R302" i="3"/>
  <c r="M303" i="3"/>
  <c r="N303" i="3"/>
  <c r="O303" i="3"/>
  <c r="P303" i="3"/>
  <c r="Q303" i="3"/>
  <c r="R303" i="3"/>
  <c r="M304" i="3"/>
  <c r="N304" i="3"/>
  <c r="O304" i="3"/>
  <c r="P304" i="3"/>
  <c r="Q304" i="3"/>
  <c r="R304" i="3"/>
  <c r="M305" i="3"/>
  <c r="N305" i="3"/>
  <c r="O305" i="3"/>
  <c r="P305" i="3"/>
  <c r="Q305" i="3"/>
  <c r="R305" i="3"/>
  <c r="M306" i="3"/>
  <c r="N306" i="3"/>
  <c r="O306" i="3"/>
  <c r="P306" i="3"/>
  <c r="Q306" i="3"/>
  <c r="R306" i="3"/>
  <c r="M307" i="3"/>
  <c r="N307" i="3"/>
  <c r="O307" i="3"/>
  <c r="P307" i="3"/>
  <c r="Q307" i="3"/>
  <c r="R307" i="3"/>
  <c r="M308" i="3"/>
  <c r="N308" i="3"/>
  <c r="O308" i="3"/>
  <c r="P308" i="3"/>
  <c r="Q308" i="3"/>
  <c r="R308" i="3"/>
  <c r="M309" i="3"/>
  <c r="N309" i="3"/>
  <c r="O309" i="3"/>
  <c r="P309" i="3"/>
  <c r="Q309" i="3"/>
  <c r="R309" i="3"/>
  <c r="M310" i="3"/>
  <c r="N310" i="3"/>
  <c r="O310" i="3"/>
  <c r="P310" i="3"/>
  <c r="Q310" i="3"/>
  <c r="R310" i="3"/>
  <c r="M311" i="3"/>
  <c r="N311" i="3"/>
  <c r="O311" i="3"/>
  <c r="P311" i="3"/>
  <c r="Q311" i="3"/>
  <c r="R311" i="3"/>
  <c r="M312" i="3"/>
  <c r="N312" i="3"/>
  <c r="O312" i="3"/>
  <c r="P312" i="3"/>
  <c r="Q312" i="3"/>
  <c r="R312" i="3"/>
  <c r="M313" i="3"/>
  <c r="N313" i="3"/>
  <c r="O313" i="3"/>
  <c r="P313" i="3"/>
  <c r="Q313" i="3"/>
  <c r="R313" i="3"/>
  <c r="M314" i="3"/>
  <c r="N314" i="3"/>
  <c r="O314" i="3"/>
  <c r="P314" i="3"/>
  <c r="Q314" i="3"/>
  <c r="R314" i="3"/>
  <c r="M315" i="3"/>
  <c r="N315" i="3"/>
  <c r="O315" i="3"/>
  <c r="P315" i="3"/>
  <c r="Q315" i="3"/>
  <c r="R315" i="3"/>
  <c r="M316" i="3"/>
  <c r="N316" i="3"/>
  <c r="O316" i="3"/>
  <c r="P316" i="3"/>
  <c r="Q316" i="3"/>
  <c r="R316" i="3"/>
  <c r="M317" i="3"/>
  <c r="N317" i="3"/>
  <c r="O317" i="3"/>
  <c r="P317" i="3"/>
  <c r="Q317" i="3"/>
  <c r="R317" i="3"/>
  <c r="M318" i="3"/>
  <c r="N318" i="3"/>
  <c r="O318" i="3"/>
  <c r="P318" i="3"/>
  <c r="Q318" i="3"/>
  <c r="R318" i="3"/>
  <c r="M319" i="3"/>
  <c r="N319" i="3"/>
  <c r="O319" i="3"/>
  <c r="P319" i="3"/>
  <c r="Q319" i="3"/>
  <c r="R319" i="3"/>
  <c r="M320" i="3"/>
  <c r="N320" i="3"/>
  <c r="O320" i="3"/>
  <c r="P320" i="3"/>
  <c r="Q320" i="3"/>
  <c r="R320" i="3"/>
  <c r="M321" i="3"/>
  <c r="N321" i="3"/>
  <c r="O321" i="3"/>
  <c r="P321" i="3"/>
  <c r="Q321" i="3"/>
  <c r="R321" i="3"/>
  <c r="M322" i="3"/>
  <c r="N322" i="3"/>
  <c r="O322" i="3"/>
  <c r="P322" i="3"/>
  <c r="Q322" i="3"/>
  <c r="R322" i="3"/>
  <c r="M323" i="3"/>
  <c r="N323" i="3"/>
  <c r="O323" i="3"/>
  <c r="P323" i="3"/>
  <c r="Q323" i="3"/>
  <c r="R323" i="3"/>
  <c r="M324" i="3"/>
  <c r="N324" i="3"/>
  <c r="O324" i="3"/>
  <c r="P324" i="3"/>
  <c r="Q324" i="3"/>
  <c r="R324" i="3"/>
  <c r="M325" i="3"/>
  <c r="N325" i="3"/>
  <c r="O325" i="3"/>
  <c r="P325" i="3"/>
  <c r="Q325" i="3"/>
  <c r="R325" i="3"/>
  <c r="M326" i="3"/>
  <c r="N326" i="3"/>
  <c r="O326" i="3"/>
  <c r="P326" i="3"/>
  <c r="Q326" i="3"/>
  <c r="R326" i="3"/>
  <c r="M327" i="3"/>
  <c r="N327" i="3"/>
  <c r="O327" i="3"/>
  <c r="P327" i="3"/>
  <c r="Q327" i="3"/>
  <c r="R327" i="3"/>
  <c r="M328" i="3"/>
  <c r="N328" i="3"/>
  <c r="O328" i="3"/>
  <c r="P328" i="3"/>
  <c r="Q328" i="3"/>
  <c r="R328" i="3"/>
  <c r="M329" i="3"/>
  <c r="N329" i="3"/>
  <c r="O329" i="3"/>
  <c r="P329" i="3"/>
  <c r="Q329" i="3"/>
  <c r="R329" i="3"/>
  <c r="M330" i="3"/>
  <c r="N330" i="3"/>
  <c r="O330" i="3"/>
  <c r="P330" i="3"/>
  <c r="Q330" i="3"/>
  <c r="R330" i="3"/>
  <c r="M331" i="3"/>
  <c r="N331" i="3"/>
  <c r="O331" i="3"/>
  <c r="P331" i="3"/>
  <c r="Q331" i="3"/>
  <c r="R331" i="3"/>
  <c r="M332" i="3"/>
  <c r="N332" i="3"/>
  <c r="O332" i="3"/>
  <c r="P332" i="3"/>
  <c r="Q332" i="3"/>
  <c r="R332" i="3"/>
  <c r="M333" i="3"/>
  <c r="N333" i="3"/>
  <c r="O333" i="3"/>
  <c r="P333" i="3"/>
  <c r="Q333" i="3"/>
  <c r="R333" i="3"/>
  <c r="M334" i="3"/>
  <c r="N334" i="3"/>
  <c r="O334" i="3"/>
  <c r="P334" i="3"/>
  <c r="Q334" i="3"/>
  <c r="R334" i="3"/>
  <c r="M335" i="3"/>
  <c r="N335" i="3"/>
  <c r="O335" i="3"/>
  <c r="P335" i="3"/>
  <c r="Q335" i="3"/>
  <c r="R335" i="3"/>
  <c r="M336" i="3"/>
  <c r="N336" i="3"/>
  <c r="O336" i="3"/>
  <c r="P336" i="3"/>
  <c r="Q336" i="3"/>
  <c r="R336" i="3"/>
  <c r="M337" i="3"/>
  <c r="N337" i="3"/>
  <c r="O337" i="3"/>
  <c r="P337" i="3"/>
  <c r="Q337" i="3"/>
  <c r="R337" i="3"/>
  <c r="M338" i="3"/>
  <c r="N338" i="3"/>
  <c r="O338" i="3"/>
  <c r="P338" i="3"/>
  <c r="Q338" i="3"/>
  <c r="R338" i="3"/>
  <c r="M339" i="3"/>
  <c r="N339" i="3"/>
  <c r="O339" i="3"/>
  <c r="P339" i="3"/>
  <c r="Q339" i="3"/>
  <c r="R339" i="3"/>
  <c r="M340" i="3"/>
  <c r="N340" i="3"/>
  <c r="O340" i="3"/>
  <c r="P340" i="3"/>
  <c r="Q340" i="3"/>
  <c r="R340" i="3"/>
  <c r="M341" i="3"/>
  <c r="N341" i="3"/>
  <c r="O341" i="3"/>
  <c r="P341" i="3"/>
  <c r="Q341" i="3"/>
  <c r="R341" i="3"/>
  <c r="M342" i="3"/>
  <c r="N342" i="3"/>
  <c r="O342" i="3"/>
  <c r="P342" i="3"/>
  <c r="Q342" i="3"/>
  <c r="R342" i="3"/>
  <c r="M343" i="3"/>
  <c r="N343" i="3"/>
  <c r="O343" i="3"/>
  <c r="P343" i="3"/>
  <c r="Q343" i="3"/>
  <c r="R343" i="3"/>
  <c r="M344" i="3"/>
  <c r="N344" i="3"/>
  <c r="O344" i="3"/>
  <c r="P344" i="3"/>
  <c r="Q344" i="3"/>
  <c r="R344" i="3"/>
  <c r="M345" i="3"/>
  <c r="N345" i="3"/>
  <c r="O345" i="3"/>
  <c r="P345" i="3"/>
  <c r="Q345" i="3"/>
  <c r="R345" i="3"/>
  <c r="M346" i="3"/>
  <c r="N346" i="3"/>
  <c r="O346" i="3"/>
  <c r="P346" i="3"/>
  <c r="Q346" i="3"/>
  <c r="R346" i="3"/>
  <c r="M347" i="3"/>
  <c r="N347" i="3"/>
  <c r="O347" i="3"/>
  <c r="P347" i="3"/>
  <c r="Q347" i="3"/>
  <c r="R347" i="3"/>
  <c r="M348" i="3"/>
  <c r="N348" i="3"/>
  <c r="O348" i="3"/>
  <c r="P348" i="3"/>
  <c r="Q348" i="3"/>
  <c r="R348" i="3"/>
  <c r="M349" i="3"/>
  <c r="N349" i="3"/>
  <c r="O349" i="3"/>
  <c r="P349" i="3"/>
  <c r="Q349" i="3"/>
  <c r="R349" i="3"/>
  <c r="M350" i="3"/>
  <c r="N350" i="3"/>
  <c r="O350" i="3"/>
  <c r="P350" i="3"/>
  <c r="Q350" i="3"/>
  <c r="R350" i="3"/>
  <c r="M351" i="3"/>
  <c r="N351" i="3"/>
  <c r="O351" i="3"/>
  <c r="P351" i="3"/>
  <c r="Q351" i="3"/>
  <c r="R351" i="3"/>
  <c r="M352" i="3"/>
  <c r="N352" i="3"/>
  <c r="O352" i="3"/>
  <c r="P352" i="3"/>
  <c r="Q352" i="3"/>
  <c r="R352" i="3"/>
  <c r="M353" i="3"/>
  <c r="N353" i="3"/>
  <c r="O353" i="3"/>
  <c r="P353" i="3"/>
  <c r="Q353" i="3"/>
  <c r="R353" i="3"/>
  <c r="M354" i="3"/>
  <c r="N354" i="3"/>
  <c r="O354" i="3"/>
  <c r="P354" i="3"/>
  <c r="Q354" i="3"/>
  <c r="R354" i="3"/>
  <c r="M355" i="3"/>
  <c r="N355" i="3"/>
  <c r="O355" i="3"/>
  <c r="P355" i="3"/>
  <c r="Q355" i="3"/>
  <c r="R355" i="3"/>
  <c r="M356" i="3"/>
  <c r="N356" i="3"/>
  <c r="O356" i="3"/>
  <c r="P356" i="3"/>
  <c r="Q356" i="3"/>
  <c r="R356" i="3"/>
  <c r="M357" i="3"/>
  <c r="N357" i="3"/>
  <c r="O357" i="3"/>
  <c r="P357" i="3"/>
  <c r="Q357" i="3"/>
  <c r="R357" i="3"/>
  <c r="M358" i="3"/>
  <c r="N358" i="3"/>
  <c r="O358" i="3"/>
  <c r="P358" i="3"/>
  <c r="Q358" i="3"/>
  <c r="R358" i="3"/>
  <c r="M359" i="3"/>
  <c r="N359" i="3"/>
  <c r="O359" i="3"/>
  <c r="P359" i="3"/>
  <c r="Q359" i="3"/>
  <c r="R359" i="3"/>
  <c r="M360" i="3"/>
  <c r="N360" i="3"/>
  <c r="O360" i="3"/>
  <c r="P360" i="3"/>
  <c r="Q360" i="3"/>
  <c r="R360" i="3"/>
  <c r="M361" i="3"/>
  <c r="N361" i="3"/>
  <c r="O361" i="3"/>
  <c r="P361" i="3"/>
  <c r="Q361" i="3"/>
  <c r="R361" i="3"/>
  <c r="M362" i="3"/>
  <c r="N362" i="3"/>
  <c r="O362" i="3"/>
  <c r="P362" i="3"/>
  <c r="Q362" i="3"/>
  <c r="R362" i="3"/>
  <c r="M363" i="3"/>
  <c r="N363" i="3"/>
  <c r="O363" i="3"/>
  <c r="P363" i="3"/>
  <c r="Q363" i="3"/>
  <c r="R363" i="3"/>
  <c r="M364" i="3"/>
  <c r="N364" i="3"/>
  <c r="O364" i="3"/>
  <c r="P364" i="3"/>
  <c r="Q364" i="3"/>
  <c r="R364" i="3"/>
  <c r="M365" i="3"/>
  <c r="N365" i="3"/>
  <c r="O365" i="3"/>
  <c r="P365" i="3"/>
  <c r="Q365" i="3"/>
  <c r="R365" i="3"/>
  <c r="M366" i="3"/>
  <c r="N366" i="3"/>
  <c r="O366" i="3"/>
  <c r="P366" i="3"/>
  <c r="Q366" i="3"/>
  <c r="R366" i="3"/>
  <c r="M367" i="3"/>
  <c r="N367" i="3"/>
  <c r="O367" i="3"/>
  <c r="P367" i="3"/>
  <c r="Q367" i="3"/>
  <c r="R367" i="3"/>
  <c r="M368" i="3"/>
  <c r="N368" i="3"/>
  <c r="O368" i="3"/>
  <c r="P368" i="3"/>
  <c r="Q368" i="3"/>
  <c r="R368" i="3"/>
  <c r="M369" i="3"/>
  <c r="N369" i="3"/>
  <c r="O369" i="3"/>
  <c r="P369" i="3"/>
  <c r="Q369" i="3"/>
  <c r="R369" i="3"/>
  <c r="M370" i="3"/>
  <c r="N370" i="3"/>
  <c r="O370" i="3"/>
  <c r="P370" i="3"/>
  <c r="Q370" i="3"/>
  <c r="R370" i="3"/>
  <c r="M371" i="3"/>
  <c r="N371" i="3"/>
  <c r="O371" i="3"/>
  <c r="P371" i="3"/>
  <c r="Q371" i="3"/>
  <c r="R371" i="3"/>
  <c r="M372" i="3"/>
  <c r="N372" i="3"/>
  <c r="O372" i="3"/>
  <c r="P372" i="3"/>
  <c r="Q372" i="3"/>
  <c r="R372" i="3"/>
  <c r="M373" i="3"/>
  <c r="N373" i="3"/>
  <c r="O373" i="3"/>
  <c r="P373" i="3"/>
  <c r="Q373" i="3"/>
  <c r="R373" i="3"/>
  <c r="M374" i="3"/>
  <c r="N374" i="3"/>
  <c r="O374" i="3"/>
  <c r="P374" i="3"/>
  <c r="Q374" i="3"/>
  <c r="R374" i="3"/>
  <c r="M375" i="3"/>
  <c r="N375" i="3"/>
  <c r="O375" i="3"/>
  <c r="P375" i="3"/>
  <c r="Q375" i="3"/>
  <c r="R375" i="3"/>
  <c r="M376" i="3"/>
  <c r="N376" i="3"/>
  <c r="O376" i="3"/>
  <c r="P376" i="3"/>
  <c r="Q376" i="3"/>
  <c r="R376" i="3"/>
  <c r="M377" i="3"/>
  <c r="N377" i="3"/>
  <c r="O377" i="3"/>
  <c r="P377" i="3"/>
  <c r="Q377" i="3"/>
  <c r="R377" i="3"/>
  <c r="M378" i="3"/>
  <c r="N378" i="3"/>
  <c r="O378" i="3"/>
  <c r="P378" i="3"/>
  <c r="Q378" i="3"/>
  <c r="R378" i="3"/>
  <c r="M379" i="3"/>
  <c r="N379" i="3"/>
  <c r="O379" i="3"/>
  <c r="P379" i="3"/>
  <c r="Q379" i="3"/>
  <c r="R379" i="3"/>
  <c r="M380" i="3"/>
  <c r="N380" i="3"/>
  <c r="O380" i="3"/>
  <c r="P380" i="3"/>
  <c r="Q380" i="3"/>
  <c r="R380" i="3"/>
  <c r="M381" i="3"/>
  <c r="N381" i="3"/>
  <c r="O381" i="3"/>
  <c r="P381" i="3"/>
  <c r="Q381" i="3"/>
  <c r="R381" i="3"/>
  <c r="M382" i="3"/>
  <c r="N382" i="3"/>
  <c r="O382" i="3"/>
  <c r="P382" i="3"/>
  <c r="Q382" i="3"/>
  <c r="R382" i="3"/>
  <c r="M383" i="3"/>
  <c r="N383" i="3"/>
  <c r="O383" i="3"/>
  <c r="P383" i="3"/>
  <c r="Q383" i="3"/>
  <c r="R383" i="3"/>
  <c r="M384" i="3"/>
  <c r="N384" i="3"/>
  <c r="O384" i="3"/>
  <c r="P384" i="3"/>
  <c r="Q384" i="3"/>
  <c r="R384" i="3"/>
  <c r="M385" i="3"/>
  <c r="N385" i="3"/>
  <c r="O385" i="3"/>
  <c r="P385" i="3"/>
  <c r="Q385" i="3"/>
  <c r="R385" i="3"/>
  <c r="M386" i="3"/>
  <c r="N386" i="3"/>
  <c r="O386" i="3"/>
  <c r="P386" i="3"/>
  <c r="Q386" i="3"/>
  <c r="R386" i="3"/>
  <c r="M387" i="3"/>
  <c r="N387" i="3"/>
  <c r="O387" i="3"/>
  <c r="P387" i="3"/>
  <c r="Q387" i="3"/>
  <c r="R387" i="3"/>
  <c r="M388" i="3"/>
  <c r="N388" i="3"/>
  <c r="O388" i="3"/>
  <c r="P388" i="3"/>
  <c r="Q388" i="3"/>
  <c r="R388" i="3"/>
  <c r="M389" i="3"/>
  <c r="N389" i="3"/>
  <c r="O389" i="3"/>
  <c r="P389" i="3"/>
  <c r="Q389" i="3"/>
  <c r="R389" i="3"/>
  <c r="M390" i="3"/>
  <c r="N390" i="3"/>
  <c r="O390" i="3"/>
  <c r="P390" i="3"/>
  <c r="Q390" i="3"/>
  <c r="R390" i="3"/>
  <c r="M391" i="3"/>
  <c r="N391" i="3"/>
  <c r="O391" i="3"/>
  <c r="P391" i="3"/>
  <c r="Q391" i="3"/>
  <c r="R391" i="3"/>
  <c r="M392" i="3"/>
  <c r="N392" i="3"/>
  <c r="O392" i="3"/>
  <c r="P392" i="3"/>
  <c r="Q392" i="3"/>
  <c r="R392" i="3"/>
  <c r="M393" i="3"/>
  <c r="N393" i="3"/>
  <c r="O393" i="3"/>
  <c r="P393" i="3"/>
  <c r="Q393" i="3"/>
  <c r="R393" i="3"/>
  <c r="M394" i="3"/>
  <c r="N394" i="3"/>
  <c r="O394" i="3"/>
  <c r="P394" i="3"/>
  <c r="Q394" i="3"/>
  <c r="R394" i="3"/>
  <c r="M395" i="3"/>
  <c r="N395" i="3"/>
  <c r="O395" i="3"/>
  <c r="P395" i="3"/>
  <c r="Q395" i="3"/>
  <c r="R395" i="3"/>
  <c r="M396" i="3"/>
  <c r="N396" i="3"/>
  <c r="O396" i="3"/>
  <c r="P396" i="3"/>
  <c r="Q396" i="3"/>
  <c r="R396" i="3"/>
  <c r="M397" i="3"/>
  <c r="N397" i="3"/>
  <c r="O397" i="3"/>
  <c r="P397" i="3"/>
  <c r="Q397" i="3"/>
  <c r="R397" i="3"/>
  <c r="M398" i="3"/>
  <c r="N398" i="3"/>
  <c r="O398" i="3"/>
  <c r="P398" i="3"/>
  <c r="Q398" i="3"/>
  <c r="R398" i="3"/>
  <c r="M399" i="3"/>
  <c r="N399" i="3"/>
  <c r="O399" i="3"/>
  <c r="P399" i="3"/>
  <c r="Q399" i="3"/>
  <c r="R399" i="3"/>
  <c r="M400" i="3"/>
  <c r="N400" i="3"/>
  <c r="O400" i="3"/>
  <c r="P400" i="3"/>
  <c r="Q400" i="3"/>
  <c r="R400" i="3"/>
  <c r="M401" i="3"/>
  <c r="N401" i="3"/>
  <c r="O401" i="3"/>
  <c r="P401" i="3"/>
  <c r="Q401" i="3"/>
  <c r="R401" i="3"/>
  <c r="M402" i="3"/>
  <c r="N402" i="3"/>
  <c r="O402" i="3"/>
  <c r="P402" i="3"/>
  <c r="Q402" i="3"/>
  <c r="R402" i="3"/>
  <c r="M403" i="3"/>
  <c r="N403" i="3"/>
  <c r="O403" i="3"/>
  <c r="P403" i="3"/>
  <c r="Q403" i="3"/>
  <c r="R403" i="3"/>
  <c r="M404" i="3"/>
  <c r="N404" i="3"/>
  <c r="O404" i="3"/>
  <c r="P404" i="3"/>
  <c r="Q404" i="3"/>
  <c r="R404" i="3"/>
  <c r="M405" i="3"/>
  <c r="N405" i="3"/>
  <c r="O405" i="3"/>
  <c r="P405" i="3"/>
  <c r="Q405" i="3"/>
  <c r="R405" i="3"/>
  <c r="M406" i="3"/>
  <c r="N406" i="3"/>
  <c r="O406" i="3"/>
  <c r="P406" i="3"/>
  <c r="Q406" i="3"/>
  <c r="R406" i="3"/>
  <c r="M407" i="3"/>
  <c r="N407" i="3"/>
  <c r="O407" i="3"/>
  <c r="P407" i="3"/>
  <c r="Q407" i="3"/>
  <c r="R407" i="3"/>
  <c r="M408" i="3"/>
  <c r="N408" i="3"/>
  <c r="O408" i="3"/>
  <c r="P408" i="3"/>
  <c r="Q408" i="3"/>
  <c r="R408" i="3"/>
  <c r="M409" i="3"/>
  <c r="N409" i="3"/>
  <c r="O409" i="3"/>
  <c r="P409" i="3"/>
  <c r="Q409" i="3"/>
  <c r="R409" i="3"/>
  <c r="M410" i="3"/>
  <c r="N410" i="3"/>
  <c r="O410" i="3"/>
  <c r="P410" i="3"/>
  <c r="Q410" i="3"/>
  <c r="R410" i="3"/>
  <c r="M411" i="3"/>
  <c r="N411" i="3"/>
  <c r="O411" i="3"/>
  <c r="P411" i="3"/>
  <c r="Q411" i="3"/>
  <c r="R411" i="3"/>
  <c r="M412" i="3"/>
  <c r="N412" i="3"/>
  <c r="O412" i="3"/>
  <c r="P412" i="3"/>
  <c r="Q412" i="3"/>
  <c r="R412" i="3"/>
  <c r="M413" i="3"/>
  <c r="N413" i="3"/>
  <c r="O413" i="3"/>
  <c r="P413" i="3"/>
  <c r="Q413" i="3"/>
  <c r="R413" i="3"/>
  <c r="M414" i="3"/>
  <c r="N414" i="3"/>
  <c r="O414" i="3"/>
  <c r="P414" i="3"/>
  <c r="Q414" i="3"/>
  <c r="R414" i="3"/>
  <c r="M415" i="3"/>
  <c r="N415" i="3"/>
  <c r="O415" i="3"/>
  <c r="P415" i="3"/>
  <c r="Q415" i="3"/>
  <c r="R415" i="3"/>
  <c r="M416" i="3"/>
  <c r="N416" i="3"/>
  <c r="O416" i="3"/>
  <c r="P416" i="3"/>
  <c r="Q416" i="3"/>
  <c r="R416" i="3"/>
  <c r="M417" i="3"/>
  <c r="N417" i="3"/>
  <c r="O417" i="3"/>
  <c r="P417" i="3"/>
  <c r="Q417" i="3"/>
  <c r="R417" i="3"/>
  <c r="M418" i="3"/>
  <c r="N418" i="3"/>
  <c r="O418" i="3"/>
  <c r="P418" i="3"/>
  <c r="Q418" i="3"/>
  <c r="R418" i="3"/>
  <c r="M419" i="3"/>
  <c r="N419" i="3"/>
  <c r="O419" i="3"/>
  <c r="P419" i="3"/>
  <c r="Q419" i="3"/>
  <c r="R419" i="3"/>
  <c r="M420" i="3"/>
  <c r="N420" i="3"/>
  <c r="O420" i="3"/>
  <c r="P420" i="3"/>
  <c r="Q420" i="3"/>
  <c r="R420" i="3"/>
  <c r="M421" i="3"/>
  <c r="N421" i="3"/>
  <c r="O421" i="3"/>
  <c r="P421" i="3"/>
  <c r="Q421" i="3"/>
  <c r="R421" i="3"/>
  <c r="M422" i="3"/>
  <c r="N422" i="3"/>
  <c r="O422" i="3"/>
  <c r="P422" i="3"/>
  <c r="Q422" i="3"/>
  <c r="R422" i="3"/>
  <c r="M423" i="3"/>
  <c r="N423" i="3"/>
  <c r="O423" i="3"/>
  <c r="P423" i="3"/>
  <c r="Q423" i="3"/>
  <c r="R423" i="3"/>
  <c r="M424" i="3"/>
  <c r="N424" i="3"/>
  <c r="O424" i="3"/>
  <c r="P424" i="3"/>
  <c r="Q424" i="3"/>
  <c r="R424" i="3"/>
  <c r="M425" i="3"/>
  <c r="N425" i="3"/>
  <c r="O425" i="3"/>
  <c r="P425" i="3"/>
  <c r="Q425" i="3"/>
  <c r="R425" i="3"/>
  <c r="M426" i="3"/>
  <c r="N426" i="3"/>
  <c r="O426" i="3"/>
  <c r="P426" i="3"/>
  <c r="Q426" i="3"/>
  <c r="R426" i="3"/>
  <c r="M427" i="3"/>
  <c r="N427" i="3"/>
  <c r="O427" i="3"/>
  <c r="P427" i="3"/>
  <c r="Q427" i="3"/>
  <c r="R427" i="3"/>
  <c r="M428" i="3"/>
  <c r="N428" i="3"/>
  <c r="O428" i="3"/>
  <c r="P428" i="3"/>
  <c r="Q428" i="3"/>
  <c r="R428" i="3"/>
  <c r="M429" i="3"/>
  <c r="N429" i="3"/>
  <c r="O429" i="3"/>
  <c r="P429" i="3"/>
  <c r="Q429" i="3"/>
  <c r="R429" i="3"/>
  <c r="M430" i="3"/>
  <c r="N430" i="3"/>
  <c r="O430" i="3"/>
  <c r="P430" i="3"/>
  <c r="Q430" i="3"/>
  <c r="R430" i="3"/>
  <c r="M431" i="3"/>
  <c r="N431" i="3"/>
  <c r="O431" i="3"/>
  <c r="P431" i="3"/>
  <c r="Q431" i="3"/>
  <c r="R431" i="3"/>
  <c r="M432" i="3"/>
  <c r="N432" i="3"/>
  <c r="O432" i="3"/>
  <c r="P432" i="3"/>
  <c r="Q432" i="3"/>
  <c r="R432" i="3"/>
  <c r="M433" i="3"/>
  <c r="N433" i="3"/>
  <c r="O433" i="3"/>
  <c r="P433" i="3"/>
  <c r="Q433" i="3"/>
  <c r="R433" i="3"/>
  <c r="M434" i="3"/>
  <c r="N434" i="3"/>
  <c r="O434" i="3"/>
  <c r="P434" i="3"/>
  <c r="Q434" i="3"/>
  <c r="R434" i="3"/>
  <c r="M435" i="3"/>
  <c r="N435" i="3"/>
  <c r="O435" i="3"/>
  <c r="P435" i="3"/>
  <c r="Q435" i="3"/>
  <c r="R435" i="3"/>
  <c r="M436" i="3"/>
  <c r="N436" i="3"/>
  <c r="O436" i="3"/>
  <c r="P436" i="3"/>
  <c r="Q436" i="3"/>
  <c r="R436" i="3"/>
  <c r="M437" i="3"/>
  <c r="N437" i="3"/>
  <c r="O437" i="3"/>
  <c r="P437" i="3"/>
  <c r="Q437" i="3"/>
  <c r="R437" i="3"/>
  <c r="M438" i="3"/>
  <c r="N438" i="3"/>
  <c r="O438" i="3"/>
  <c r="P438" i="3"/>
  <c r="Q438" i="3"/>
  <c r="R438" i="3"/>
  <c r="M439" i="3"/>
  <c r="N439" i="3"/>
  <c r="O439" i="3"/>
  <c r="P439" i="3"/>
  <c r="Q439" i="3"/>
  <c r="R439" i="3"/>
  <c r="M440" i="3"/>
  <c r="N440" i="3"/>
  <c r="O440" i="3"/>
  <c r="P440" i="3"/>
  <c r="Q440" i="3"/>
  <c r="R440" i="3"/>
  <c r="M441" i="3"/>
  <c r="N441" i="3"/>
  <c r="O441" i="3"/>
  <c r="P441" i="3"/>
  <c r="Q441" i="3"/>
  <c r="R441" i="3"/>
  <c r="M442" i="3"/>
  <c r="N442" i="3"/>
  <c r="O442" i="3"/>
  <c r="P442" i="3"/>
  <c r="Q442" i="3"/>
  <c r="R442" i="3"/>
  <c r="M443" i="3"/>
  <c r="N443" i="3"/>
  <c r="O443" i="3"/>
  <c r="P443" i="3"/>
  <c r="Q443" i="3"/>
  <c r="R443" i="3"/>
  <c r="M444" i="3"/>
  <c r="N444" i="3"/>
  <c r="O444" i="3"/>
  <c r="P444" i="3"/>
  <c r="Q444" i="3"/>
  <c r="R444" i="3"/>
  <c r="M445" i="3"/>
  <c r="N445" i="3"/>
  <c r="O445" i="3"/>
  <c r="P445" i="3"/>
  <c r="Q445" i="3"/>
  <c r="R445" i="3"/>
  <c r="M446" i="3"/>
  <c r="N446" i="3"/>
  <c r="O446" i="3"/>
  <c r="P446" i="3"/>
  <c r="Q446" i="3"/>
  <c r="R446" i="3"/>
  <c r="M447" i="3"/>
  <c r="N447" i="3"/>
  <c r="O447" i="3"/>
  <c r="P447" i="3"/>
  <c r="Q447" i="3"/>
  <c r="R447" i="3"/>
  <c r="M448" i="3"/>
  <c r="N448" i="3"/>
  <c r="O448" i="3"/>
  <c r="P448" i="3"/>
  <c r="Q448" i="3"/>
  <c r="R448" i="3"/>
  <c r="M449" i="3"/>
  <c r="N449" i="3"/>
  <c r="O449" i="3"/>
  <c r="P449" i="3"/>
  <c r="Q449" i="3"/>
  <c r="R449" i="3"/>
  <c r="M450" i="3"/>
  <c r="N450" i="3"/>
  <c r="O450" i="3"/>
  <c r="P450" i="3"/>
  <c r="Q450" i="3"/>
  <c r="R450" i="3"/>
  <c r="M451" i="3"/>
  <c r="N451" i="3"/>
  <c r="O451" i="3"/>
  <c r="P451" i="3"/>
  <c r="Q451" i="3"/>
  <c r="R451" i="3"/>
  <c r="M452" i="3"/>
  <c r="N452" i="3"/>
  <c r="O452" i="3"/>
  <c r="P452" i="3"/>
  <c r="Q452" i="3"/>
  <c r="R452" i="3"/>
  <c r="M453" i="3"/>
  <c r="N453" i="3"/>
  <c r="O453" i="3"/>
  <c r="P453" i="3"/>
  <c r="Q453" i="3"/>
  <c r="R453" i="3"/>
  <c r="M454" i="3"/>
  <c r="N454" i="3"/>
  <c r="O454" i="3"/>
  <c r="P454" i="3"/>
  <c r="Q454" i="3"/>
  <c r="R454" i="3"/>
  <c r="M455" i="3"/>
  <c r="N455" i="3"/>
  <c r="O455" i="3"/>
  <c r="P455" i="3"/>
  <c r="Q455" i="3"/>
  <c r="R455" i="3"/>
  <c r="M456" i="3"/>
  <c r="N456" i="3"/>
  <c r="O456" i="3"/>
  <c r="P456" i="3"/>
  <c r="Q456" i="3"/>
  <c r="R456" i="3"/>
  <c r="M457" i="3"/>
  <c r="N457" i="3"/>
  <c r="O457" i="3"/>
  <c r="P457" i="3"/>
  <c r="Q457" i="3"/>
  <c r="R457" i="3"/>
  <c r="M458" i="3"/>
  <c r="N458" i="3"/>
  <c r="O458" i="3"/>
  <c r="P458" i="3"/>
  <c r="Q458" i="3"/>
  <c r="R458" i="3"/>
  <c r="M459" i="3"/>
  <c r="N459" i="3"/>
  <c r="O459" i="3"/>
  <c r="P459" i="3"/>
  <c r="Q459" i="3"/>
  <c r="R459" i="3"/>
  <c r="M460" i="3"/>
  <c r="N460" i="3"/>
  <c r="O460" i="3"/>
  <c r="P460" i="3"/>
  <c r="Q460" i="3"/>
  <c r="R460" i="3"/>
  <c r="M461" i="3"/>
  <c r="N461" i="3"/>
  <c r="O461" i="3"/>
  <c r="P461" i="3"/>
  <c r="Q461" i="3"/>
  <c r="R461" i="3"/>
  <c r="M462" i="3"/>
  <c r="N462" i="3"/>
  <c r="O462" i="3"/>
  <c r="P462" i="3"/>
  <c r="Q462" i="3"/>
  <c r="R462" i="3"/>
  <c r="M463" i="3"/>
  <c r="N463" i="3"/>
  <c r="O463" i="3"/>
  <c r="P463" i="3"/>
  <c r="Q463" i="3"/>
  <c r="R463" i="3"/>
  <c r="M464" i="3"/>
  <c r="N464" i="3"/>
  <c r="O464" i="3"/>
  <c r="P464" i="3"/>
  <c r="Q464" i="3"/>
  <c r="R464" i="3"/>
  <c r="M465" i="3"/>
  <c r="N465" i="3"/>
  <c r="O465" i="3"/>
  <c r="P465" i="3"/>
  <c r="Q465" i="3"/>
  <c r="R465" i="3"/>
  <c r="M466" i="3"/>
  <c r="N466" i="3"/>
  <c r="O466" i="3"/>
  <c r="P466" i="3"/>
  <c r="Q466" i="3"/>
  <c r="R466" i="3"/>
  <c r="M467" i="3"/>
  <c r="N467" i="3"/>
  <c r="O467" i="3"/>
  <c r="P467" i="3"/>
  <c r="Q467" i="3"/>
  <c r="R467" i="3"/>
  <c r="M468" i="3"/>
  <c r="N468" i="3"/>
  <c r="O468" i="3"/>
  <c r="P468" i="3"/>
  <c r="Q468" i="3"/>
  <c r="R468" i="3"/>
  <c r="M469" i="3"/>
  <c r="N469" i="3"/>
  <c r="O469" i="3"/>
  <c r="P469" i="3"/>
  <c r="Q469" i="3"/>
  <c r="R469" i="3"/>
  <c r="M470" i="3"/>
  <c r="N470" i="3"/>
  <c r="O470" i="3"/>
  <c r="P470" i="3"/>
  <c r="Q470" i="3"/>
  <c r="R470" i="3"/>
  <c r="M471" i="3"/>
  <c r="N471" i="3"/>
  <c r="O471" i="3"/>
  <c r="P471" i="3"/>
  <c r="Q471" i="3"/>
  <c r="R471" i="3"/>
  <c r="M472" i="3"/>
  <c r="N472" i="3"/>
  <c r="O472" i="3"/>
  <c r="P472" i="3"/>
  <c r="Q472" i="3"/>
  <c r="R472" i="3"/>
  <c r="M473" i="3"/>
  <c r="N473" i="3"/>
  <c r="O473" i="3"/>
  <c r="P473" i="3"/>
  <c r="Q473" i="3"/>
  <c r="R473" i="3"/>
  <c r="M474" i="3"/>
  <c r="N474" i="3"/>
  <c r="O474" i="3"/>
  <c r="P474" i="3"/>
  <c r="Q474" i="3"/>
  <c r="R474" i="3"/>
  <c r="M475" i="3"/>
  <c r="N475" i="3"/>
  <c r="O475" i="3"/>
  <c r="P475" i="3"/>
  <c r="Q475" i="3"/>
  <c r="R475" i="3"/>
  <c r="M476" i="3"/>
  <c r="N476" i="3"/>
  <c r="O476" i="3"/>
  <c r="P476" i="3"/>
  <c r="Q476" i="3"/>
  <c r="R476" i="3"/>
  <c r="M477" i="3"/>
  <c r="N477" i="3"/>
  <c r="O477" i="3"/>
  <c r="P477" i="3"/>
  <c r="Q477" i="3"/>
  <c r="R477" i="3"/>
  <c r="M478" i="3"/>
  <c r="N478" i="3"/>
  <c r="O478" i="3"/>
  <c r="P478" i="3"/>
  <c r="Q478" i="3"/>
  <c r="R478" i="3"/>
  <c r="M479" i="3"/>
  <c r="N479" i="3"/>
  <c r="O479" i="3"/>
  <c r="P479" i="3"/>
  <c r="Q479" i="3"/>
  <c r="R479" i="3"/>
  <c r="M480" i="3"/>
  <c r="N480" i="3"/>
  <c r="O480" i="3"/>
  <c r="P480" i="3"/>
  <c r="Q480" i="3"/>
  <c r="R480" i="3"/>
  <c r="M481" i="3"/>
  <c r="N481" i="3"/>
  <c r="O481" i="3"/>
  <c r="P481" i="3"/>
  <c r="Q481" i="3"/>
  <c r="R481" i="3"/>
  <c r="M482" i="3"/>
  <c r="N482" i="3"/>
  <c r="O482" i="3"/>
  <c r="P482" i="3"/>
  <c r="Q482" i="3"/>
  <c r="R482" i="3"/>
  <c r="M483" i="3"/>
  <c r="N483" i="3"/>
  <c r="O483" i="3"/>
  <c r="P483" i="3"/>
  <c r="Q483" i="3"/>
  <c r="R483" i="3"/>
  <c r="M484" i="3"/>
  <c r="N484" i="3"/>
  <c r="O484" i="3"/>
  <c r="P484" i="3"/>
  <c r="Q484" i="3"/>
  <c r="R484" i="3"/>
  <c r="M485" i="3"/>
  <c r="N485" i="3"/>
  <c r="O485" i="3"/>
  <c r="P485" i="3"/>
  <c r="Q485" i="3"/>
  <c r="R485" i="3"/>
  <c r="M486" i="3"/>
  <c r="N486" i="3"/>
  <c r="O486" i="3"/>
  <c r="P486" i="3"/>
  <c r="Q486" i="3"/>
  <c r="R486" i="3"/>
  <c r="M487" i="3"/>
  <c r="N487" i="3"/>
  <c r="O487" i="3"/>
  <c r="P487" i="3"/>
  <c r="Q487" i="3"/>
  <c r="R487" i="3"/>
  <c r="M488" i="3"/>
  <c r="N488" i="3"/>
  <c r="O488" i="3"/>
  <c r="P488" i="3"/>
  <c r="Q488" i="3"/>
  <c r="R488" i="3"/>
  <c r="M489" i="3"/>
  <c r="N489" i="3"/>
  <c r="O489" i="3"/>
  <c r="P489" i="3"/>
  <c r="Q489" i="3"/>
  <c r="R489" i="3"/>
  <c r="M490" i="3"/>
  <c r="N490" i="3"/>
  <c r="O490" i="3"/>
  <c r="P490" i="3"/>
  <c r="Q490" i="3"/>
  <c r="R490" i="3"/>
  <c r="M491" i="3"/>
  <c r="N491" i="3"/>
  <c r="O491" i="3"/>
  <c r="P491" i="3"/>
  <c r="Q491" i="3"/>
  <c r="R491" i="3"/>
  <c r="M492" i="3"/>
  <c r="N492" i="3"/>
  <c r="O492" i="3"/>
  <c r="P492" i="3"/>
  <c r="Q492" i="3"/>
  <c r="R492" i="3"/>
  <c r="M493" i="3"/>
  <c r="N493" i="3"/>
  <c r="O493" i="3"/>
  <c r="P493" i="3"/>
  <c r="Q493" i="3"/>
  <c r="R493" i="3"/>
  <c r="M494" i="3"/>
  <c r="N494" i="3"/>
  <c r="O494" i="3"/>
  <c r="P494" i="3"/>
  <c r="Q494" i="3"/>
  <c r="R494" i="3"/>
  <c r="M495" i="3"/>
  <c r="N495" i="3"/>
  <c r="O495" i="3"/>
  <c r="P495" i="3"/>
  <c r="Q495" i="3"/>
  <c r="R495" i="3"/>
  <c r="M496" i="3"/>
  <c r="N496" i="3"/>
  <c r="O496" i="3"/>
  <c r="P496" i="3"/>
  <c r="Q496" i="3"/>
  <c r="R496" i="3"/>
  <c r="M497" i="3"/>
  <c r="N497" i="3"/>
  <c r="O497" i="3"/>
  <c r="P497" i="3"/>
  <c r="Q497" i="3"/>
  <c r="R497" i="3"/>
  <c r="M498" i="3"/>
  <c r="N498" i="3"/>
  <c r="O498" i="3"/>
  <c r="P498" i="3"/>
  <c r="Q498" i="3"/>
  <c r="R498" i="3"/>
  <c r="M499" i="3"/>
  <c r="N499" i="3"/>
  <c r="O499" i="3"/>
  <c r="P499" i="3"/>
  <c r="Q499" i="3"/>
  <c r="R499" i="3"/>
  <c r="M500" i="3"/>
  <c r="N500" i="3"/>
  <c r="O500" i="3"/>
  <c r="P500" i="3"/>
  <c r="Q500" i="3"/>
  <c r="R500" i="3"/>
  <c r="M501" i="3"/>
  <c r="N501" i="3"/>
  <c r="O501" i="3"/>
  <c r="P501" i="3"/>
  <c r="Q501" i="3"/>
  <c r="R501" i="3"/>
  <c r="M502" i="3"/>
  <c r="N502" i="3"/>
  <c r="O502" i="3"/>
  <c r="P502" i="3"/>
  <c r="Q502" i="3"/>
  <c r="R502" i="3"/>
  <c r="M503" i="3"/>
  <c r="N503" i="3"/>
  <c r="O503" i="3"/>
  <c r="P503" i="3"/>
  <c r="Q503" i="3"/>
  <c r="R503" i="3"/>
  <c r="M504" i="3"/>
  <c r="N504" i="3"/>
  <c r="O504" i="3"/>
  <c r="P504" i="3"/>
  <c r="Q504" i="3"/>
  <c r="R504" i="3"/>
  <c r="M505" i="3"/>
  <c r="N505" i="3"/>
  <c r="O505" i="3"/>
  <c r="P505" i="3"/>
  <c r="Q505" i="3"/>
  <c r="R505" i="3"/>
  <c r="M506" i="3"/>
  <c r="N506" i="3"/>
  <c r="O506" i="3"/>
  <c r="P506" i="3"/>
  <c r="Q506" i="3"/>
  <c r="R506" i="3"/>
  <c r="M507" i="3"/>
  <c r="N507" i="3"/>
  <c r="O507" i="3"/>
  <c r="P507" i="3"/>
  <c r="Q507" i="3"/>
  <c r="R507" i="3"/>
  <c r="M508" i="3"/>
  <c r="N508" i="3"/>
  <c r="O508" i="3"/>
  <c r="P508" i="3"/>
  <c r="Q508" i="3"/>
  <c r="R508" i="3"/>
  <c r="M509" i="3"/>
  <c r="N509" i="3"/>
  <c r="O509" i="3"/>
  <c r="P509" i="3"/>
  <c r="Q509" i="3"/>
  <c r="R509" i="3"/>
  <c r="M510" i="3"/>
  <c r="N510" i="3"/>
  <c r="O510" i="3"/>
  <c r="P510" i="3"/>
  <c r="Q510" i="3"/>
  <c r="R510" i="3"/>
  <c r="M511" i="3"/>
  <c r="N511" i="3"/>
  <c r="O511" i="3"/>
  <c r="P511" i="3"/>
  <c r="Q511" i="3"/>
  <c r="R511" i="3"/>
  <c r="M512" i="3"/>
  <c r="N512" i="3"/>
  <c r="O512" i="3"/>
  <c r="P512" i="3"/>
  <c r="Q512" i="3"/>
  <c r="R512" i="3"/>
  <c r="M513" i="3"/>
  <c r="N513" i="3"/>
  <c r="O513" i="3"/>
  <c r="P513" i="3"/>
  <c r="Q513" i="3"/>
  <c r="R513" i="3"/>
  <c r="M514" i="3"/>
  <c r="N514" i="3"/>
  <c r="O514" i="3"/>
  <c r="P514" i="3"/>
  <c r="Q514" i="3"/>
  <c r="R514" i="3"/>
  <c r="M515" i="3"/>
  <c r="N515" i="3"/>
  <c r="O515" i="3"/>
  <c r="P515" i="3"/>
  <c r="Q515" i="3"/>
  <c r="R515" i="3"/>
  <c r="M516" i="3"/>
  <c r="N516" i="3"/>
  <c r="O516" i="3"/>
  <c r="P516" i="3"/>
  <c r="Q516" i="3"/>
  <c r="R516" i="3"/>
  <c r="M517" i="3"/>
  <c r="N517" i="3"/>
  <c r="O517" i="3"/>
  <c r="P517" i="3"/>
  <c r="Q517" i="3"/>
  <c r="R517" i="3"/>
  <c r="M518" i="3"/>
  <c r="N518" i="3"/>
  <c r="O518" i="3"/>
  <c r="P518" i="3"/>
  <c r="Q518" i="3"/>
  <c r="R518" i="3"/>
  <c r="M519" i="3"/>
  <c r="N519" i="3"/>
  <c r="O519" i="3"/>
  <c r="P519" i="3"/>
  <c r="Q519" i="3"/>
  <c r="R519" i="3"/>
  <c r="M520" i="3"/>
  <c r="N520" i="3"/>
  <c r="O520" i="3"/>
  <c r="P520" i="3"/>
  <c r="Q520" i="3"/>
  <c r="R520" i="3"/>
  <c r="M521" i="3"/>
  <c r="N521" i="3"/>
  <c r="O521" i="3"/>
  <c r="P521" i="3"/>
  <c r="Q521" i="3"/>
  <c r="R521" i="3"/>
  <c r="M522" i="3"/>
  <c r="N522" i="3"/>
  <c r="O522" i="3"/>
  <c r="P522" i="3"/>
  <c r="Q522" i="3"/>
  <c r="R522" i="3"/>
  <c r="M523" i="3"/>
  <c r="N523" i="3"/>
  <c r="O523" i="3"/>
  <c r="P523" i="3"/>
  <c r="Q523" i="3"/>
  <c r="R523" i="3"/>
  <c r="M524" i="3"/>
  <c r="N524" i="3"/>
  <c r="O524" i="3"/>
  <c r="P524" i="3"/>
  <c r="Q524" i="3"/>
  <c r="R524" i="3"/>
  <c r="M525" i="3"/>
  <c r="N525" i="3"/>
  <c r="O525" i="3"/>
  <c r="P525" i="3"/>
  <c r="Q525" i="3"/>
  <c r="R525" i="3"/>
  <c r="M526" i="3"/>
  <c r="N526" i="3"/>
  <c r="O526" i="3"/>
  <c r="P526" i="3"/>
  <c r="Q526" i="3"/>
  <c r="R526" i="3"/>
  <c r="M527" i="3"/>
  <c r="N527" i="3"/>
  <c r="O527" i="3"/>
  <c r="P527" i="3"/>
  <c r="Q527" i="3"/>
  <c r="R527" i="3"/>
  <c r="M528" i="3"/>
  <c r="N528" i="3"/>
  <c r="O528" i="3"/>
  <c r="P528" i="3"/>
  <c r="Q528" i="3"/>
  <c r="R528" i="3"/>
  <c r="M529" i="3"/>
  <c r="N529" i="3"/>
  <c r="O529" i="3"/>
  <c r="P529" i="3"/>
  <c r="Q529" i="3"/>
  <c r="R529" i="3"/>
  <c r="M530" i="3"/>
  <c r="N530" i="3"/>
  <c r="O530" i="3"/>
  <c r="P530" i="3"/>
  <c r="Q530" i="3"/>
  <c r="R530" i="3"/>
  <c r="M531" i="3"/>
  <c r="N531" i="3"/>
  <c r="O531" i="3"/>
  <c r="P531" i="3"/>
  <c r="Q531" i="3"/>
  <c r="R531" i="3"/>
  <c r="M532" i="3"/>
  <c r="N532" i="3"/>
  <c r="O532" i="3"/>
  <c r="P532" i="3"/>
  <c r="Q532" i="3"/>
  <c r="R532" i="3"/>
  <c r="M533" i="3"/>
  <c r="N533" i="3"/>
  <c r="O533" i="3"/>
  <c r="P533" i="3"/>
  <c r="Q533" i="3"/>
  <c r="R533" i="3"/>
  <c r="M534" i="3"/>
  <c r="N534" i="3"/>
  <c r="O534" i="3"/>
  <c r="P534" i="3"/>
  <c r="Q534" i="3"/>
  <c r="R534" i="3"/>
  <c r="M535" i="3"/>
  <c r="N535" i="3"/>
  <c r="O535" i="3"/>
  <c r="P535" i="3"/>
  <c r="Q535" i="3"/>
  <c r="R535" i="3"/>
  <c r="M536" i="3"/>
  <c r="N536" i="3"/>
  <c r="O536" i="3"/>
  <c r="P536" i="3"/>
  <c r="Q536" i="3"/>
  <c r="R536" i="3"/>
  <c r="M537" i="3"/>
  <c r="N537" i="3"/>
  <c r="O537" i="3"/>
  <c r="P537" i="3"/>
  <c r="Q537" i="3"/>
  <c r="R537" i="3"/>
  <c r="M538" i="3"/>
  <c r="N538" i="3"/>
  <c r="O538" i="3"/>
  <c r="P538" i="3"/>
  <c r="Q538" i="3"/>
  <c r="R538" i="3"/>
  <c r="M539" i="3"/>
  <c r="N539" i="3"/>
  <c r="O539" i="3"/>
  <c r="P539" i="3"/>
  <c r="Q539" i="3"/>
  <c r="R539" i="3"/>
  <c r="M540" i="3"/>
  <c r="N540" i="3"/>
  <c r="O540" i="3"/>
  <c r="P540" i="3"/>
  <c r="Q540" i="3"/>
  <c r="R540" i="3"/>
  <c r="M541" i="3"/>
  <c r="N541" i="3"/>
  <c r="O541" i="3"/>
  <c r="P541" i="3"/>
  <c r="Q541" i="3"/>
  <c r="R541" i="3"/>
  <c r="M542" i="3"/>
  <c r="N542" i="3"/>
  <c r="O542" i="3"/>
  <c r="P542" i="3"/>
  <c r="Q542" i="3"/>
  <c r="R542" i="3"/>
  <c r="M543" i="3"/>
  <c r="N543" i="3"/>
  <c r="O543" i="3"/>
  <c r="P543" i="3"/>
  <c r="Q543" i="3"/>
  <c r="R543" i="3"/>
  <c r="M544" i="3"/>
  <c r="N544" i="3"/>
  <c r="O544" i="3"/>
  <c r="P544" i="3"/>
  <c r="Q544" i="3"/>
  <c r="R544" i="3"/>
  <c r="M545" i="3"/>
  <c r="N545" i="3"/>
  <c r="O545" i="3"/>
  <c r="P545" i="3"/>
  <c r="Q545" i="3"/>
  <c r="R545" i="3"/>
  <c r="M546" i="3"/>
  <c r="N546" i="3"/>
  <c r="O546" i="3"/>
  <c r="P546" i="3"/>
  <c r="Q546" i="3"/>
  <c r="R546" i="3"/>
  <c r="M547" i="3"/>
  <c r="N547" i="3"/>
  <c r="O547" i="3"/>
  <c r="P547" i="3"/>
  <c r="Q547" i="3"/>
  <c r="R547" i="3"/>
  <c r="M548" i="3"/>
  <c r="N548" i="3"/>
  <c r="O548" i="3"/>
  <c r="P548" i="3"/>
  <c r="Q548" i="3"/>
  <c r="R548" i="3"/>
  <c r="M549" i="3"/>
  <c r="N549" i="3"/>
  <c r="O549" i="3"/>
  <c r="P549" i="3"/>
  <c r="Q549" i="3"/>
  <c r="R549" i="3"/>
  <c r="M550" i="3"/>
  <c r="N550" i="3"/>
  <c r="O550" i="3"/>
  <c r="P550" i="3"/>
  <c r="Q550" i="3"/>
  <c r="R550" i="3"/>
  <c r="M551" i="3"/>
  <c r="N551" i="3"/>
  <c r="O551" i="3"/>
  <c r="P551" i="3"/>
  <c r="Q551" i="3"/>
  <c r="R551" i="3"/>
  <c r="M552" i="3"/>
  <c r="N552" i="3"/>
  <c r="O552" i="3"/>
  <c r="P552" i="3"/>
  <c r="Q552" i="3"/>
  <c r="R552" i="3"/>
  <c r="M553" i="3"/>
  <c r="N553" i="3"/>
  <c r="O553" i="3"/>
  <c r="P553" i="3"/>
  <c r="Q553" i="3"/>
  <c r="R553" i="3"/>
  <c r="M554" i="3"/>
  <c r="N554" i="3"/>
  <c r="O554" i="3"/>
  <c r="P554" i="3"/>
  <c r="Q554" i="3"/>
  <c r="R554" i="3"/>
  <c r="M555" i="3"/>
  <c r="N555" i="3"/>
  <c r="O555" i="3"/>
  <c r="P555" i="3"/>
  <c r="Q555" i="3"/>
  <c r="R555" i="3"/>
  <c r="M556" i="3"/>
  <c r="N556" i="3"/>
  <c r="O556" i="3"/>
  <c r="P556" i="3"/>
  <c r="Q556" i="3"/>
  <c r="R556" i="3"/>
  <c r="M557" i="3"/>
  <c r="N557" i="3"/>
  <c r="O557" i="3"/>
  <c r="P557" i="3"/>
  <c r="Q557" i="3"/>
  <c r="R557" i="3"/>
  <c r="M558" i="3"/>
  <c r="N558" i="3"/>
  <c r="O558" i="3"/>
  <c r="P558" i="3"/>
  <c r="Q558" i="3"/>
  <c r="R558" i="3"/>
  <c r="M559" i="3"/>
  <c r="N559" i="3"/>
  <c r="O559" i="3"/>
  <c r="P559" i="3"/>
  <c r="Q559" i="3"/>
  <c r="R559" i="3"/>
  <c r="M560" i="3"/>
  <c r="N560" i="3"/>
  <c r="O560" i="3"/>
  <c r="P560" i="3"/>
  <c r="Q560" i="3"/>
  <c r="R560" i="3"/>
  <c r="M561" i="3"/>
  <c r="N561" i="3"/>
  <c r="O561" i="3"/>
  <c r="P561" i="3"/>
  <c r="Q561" i="3"/>
  <c r="R561" i="3"/>
  <c r="M562" i="3"/>
  <c r="N562" i="3"/>
  <c r="O562" i="3"/>
  <c r="P562" i="3"/>
  <c r="Q562" i="3"/>
  <c r="R562" i="3"/>
  <c r="M563" i="3"/>
  <c r="N563" i="3"/>
  <c r="O563" i="3"/>
  <c r="P563" i="3"/>
  <c r="Q563" i="3"/>
  <c r="R563" i="3"/>
  <c r="M564" i="3"/>
  <c r="N564" i="3"/>
  <c r="O564" i="3"/>
  <c r="P564" i="3"/>
  <c r="Q564" i="3"/>
  <c r="R564" i="3"/>
  <c r="M565" i="3"/>
  <c r="N565" i="3"/>
  <c r="O565" i="3"/>
  <c r="P565" i="3"/>
  <c r="Q565" i="3"/>
  <c r="R565" i="3"/>
  <c r="M566" i="3"/>
  <c r="N566" i="3"/>
  <c r="O566" i="3"/>
  <c r="P566" i="3"/>
  <c r="Q566" i="3"/>
  <c r="R566" i="3"/>
  <c r="M567" i="3"/>
  <c r="N567" i="3"/>
  <c r="O567" i="3"/>
  <c r="P567" i="3"/>
  <c r="Q567" i="3"/>
  <c r="R567" i="3"/>
  <c r="M568" i="3"/>
  <c r="N568" i="3"/>
  <c r="O568" i="3"/>
  <c r="P568" i="3"/>
  <c r="Q568" i="3"/>
  <c r="R568" i="3"/>
  <c r="M569" i="3"/>
  <c r="N569" i="3"/>
  <c r="O569" i="3"/>
  <c r="P569" i="3"/>
  <c r="Q569" i="3"/>
  <c r="R569" i="3"/>
  <c r="M570" i="3"/>
  <c r="N570" i="3"/>
  <c r="O570" i="3"/>
  <c r="P570" i="3"/>
  <c r="Q570" i="3"/>
  <c r="R570" i="3"/>
  <c r="M571" i="3"/>
  <c r="N571" i="3"/>
  <c r="O571" i="3"/>
  <c r="P571" i="3"/>
  <c r="Q571" i="3"/>
  <c r="R571" i="3"/>
  <c r="M572" i="3"/>
  <c r="N572" i="3"/>
  <c r="O572" i="3"/>
  <c r="P572" i="3"/>
  <c r="Q572" i="3"/>
  <c r="R572" i="3"/>
  <c r="M573" i="3"/>
  <c r="N573" i="3"/>
  <c r="O573" i="3"/>
  <c r="P573" i="3"/>
  <c r="Q573" i="3"/>
  <c r="R573" i="3"/>
  <c r="M574" i="3"/>
  <c r="N574" i="3"/>
  <c r="O574" i="3"/>
  <c r="P574" i="3"/>
  <c r="Q574" i="3"/>
  <c r="R574" i="3"/>
  <c r="M575" i="3"/>
  <c r="N575" i="3"/>
  <c r="O575" i="3"/>
  <c r="P575" i="3"/>
  <c r="Q575" i="3"/>
  <c r="R575" i="3"/>
  <c r="M576" i="3"/>
  <c r="N576" i="3"/>
  <c r="O576" i="3"/>
  <c r="P576" i="3"/>
  <c r="Q576" i="3"/>
  <c r="R576" i="3"/>
  <c r="M577" i="3"/>
  <c r="N577" i="3"/>
  <c r="O577" i="3"/>
  <c r="P577" i="3"/>
  <c r="Q577" i="3"/>
  <c r="R577" i="3"/>
  <c r="M578" i="3"/>
  <c r="N578" i="3"/>
  <c r="O578" i="3"/>
  <c r="P578" i="3"/>
  <c r="Q578" i="3"/>
  <c r="R578" i="3"/>
  <c r="M579" i="3"/>
  <c r="N579" i="3"/>
  <c r="O579" i="3"/>
  <c r="P579" i="3"/>
  <c r="Q579" i="3"/>
  <c r="R579" i="3"/>
  <c r="M580" i="3"/>
  <c r="N580" i="3"/>
  <c r="O580" i="3"/>
  <c r="P580" i="3"/>
  <c r="Q580" i="3"/>
  <c r="R580" i="3"/>
  <c r="M581" i="3"/>
  <c r="N581" i="3"/>
  <c r="O581" i="3"/>
  <c r="P581" i="3"/>
  <c r="Q581" i="3"/>
  <c r="R581" i="3"/>
  <c r="M582" i="3"/>
  <c r="N582" i="3"/>
  <c r="O582" i="3"/>
  <c r="P582" i="3"/>
  <c r="Q582" i="3"/>
  <c r="R582" i="3"/>
  <c r="M583" i="3"/>
  <c r="N583" i="3"/>
  <c r="O583" i="3"/>
  <c r="P583" i="3"/>
  <c r="Q583" i="3"/>
  <c r="R583" i="3"/>
  <c r="M584" i="3"/>
  <c r="N584" i="3"/>
  <c r="O584" i="3"/>
  <c r="P584" i="3"/>
  <c r="Q584" i="3"/>
  <c r="R584" i="3"/>
  <c r="M585" i="3"/>
  <c r="N585" i="3"/>
  <c r="O585" i="3"/>
  <c r="P585" i="3"/>
  <c r="Q585" i="3"/>
  <c r="R585" i="3"/>
  <c r="M586" i="3"/>
  <c r="N586" i="3"/>
  <c r="O586" i="3"/>
  <c r="P586" i="3"/>
  <c r="Q586" i="3"/>
  <c r="R586" i="3"/>
  <c r="M587" i="3"/>
  <c r="N587" i="3"/>
  <c r="O587" i="3"/>
  <c r="P587" i="3"/>
  <c r="Q587" i="3"/>
  <c r="R587" i="3"/>
  <c r="M588" i="3"/>
  <c r="N588" i="3"/>
  <c r="O588" i="3"/>
  <c r="P588" i="3"/>
  <c r="Q588" i="3"/>
  <c r="R588" i="3"/>
  <c r="M589" i="3"/>
  <c r="N589" i="3"/>
  <c r="O589" i="3"/>
  <c r="P589" i="3"/>
  <c r="Q589" i="3"/>
  <c r="R589" i="3"/>
  <c r="M590" i="3"/>
  <c r="N590" i="3"/>
  <c r="O590" i="3"/>
  <c r="P590" i="3"/>
  <c r="Q590" i="3"/>
  <c r="R590" i="3"/>
  <c r="M591" i="3"/>
  <c r="N591" i="3"/>
  <c r="O591" i="3"/>
  <c r="P591" i="3"/>
  <c r="Q591" i="3"/>
  <c r="R591" i="3"/>
  <c r="M592" i="3"/>
  <c r="N592" i="3"/>
  <c r="O592" i="3"/>
  <c r="P592" i="3"/>
  <c r="Q592" i="3"/>
  <c r="R592" i="3"/>
  <c r="M593" i="3"/>
  <c r="N593" i="3"/>
  <c r="O593" i="3"/>
  <c r="P593" i="3"/>
  <c r="Q593" i="3"/>
  <c r="R593" i="3"/>
  <c r="M594" i="3"/>
  <c r="N594" i="3"/>
  <c r="O594" i="3"/>
  <c r="P594" i="3"/>
  <c r="Q594" i="3"/>
  <c r="R594" i="3"/>
  <c r="M595" i="3"/>
  <c r="N595" i="3"/>
  <c r="O595" i="3"/>
  <c r="P595" i="3"/>
  <c r="Q595" i="3"/>
  <c r="R595" i="3"/>
  <c r="M596" i="3"/>
  <c r="N596" i="3"/>
  <c r="O596" i="3"/>
  <c r="P596" i="3"/>
  <c r="Q596" i="3"/>
  <c r="R596" i="3"/>
  <c r="M597" i="3"/>
  <c r="N597" i="3"/>
  <c r="O597" i="3"/>
  <c r="P597" i="3"/>
  <c r="Q597" i="3"/>
  <c r="R597" i="3"/>
  <c r="M598" i="3"/>
  <c r="N598" i="3"/>
  <c r="O598" i="3"/>
  <c r="P598" i="3"/>
  <c r="Q598" i="3"/>
  <c r="R598" i="3"/>
  <c r="M599" i="3"/>
  <c r="N599" i="3"/>
  <c r="O599" i="3"/>
  <c r="P599" i="3"/>
  <c r="Q599" i="3"/>
  <c r="R599" i="3"/>
  <c r="M600" i="3"/>
  <c r="N600" i="3"/>
  <c r="O600" i="3"/>
  <c r="P600" i="3"/>
  <c r="Q600" i="3"/>
  <c r="R600" i="3"/>
  <c r="M601" i="3"/>
  <c r="N601" i="3"/>
  <c r="O601" i="3"/>
  <c r="P601" i="3"/>
  <c r="Q601" i="3"/>
  <c r="R601" i="3"/>
  <c r="M602" i="3"/>
  <c r="N602" i="3"/>
  <c r="O602" i="3"/>
  <c r="P602" i="3"/>
  <c r="Q602" i="3"/>
  <c r="R602" i="3"/>
  <c r="M603" i="3"/>
  <c r="N603" i="3"/>
  <c r="O603" i="3"/>
  <c r="P603" i="3"/>
  <c r="Q603" i="3"/>
  <c r="R603" i="3"/>
  <c r="M604" i="3"/>
  <c r="N604" i="3"/>
  <c r="O604" i="3"/>
  <c r="P604" i="3"/>
  <c r="Q604" i="3"/>
  <c r="R604" i="3"/>
  <c r="M605" i="3"/>
  <c r="N605" i="3"/>
  <c r="O605" i="3"/>
  <c r="P605" i="3"/>
  <c r="Q605" i="3"/>
  <c r="R605" i="3"/>
  <c r="M606" i="3"/>
  <c r="N606" i="3"/>
  <c r="O606" i="3"/>
  <c r="P606" i="3"/>
  <c r="Q606" i="3"/>
  <c r="R606" i="3"/>
  <c r="M607" i="3"/>
  <c r="N607" i="3"/>
  <c r="O607" i="3"/>
  <c r="P607" i="3"/>
  <c r="Q607" i="3"/>
  <c r="R607" i="3"/>
  <c r="M608" i="3"/>
  <c r="N608" i="3"/>
  <c r="O608" i="3"/>
  <c r="P608" i="3"/>
  <c r="Q608" i="3"/>
  <c r="R608" i="3"/>
  <c r="M609" i="3"/>
  <c r="N609" i="3"/>
  <c r="O609" i="3"/>
  <c r="P609" i="3"/>
  <c r="Q609" i="3"/>
  <c r="R609" i="3"/>
  <c r="M610" i="3"/>
  <c r="N610" i="3"/>
  <c r="O610" i="3"/>
  <c r="P610" i="3"/>
  <c r="Q610" i="3"/>
  <c r="R610" i="3"/>
  <c r="M611" i="3"/>
  <c r="N611" i="3"/>
  <c r="O611" i="3"/>
  <c r="P611" i="3"/>
  <c r="Q611" i="3"/>
  <c r="R611" i="3"/>
  <c r="M612" i="3"/>
  <c r="N612" i="3"/>
  <c r="O612" i="3"/>
  <c r="P612" i="3"/>
  <c r="Q612" i="3"/>
  <c r="R612" i="3"/>
  <c r="M613" i="3"/>
  <c r="N613" i="3"/>
  <c r="O613" i="3"/>
  <c r="P613" i="3"/>
  <c r="Q613" i="3"/>
  <c r="R613" i="3"/>
  <c r="M614" i="3"/>
  <c r="N614" i="3"/>
  <c r="O614" i="3"/>
  <c r="P614" i="3"/>
  <c r="Q614" i="3"/>
  <c r="R614" i="3"/>
  <c r="M615" i="3"/>
  <c r="N615" i="3"/>
  <c r="O615" i="3"/>
  <c r="P615" i="3"/>
  <c r="Q615" i="3"/>
  <c r="R615" i="3"/>
  <c r="M616" i="3"/>
  <c r="N616" i="3"/>
  <c r="O616" i="3"/>
  <c r="P616" i="3"/>
  <c r="Q616" i="3"/>
  <c r="R616" i="3"/>
  <c r="M617" i="3"/>
  <c r="N617" i="3"/>
  <c r="O617" i="3"/>
  <c r="P617" i="3"/>
  <c r="Q617" i="3"/>
  <c r="R617" i="3"/>
  <c r="M618" i="3"/>
  <c r="N618" i="3"/>
  <c r="O618" i="3"/>
  <c r="P618" i="3"/>
  <c r="Q618" i="3"/>
  <c r="R618" i="3"/>
  <c r="M619" i="3"/>
  <c r="N619" i="3"/>
  <c r="O619" i="3"/>
  <c r="P619" i="3"/>
  <c r="Q619" i="3"/>
  <c r="R619" i="3"/>
  <c r="M620" i="3"/>
  <c r="N620" i="3"/>
  <c r="O620" i="3"/>
  <c r="P620" i="3"/>
  <c r="Q620" i="3"/>
  <c r="R620" i="3"/>
  <c r="M621" i="3"/>
  <c r="N621" i="3"/>
  <c r="O621" i="3"/>
  <c r="P621" i="3"/>
  <c r="Q621" i="3"/>
  <c r="R621" i="3"/>
  <c r="M622" i="3"/>
  <c r="N622" i="3"/>
  <c r="O622" i="3"/>
  <c r="P622" i="3"/>
  <c r="Q622" i="3"/>
  <c r="R622" i="3"/>
  <c r="M623" i="3"/>
  <c r="N623" i="3"/>
  <c r="O623" i="3"/>
  <c r="P623" i="3"/>
  <c r="Q623" i="3"/>
  <c r="R623" i="3"/>
  <c r="M624" i="3"/>
  <c r="N624" i="3"/>
  <c r="O624" i="3"/>
  <c r="P624" i="3"/>
  <c r="Q624" i="3"/>
  <c r="R624" i="3"/>
  <c r="M625" i="3"/>
  <c r="N625" i="3"/>
  <c r="O625" i="3"/>
  <c r="P625" i="3"/>
  <c r="Q625" i="3"/>
  <c r="R625" i="3"/>
  <c r="M626" i="3"/>
  <c r="N626" i="3"/>
  <c r="O626" i="3"/>
  <c r="P626" i="3"/>
  <c r="Q626" i="3"/>
  <c r="R626" i="3"/>
  <c r="M627" i="3"/>
  <c r="N627" i="3"/>
  <c r="O627" i="3"/>
  <c r="P627" i="3"/>
  <c r="Q627" i="3"/>
  <c r="R627" i="3"/>
  <c r="M628" i="3"/>
  <c r="N628" i="3"/>
  <c r="O628" i="3"/>
  <c r="P628" i="3"/>
  <c r="Q628" i="3"/>
  <c r="R628" i="3"/>
  <c r="M629" i="3"/>
  <c r="N629" i="3"/>
  <c r="O629" i="3"/>
  <c r="P629" i="3"/>
  <c r="Q629" i="3"/>
  <c r="R629" i="3"/>
  <c r="M630" i="3"/>
  <c r="N630" i="3"/>
  <c r="O630" i="3"/>
  <c r="P630" i="3"/>
  <c r="Q630" i="3"/>
  <c r="R630" i="3"/>
  <c r="M631" i="3"/>
  <c r="N631" i="3"/>
  <c r="O631" i="3"/>
  <c r="P631" i="3"/>
  <c r="Q631" i="3"/>
  <c r="R631" i="3"/>
  <c r="M632" i="3"/>
  <c r="N632" i="3"/>
  <c r="O632" i="3"/>
  <c r="P632" i="3"/>
  <c r="Q632" i="3"/>
  <c r="R632" i="3"/>
  <c r="M633" i="3"/>
  <c r="N633" i="3"/>
  <c r="O633" i="3"/>
  <c r="P633" i="3"/>
  <c r="Q633" i="3"/>
  <c r="R633" i="3"/>
  <c r="M634" i="3"/>
  <c r="N634" i="3"/>
  <c r="O634" i="3"/>
  <c r="P634" i="3"/>
  <c r="Q634" i="3"/>
  <c r="R634" i="3"/>
  <c r="M635" i="3"/>
  <c r="N635" i="3"/>
  <c r="O635" i="3"/>
  <c r="P635" i="3"/>
  <c r="Q635" i="3"/>
  <c r="R635" i="3"/>
  <c r="M636" i="3"/>
  <c r="N636" i="3"/>
  <c r="O636" i="3"/>
  <c r="P636" i="3"/>
  <c r="Q636" i="3"/>
  <c r="R636" i="3"/>
  <c r="M637" i="3"/>
  <c r="N637" i="3"/>
  <c r="O637" i="3"/>
  <c r="P637" i="3"/>
  <c r="Q637" i="3"/>
  <c r="R637" i="3"/>
  <c r="M638" i="3"/>
  <c r="N638" i="3"/>
  <c r="O638" i="3"/>
  <c r="P638" i="3"/>
  <c r="Q638" i="3"/>
  <c r="R638" i="3"/>
  <c r="M639" i="3"/>
  <c r="N639" i="3"/>
  <c r="O639" i="3"/>
  <c r="P639" i="3"/>
  <c r="Q639" i="3"/>
  <c r="R639" i="3"/>
  <c r="M640" i="3"/>
  <c r="N640" i="3"/>
  <c r="O640" i="3"/>
  <c r="P640" i="3"/>
  <c r="Q640" i="3"/>
  <c r="R640" i="3"/>
  <c r="M641" i="3"/>
  <c r="N641" i="3"/>
  <c r="O641" i="3"/>
  <c r="P641" i="3"/>
  <c r="Q641" i="3"/>
  <c r="R641" i="3"/>
  <c r="M642" i="3"/>
  <c r="N642" i="3"/>
  <c r="O642" i="3"/>
  <c r="P642" i="3"/>
  <c r="Q642" i="3"/>
  <c r="R642" i="3"/>
  <c r="M643" i="3"/>
  <c r="N643" i="3"/>
  <c r="O643" i="3"/>
  <c r="P643" i="3"/>
  <c r="Q643" i="3"/>
  <c r="R643" i="3"/>
  <c r="M644" i="3"/>
  <c r="N644" i="3"/>
  <c r="O644" i="3"/>
  <c r="P644" i="3"/>
  <c r="Q644" i="3"/>
  <c r="R644" i="3"/>
  <c r="M645" i="3"/>
  <c r="N645" i="3"/>
  <c r="O645" i="3"/>
  <c r="P645" i="3"/>
  <c r="Q645" i="3"/>
  <c r="R645" i="3"/>
  <c r="M646" i="3"/>
  <c r="N646" i="3"/>
  <c r="O646" i="3"/>
  <c r="P646" i="3"/>
  <c r="Q646" i="3"/>
  <c r="R646" i="3"/>
  <c r="M647" i="3"/>
  <c r="N647" i="3"/>
  <c r="O647" i="3"/>
  <c r="P647" i="3"/>
  <c r="Q647" i="3"/>
  <c r="R647" i="3"/>
  <c r="M648" i="3"/>
  <c r="N648" i="3"/>
  <c r="O648" i="3"/>
  <c r="P648" i="3"/>
  <c r="Q648" i="3"/>
  <c r="R648" i="3"/>
  <c r="M649" i="3"/>
  <c r="N649" i="3"/>
  <c r="O649" i="3"/>
  <c r="P649" i="3"/>
  <c r="Q649" i="3"/>
  <c r="R649" i="3"/>
  <c r="M650" i="3"/>
  <c r="N650" i="3"/>
  <c r="O650" i="3"/>
  <c r="P650" i="3"/>
  <c r="Q650" i="3"/>
  <c r="R650" i="3"/>
  <c r="M651" i="3"/>
  <c r="N651" i="3"/>
  <c r="O651" i="3"/>
  <c r="P651" i="3"/>
  <c r="Q651" i="3"/>
  <c r="R651" i="3"/>
  <c r="M652" i="3"/>
  <c r="N652" i="3"/>
  <c r="O652" i="3"/>
  <c r="P652" i="3"/>
  <c r="Q652" i="3"/>
  <c r="R652" i="3"/>
  <c r="M653" i="3"/>
  <c r="N653" i="3"/>
  <c r="O653" i="3"/>
  <c r="P653" i="3"/>
  <c r="Q653" i="3"/>
  <c r="R653" i="3"/>
  <c r="M654" i="3"/>
  <c r="N654" i="3"/>
  <c r="O654" i="3"/>
  <c r="P654" i="3"/>
  <c r="Q654" i="3"/>
  <c r="R654" i="3"/>
  <c r="M655" i="3"/>
  <c r="N655" i="3"/>
  <c r="O655" i="3"/>
  <c r="P655" i="3"/>
  <c r="Q655" i="3"/>
  <c r="R655" i="3"/>
  <c r="M656" i="3"/>
  <c r="N656" i="3"/>
  <c r="O656" i="3"/>
  <c r="P656" i="3"/>
  <c r="Q656" i="3"/>
  <c r="R656" i="3"/>
  <c r="M657" i="3"/>
  <c r="N657" i="3"/>
  <c r="O657" i="3"/>
  <c r="P657" i="3"/>
  <c r="Q657" i="3"/>
  <c r="R657" i="3"/>
  <c r="M658" i="3"/>
  <c r="N658" i="3"/>
  <c r="O658" i="3"/>
  <c r="P658" i="3"/>
  <c r="Q658" i="3"/>
  <c r="R658" i="3"/>
  <c r="M659" i="3"/>
  <c r="N659" i="3"/>
  <c r="O659" i="3"/>
  <c r="P659" i="3"/>
  <c r="Q659" i="3"/>
  <c r="R659" i="3"/>
  <c r="M660" i="3"/>
  <c r="N660" i="3"/>
  <c r="O660" i="3"/>
  <c r="P660" i="3"/>
  <c r="Q660" i="3"/>
  <c r="R660" i="3"/>
  <c r="M661" i="3"/>
  <c r="N661" i="3"/>
  <c r="O661" i="3"/>
  <c r="P661" i="3"/>
  <c r="Q661" i="3"/>
  <c r="R661" i="3"/>
  <c r="M662" i="3"/>
  <c r="N662" i="3"/>
  <c r="O662" i="3"/>
  <c r="P662" i="3"/>
  <c r="Q662" i="3"/>
  <c r="R662" i="3"/>
  <c r="M663" i="3"/>
  <c r="N663" i="3"/>
  <c r="O663" i="3"/>
  <c r="P663" i="3"/>
  <c r="Q663" i="3"/>
  <c r="R663" i="3"/>
  <c r="M664" i="3"/>
  <c r="N664" i="3"/>
  <c r="O664" i="3"/>
  <c r="P664" i="3"/>
  <c r="Q664" i="3"/>
  <c r="R664" i="3"/>
  <c r="M665" i="3"/>
  <c r="N665" i="3"/>
  <c r="O665" i="3"/>
  <c r="P665" i="3"/>
  <c r="Q665" i="3"/>
  <c r="R665" i="3"/>
  <c r="M666" i="3"/>
  <c r="N666" i="3"/>
  <c r="O666" i="3"/>
  <c r="P666" i="3"/>
  <c r="Q666" i="3"/>
  <c r="R666" i="3"/>
  <c r="M667" i="3"/>
  <c r="N667" i="3"/>
  <c r="O667" i="3"/>
  <c r="P667" i="3"/>
  <c r="Q667" i="3"/>
  <c r="R667" i="3"/>
  <c r="M668" i="3"/>
  <c r="N668" i="3"/>
  <c r="O668" i="3"/>
  <c r="P668" i="3"/>
  <c r="Q668" i="3"/>
  <c r="R668" i="3"/>
  <c r="M669" i="3"/>
  <c r="N669" i="3"/>
  <c r="O669" i="3"/>
  <c r="P669" i="3"/>
  <c r="Q669" i="3"/>
  <c r="R669" i="3"/>
  <c r="M670" i="3"/>
  <c r="N670" i="3"/>
  <c r="O670" i="3"/>
  <c r="P670" i="3"/>
  <c r="Q670" i="3"/>
  <c r="R670" i="3"/>
  <c r="M671" i="3"/>
  <c r="N671" i="3"/>
  <c r="O671" i="3"/>
  <c r="P671" i="3"/>
  <c r="Q671" i="3"/>
  <c r="R671" i="3"/>
  <c r="M672" i="3"/>
  <c r="N672" i="3"/>
  <c r="O672" i="3"/>
  <c r="P672" i="3"/>
  <c r="Q672" i="3"/>
  <c r="R672" i="3"/>
  <c r="M673" i="3"/>
  <c r="N673" i="3"/>
  <c r="O673" i="3"/>
  <c r="P673" i="3"/>
  <c r="Q673" i="3"/>
  <c r="R673" i="3"/>
  <c r="M674" i="3"/>
  <c r="N674" i="3"/>
  <c r="O674" i="3"/>
  <c r="P674" i="3"/>
  <c r="Q674" i="3"/>
  <c r="R674" i="3"/>
  <c r="M675" i="3"/>
  <c r="N675" i="3"/>
  <c r="O675" i="3"/>
  <c r="P675" i="3"/>
  <c r="Q675" i="3"/>
  <c r="R675" i="3"/>
  <c r="M676" i="3"/>
  <c r="N676" i="3"/>
  <c r="O676" i="3"/>
  <c r="P676" i="3"/>
  <c r="Q676" i="3"/>
  <c r="R676" i="3"/>
  <c r="M677" i="3"/>
  <c r="N677" i="3"/>
  <c r="O677" i="3"/>
  <c r="P677" i="3"/>
  <c r="Q677" i="3"/>
  <c r="R677" i="3"/>
  <c r="M678" i="3"/>
  <c r="N678" i="3"/>
  <c r="O678" i="3"/>
  <c r="P678" i="3"/>
  <c r="Q678" i="3"/>
  <c r="R678" i="3"/>
  <c r="M679" i="3"/>
  <c r="N679" i="3"/>
  <c r="O679" i="3"/>
  <c r="P679" i="3"/>
  <c r="Q679" i="3"/>
  <c r="R679" i="3"/>
  <c r="M680" i="3"/>
  <c r="N680" i="3"/>
  <c r="O680" i="3"/>
  <c r="P680" i="3"/>
  <c r="Q680" i="3"/>
  <c r="R680" i="3"/>
  <c r="M681" i="3"/>
  <c r="N681" i="3"/>
  <c r="O681" i="3"/>
  <c r="P681" i="3"/>
  <c r="Q681" i="3"/>
  <c r="R681" i="3"/>
  <c r="M682" i="3"/>
  <c r="N682" i="3"/>
  <c r="O682" i="3"/>
  <c r="P682" i="3"/>
  <c r="Q682" i="3"/>
  <c r="R682" i="3"/>
  <c r="M683" i="3"/>
  <c r="N683" i="3"/>
  <c r="O683" i="3"/>
  <c r="P683" i="3"/>
  <c r="Q683" i="3"/>
  <c r="R683" i="3"/>
  <c r="M684" i="3"/>
  <c r="N684" i="3"/>
  <c r="O684" i="3"/>
  <c r="P684" i="3"/>
  <c r="Q684" i="3"/>
  <c r="R684" i="3"/>
  <c r="M685" i="3"/>
  <c r="N685" i="3"/>
  <c r="O685" i="3"/>
  <c r="P685" i="3"/>
  <c r="Q685" i="3"/>
  <c r="R685" i="3"/>
  <c r="M686" i="3"/>
  <c r="N686" i="3"/>
  <c r="O686" i="3"/>
  <c r="P686" i="3"/>
  <c r="Q686" i="3"/>
  <c r="R686" i="3"/>
  <c r="M687" i="3"/>
  <c r="N687" i="3"/>
  <c r="O687" i="3"/>
  <c r="P687" i="3"/>
  <c r="Q687" i="3"/>
  <c r="R687" i="3"/>
  <c r="M688" i="3"/>
  <c r="N688" i="3"/>
  <c r="O688" i="3"/>
  <c r="P688" i="3"/>
  <c r="Q688" i="3"/>
  <c r="R688" i="3"/>
  <c r="M689" i="3"/>
  <c r="N689" i="3"/>
  <c r="O689" i="3"/>
  <c r="P689" i="3"/>
  <c r="Q689" i="3"/>
  <c r="R689" i="3"/>
  <c r="M690" i="3"/>
  <c r="N690" i="3"/>
  <c r="O690" i="3"/>
  <c r="P690" i="3"/>
  <c r="Q690" i="3"/>
  <c r="R690" i="3"/>
  <c r="M691" i="3"/>
  <c r="N691" i="3"/>
  <c r="O691" i="3"/>
  <c r="P691" i="3"/>
  <c r="Q691" i="3"/>
  <c r="R691" i="3"/>
  <c r="M692" i="3"/>
  <c r="N692" i="3"/>
  <c r="O692" i="3"/>
  <c r="P692" i="3"/>
  <c r="Q692" i="3"/>
  <c r="R692" i="3"/>
  <c r="M693" i="3"/>
  <c r="N693" i="3"/>
  <c r="O693" i="3"/>
  <c r="P693" i="3"/>
  <c r="Q693" i="3"/>
  <c r="R693" i="3"/>
  <c r="M694" i="3"/>
  <c r="N694" i="3"/>
  <c r="O694" i="3"/>
  <c r="P694" i="3"/>
  <c r="Q694" i="3"/>
  <c r="R694" i="3"/>
  <c r="M695" i="3"/>
  <c r="N695" i="3"/>
  <c r="O695" i="3"/>
  <c r="P695" i="3"/>
  <c r="Q695" i="3"/>
  <c r="R695" i="3"/>
  <c r="M696" i="3"/>
  <c r="N696" i="3"/>
  <c r="O696" i="3"/>
  <c r="P696" i="3"/>
  <c r="Q696" i="3"/>
  <c r="R696" i="3"/>
  <c r="M697" i="3"/>
  <c r="N697" i="3"/>
  <c r="O697" i="3"/>
  <c r="P697" i="3"/>
  <c r="Q697" i="3"/>
  <c r="R697" i="3"/>
  <c r="M698" i="3"/>
  <c r="N698" i="3"/>
  <c r="O698" i="3"/>
  <c r="P698" i="3"/>
  <c r="Q698" i="3"/>
  <c r="R698" i="3"/>
  <c r="M699" i="3"/>
  <c r="N699" i="3"/>
  <c r="O699" i="3"/>
  <c r="P699" i="3"/>
  <c r="Q699" i="3"/>
  <c r="R699" i="3"/>
  <c r="M700" i="3"/>
  <c r="N700" i="3"/>
  <c r="O700" i="3"/>
  <c r="P700" i="3"/>
  <c r="Q700" i="3"/>
  <c r="R700" i="3"/>
  <c r="M701" i="3"/>
  <c r="N701" i="3"/>
  <c r="O701" i="3"/>
  <c r="P701" i="3"/>
  <c r="Q701" i="3"/>
  <c r="R701" i="3"/>
  <c r="M702" i="3"/>
  <c r="N702" i="3"/>
  <c r="O702" i="3"/>
  <c r="P702" i="3"/>
  <c r="Q702" i="3"/>
  <c r="R702" i="3"/>
  <c r="M703" i="3"/>
  <c r="N703" i="3"/>
  <c r="O703" i="3"/>
  <c r="P703" i="3"/>
  <c r="Q703" i="3"/>
  <c r="R703" i="3"/>
  <c r="M704" i="3"/>
  <c r="N704" i="3"/>
  <c r="O704" i="3"/>
  <c r="P704" i="3"/>
  <c r="Q704" i="3"/>
  <c r="R704" i="3"/>
  <c r="M705" i="3"/>
  <c r="N705" i="3"/>
  <c r="O705" i="3"/>
  <c r="P705" i="3"/>
  <c r="Q705" i="3"/>
  <c r="R705" i="3"/>
  <c r="M706" i="3"/>
  <c r="N706" i="3"/>
  <c r="O706" i="3"/>
  <c r="P706" i="3"/>
  <c r="Q706" i="3"/>
  <c r="R706" i="3"/>
  <c r="M707" i="3"/>
  <c r="N707" i="3"/>
  <c r="O707" i="3"/>
  <c r="P707" i="3"/>
  <c r="Q707" i="3"/>
  <c r="R707" i="3"/>
  <c r="M708" i="3"/>
  <c r="N708" i="3"/>
  <c r="O708" i="3"/>
  <c r="P708" i="3"/>
  <c r="Q708" i="3"/>
  <c r="R708" i="3"/>
  <c r="M709" i="3"/>
  <c r="N709" i="3"/>
  <c r="O709" i="3"/>
  <c r="P709" i="3"/>
  <c r="Q709" i="3"/>
  <c r="R709" i="3"/>
  <c r="M710" i="3"/>
  <c r="N710" i="3"/>
  <c r="O710" i="3"/>
  <c r="P710" i="3"/>
  <c r="Q710" i="3"/>
  <c r="R710" i="3"/>
  <c r="M711" i="3"/>
  <c r="N711" i="3"/>
  <c r="O711" i="3"/>
  <c r="P711" i="3"/>
  <c r="Q711" i="3"/>
  <c r="R711" i="3"/>
  <c r="M712" i="3"/>
  <c r="N712" i="3"/>
  <c r="O712" i="3"/>
  <c r="P712" i="3"/>
  <c r="Q712" i="3"/>
  <c r="R712" i="3"/>
  <c r="M713" i="3"/>
  <c r="N713" i="3"/>
  <c r="O713" i="3"/>
  <c r="P713" i="3"/>
  <c r="Q713" i="3"/>
  <c r="R713" i="3"/>
  <c r="M714" i="3"/>
  <c r="N714" i="3"/>
  <c r="O714" i="3"/>
  <c r="P714" i="3"/>
  <c r="Q714" i="3"/>
  <c r="R714" i="3"/>
  <c r="M715" i="3"/>
  <c r="N715" i="3"/>
  <c r="O715" i="3"/>
  <c r="P715" i="3"/>
  <c r="Q715" i="3"/>
  <c r="R715" i="3"/>
  <c r="M716" i="3"/>
  <c r="N716" i="3"/>
  <c r="O716" i="3"/>
  <c r="P716" i="3"/>
  <c r="Q716" i="3"/>
  <c r="R716" i="3"/>
  <c r="M717" i="3"/>
  <c r="N717" i="3"/>
  <c r="O717" i="3"/>
  <c r="P717" i="3"/>
  <c r="Q717" i="3"/>
  <c r="R717" i="3"/>
  <c r="M718" i="3"/>
  <c r="N718" i="3"/>
  <c r="O718" i="3"/>
  <c r="P718" i="3"/>
  <c r="Q718" i="3"/>
  <c r="R718" i="3"/>
  <c r="M719" i="3"/>
  <c r="N719" i="3"/>
  <c r="O719" i="3"/>
  <c r="P719" i="3"/>
  <c r="Q719" i="3"/>
  <c r="R719" i="3"/>
  <c r="M720" i="3"/>
  <c r="N720" i="3"/>
  <c r="O720" i="3"/>
  <c r="P720" i="3"/>
  <c r="Q720" i="3"/>
  <c r="R720" i="3"/>
  <c r="M721" i="3"/>
  <c r="N721" i="3"/>
  <c r="O721" i="3"/>
  <c r="P721" i="3"/>
  <c r="Q721" i="3"/>
  <c r="R721" i="3"/>
  <c r="M722" i="3"/>
  <c r="N722" i="3"/>
  <c r="O722" i="3"/>
  <c r="P722" i="3"/>
  <c r="Q722" i="3"/>
  <c r="R722" i="3"/>
  <c r="M723" i="3"/>
  <c r="N723" i="3"/>
  <c r="O723" i="3"/>
  <c r="P723" i="3"/>
  <c r="Q723" i="3"/>
  <c r="R723" i="3"/>
  <c r="M724" i="3"/>
  <c r="N724" i="3"/>
  <c r="O724" i="3"/>
  <c r="P724" i="3"/>
  <c r="Q724" i="3"/>
  <c r="R724" i="3"/>
  <c r="M725" i="3"/>
  <c r="N725" i="3"/>
  <c r="O725" i="3"/>
  <c r="P725" i="3"/>
  <c r="Q725" i="3"/>
  <c r="R725" i="3"/>
  <c r="M726" i="3"/>
  <c r="N726" i="3"/>
  <c r="O726" i="3"/>
  <c r="P726" i="3"/>
  <c r="Q726" i="3"/>
  <c r="R726" i="3"/>
  <c r="M727" i="3"/>
  <c r="N727" i="3"/>
  <c r="O727" i="3"/>
  <c r="P727" i="3"/>
  <c r="Q727" i="3"/>
  <c r="R727" i="3"/>
  <c r="M728" i="3"/>
  <c r="N728" i="3"/>
  <c r="O728" i="3"/>
  <c r="P728" i="3"/>
  <c r="Q728" i="3"/>
  <c r="R728" i="3"/>
  <c r="M729" i="3"/>
  <c r="N729" i="3"/>
  <c r="O729" i="3"/>
  <c r="P729" i="3"/>
  <c r="Q729" i="3"/>
  <c r="R729" i="3"/>
  <c r="M730" i="3"/>
  <c r="N730" i="3"/>
  <c r="O730" i="3"/>
  <c r="P730" i="3"/>
  <c r="Q730" i="3"/>
  <c r="R730" i="3"/>
  <c r="M731" i="3"/>
  <c r="N731" i="3"/>
  <c r="O731" i="3"/>
  <c r="P731" i="3"/>
  <c r="Q731" i="3"/>
  <c r="R731" i="3"/>
  <c r="M732" i="3"/>
  <c r="N732" i="3"/>
  <c r="O732" i="3"/>
  <c r="P732" i="3"/>
  <c r="Q732" i="3"/>
  <c r="R732" i="3"/>
  <c r="M733" i="3"/>
  <c r="N733" i="3"/>
  <c r="O733" i="3"/>
  <c r="P733" i="3"/>
  <c r="Q733" i="3"/>
  <c r="R733" i="3"/>
  <c r="M734" i="3"/>
  <c r="N734" i="3"/>
  <c r="O734" i="3"/>
  <c r="P734" i="3"/>
  <c r="Q734" i="3"/>
  <c r="R734" i="3"/>
  <c r="M735" i="3"/>
  <c r="N735" i="3"/>
  <c r="O735" i="3"/>
  <c r="P735" i="3"/>
  <c r="Q735" i="3"/>
  <c r="R735" i="3"/>
  <c r="M736" i="3"/>
  <c r="N736" i="3"/>
  <c r="O736" i="3"/>
  <c r="P736" i="3"/>
  <c r="Q736" i="3"/>
  <c r="R736" i="3"/>
  <c r="M737" i="3"/>
  <c r="N737" i="3"/>
  <c r="O737" i="3"/>
  <c r="P737" i="3"/>
  <c r="Q737" i="3"/>
  <c r="R737" i="3"/>
  <c r="M738" i="3"/>
  <c r="N738" i="3"/>
  <c r="O738" i="3"/>
  <c r="P738" i="3"/>
  <c r="Q738" i="3"/>
  <c r="R738" i="3"/>
  <c r="M739" i="3"/>
  <c r="N739" i="3"/>
  <c r="O739" i="3"/>
  <c r="P739" i="3"/>
  <c r="Q739" i="3"/>
  <c r="R739" i="3"/>
  <c r="M740" i="3"/>
  <c r="N740" i="3"/>
  <c r="O740" i="3"/>
  <c r="P740" i="3"/>
  <c r="Q740" i="3"/>
  <c r="R740" i="3"/>
  <c r="M741" i="3"/>
  <c r="N741" i="3"/>
  <c r="O741" i="3"/>
  <c r="P741" i="3"/>
  <c r="Q741" i="3"/>
  <c r="R741" i="3"/>
  <c r="M742" i="3"/>
  <c r="N742" i="3"/>
  <c r="O742" i="3"/>
  <c r="P742" i="3"/>
  <c r="Q742" i="3"/>
  <c r="R742" i="3"/>
  <c r="M743" i="3"/>
  <c r="N743" i="3"/>
  <c r="O743" i="3"/>
  <c r="P743" i="3"/>
  <c r="Q743" i="3"/>
  <c r="R743" i="3"/>
  <c r="M744" i="3"/>
  <c r="N744" i="3"/>
  <c r="O744" i="3"/>
  <c r="P744" i="3"/>
  <c r="Q744" i="3"/>
  <c r="R744" i="3"/>
  <c r="M745" i="3"/>
  <c r="N745" i="3"/>
  <c r="O745" i="3"/>
  <c r="P745" i="3"/>
  <c r="Q745" i="3"/>
  <c r="R745" i="3"/>
  <c r="M746" i="3"/>
  <c r="N746" i="3"/>
  <c r="O746" i="3"/>
  <c r="P746" i="3"/>
  <c r="Q746" i="3"/>
  <c r="R746" i="3"/>
  <c r="M747" i="3"/>
  <c r="N747" i="3"/>
  <c r="O747" i="3"/>
  <c r="P747" i="3"/>
  <c r="Q747" i="3"/>
  <c r="R747" i="3"/>
  <c r="M748" i="3"/>
  <c r="N748" i="3"/>
  <c r="O748" i="3"/>
  <c r="P748" i="3"/>
  <c r="Q748" i="3"/>
  <c r="R748" i="3"/>
  <c r="M749" i="3"/>
  <c r="N749" i="3"/>
  <c r="O749" i="3"/>
  <c r="P749" i="3"/>
  <c r="Q749" i="3"/>
  <c r="R749" i="3"/>
  <c r="M750" i="3"/>
  <c r="N750" i="3"/>
  <c r="O750" i="3"/>
  <c r="P750" i="3"/>
  <c r="Q750" i="3"/>
  <c r="R750" i="3"/>
  <c r="M751" i="3"/>
  <c r="N751" i="3"/>
  <c r="O751" i="3"/>
  <c r="P751" i="3"/>
  <c r="Q751" i="3"/>
  <c r="R751" i="3"/>
  <c r="M752" i="3"/>
  <c r="N752" i="3"/>
  <c r="O752" i="3"/>
  <c r="P752" i="3"/>
  <c r="Q752" i="3"/>
  <c r="R752" i="3"/>
  <c r="M753" i="3"/>
  <c r="N753" i="3"/>
  <c r="O753" i="3"/>
  <c r="P753" i="3"/>
  <c r="Q753" i="3"/>
  <c r="R753" i="3"/>
  <c r="M754" i="3"/>
  <c r="N754" i="3"/>
  <c r="O754" i="3"/>
  <c r="P754" i="3"/>
  <c r="Q754" i="3"/>
  <c r="R754" i="3"/>
  <c r="M755" i="3"/>
  <c r="N755" i="3"/>
  <c r="O755" i="3"/>
  <c r="P755" i="3"/>
  <c r="Q755" i="3"/>
  <c r="R755" i="3"/>
  <c r="M756" i="3"/>
  <c r="N756" i="3"/>
  <c r="O756" i="3"/>
  <c r="P756" i="3"/>
  <c r="Q756" i="3"/>
  <c r="R756" i="3"/>
  <c r="M757" i="3"/>
  <c r="N757" i="3"/>
  <c r="O757" i="3"/>
  <c r="P757" i="3"/>
  <c r="Q757" i="3"/>
  <c r="R757" i="3"/>
  <c r="M758" i="3"/>
  <c r="N758" i="3"/>
  <c r="O758" i="3"/>
  <c r="P758" i="3"/>
  <c r="Q758" i="3"/>
  <c r="R758" i="3"/>
  <c r="M759" i="3"/>
  <c r="N759" i="3"/>
  <c r="O759" i="3"/>
  <c r="P759" i="3"/>
  <c r="Q759" i="3"/>
  <c r="R759" i="3"/>
  <c r="M760" i="3"/>
  <c r="N760" i="3"/>
  <c r="O760" i="3"/>
  <c r="P760" i="3"/>
  <c r="Q760" i="3"/>
  <c r="R760" i="3"/>
  <c r="M761" i="3"/>
  <c r="N761" i="3"/>
  <c r="O761" i="3"/>
  <c r="P761" i="3"/>
  <c r="Q761" i="3"/>
  <c r="R761" i="3"/>
  <c r="M762" i="3"/>
  <c r="N762" i="3"/>
  <c r="O762" i="3"/>
  <c r="P762" i="3"/>
  <c r="Q762" i="3"/>
  <c r="R762" i="3"/>
  <c r="M763" i="3"/>
  <c r="N763" i="3"/>
  <c r="O763" i="3"/>
  <c r="P763" i="3"/>
  <c r="Q763" i="3"/>
  <c r="R763" i="3"/>
  <c r="M764" i="3"/>
  <c r="N764" i="3"/>
  <c r="O764" i="3"/>
  <c r="P764" i="3"/>
  <c r="Q764" i="3"/>
  <c r="R764" i="3"/>
  <c r="M765" i="3"/>
  <c r="N765" i="3"/>
  <c r="O765" i="3"/>
  <c r="P765" i="3"/>
  <c r="Q765" i="3"/>
  <c r="R765" i="3"/>
  <c r="M766" i="3"/>
  <c r="N766" i="3"/>
  <c r="O766" i="3"/>
  <c r="P766" i="3"/>
  <c r="Q766" i="3"/>
  <c r="R766" i="3"/>
  <c r="M767" i="3"/>
  <c r="N767" i="3"/>
  <c r="O767" i="3"/>
  <c r="P767" i="3"/>
  <c r="Q767" i="3"/>
  <c r="R767" i="3"/>
  <c r="M768" i="3"/>
  <c r="N768" i="3"/>
  <c r="O768" i="3"/>
  <c r="P768" i="3"/>
  <c r="Q768" i="3"/>
  <c r="R768" i="3"/>
  <c r="M769" i="3"/>
  <c r="N769" i="3"/>
  <c r="O769" i="3"/>
  <c r="P769" i="3"/>
  <c r="Q769" i="3"/>
  <c r="R769" i="3"/>
  <c r="M770" i="3"/>
  <c r="N770" i="3"/>
  <c r="O770" i="3"/>
  <c r="P770" i="3"/>
  <c r="Q770" i="3"/>
  <c r="R770" i="3"/>
  <c r="M771" i="3"/>
  <c r="N771" i="3"/>
  <c r="O771" i="3"/>
  <c r="P771" i="3"/>
  <c r="Q771" i="3"/>
  <c r="R771" i="3"/>
  <c r="M772" i="3"/>
  <c r="N772" i="3"/>
  <c r="O772" i="3"/>
  <c r="P772" i="3"/>
  <c r="Q772" i="3"/>
  <c r="R772" i="3"/>
  <c r="M773" i="3"/>
  <c r="N773" i="3"/>
  <c r="O773" i="3"/>
  <c r="P773" i="3"/>
  <c r="Q773" i="3"/>
  <c r="R773" i="3"/>
  <c r="M774" i="3"/>
  <c r="N774" i="3"/>
  <c r="O774" i="3"/>
  <c r="P774" i="3"/>
  <c r="Q774" i="3"/>
  <c r="R774" i="3"/>
  <c r="M775" i="3"/>
  <c r="N775" i="3"/>
  <c r="O775" i="3"/>
  <c r="P775" i="3"/>
  <c r="Q775" i="3"/>
  <c r="R775" i="3"/>
  <c r="M776" i="3"/>
  <c r="N776" i="3"/>
  <c r="O776" i="3"/>
  <c r="P776" i="3"/>
  <c r="Q776" i="3"/>
  <c r="R776" i="3"/>
  <c r="M777" i="3"/>
  <c r="N777" i="3"/>
  <c r="O777" i="3"/>
  <c r="P777" i="3"/>
  <c r="Q777" i="3"/>
  <c r="R777" i="3"/>
  <c r="M778" i="3"/>
  <c r="N778" i="3"/>
  <c r="O778" i="3"/>
  <c r="P778" i="3"/>
  <c r="Q778" i="3"/>
  <c r="R778" i="3"/>
  <c r="M779" i="3"/>
  <c r="N779" i="3"/>
  <c r="O779" i="3"/>
  <c r="P779" i="3"/>
  <c r="Q779" i="3"/>
  <c r="R779" i="3"/>
  <c r="M780" i="3"/>
  <c r="N780" i="3"/>
  <c r="O780" i="3"/>
  <c r="P780" i="3"/>
  <c r="Q780" i="3"/>
  <c r="R780" i="3"/>
  <c r="M781" i="3"/>
  <c r="N781" i="3"/>
  <c r="O781" i="3"/>
  <c r="P781" i="3"/>
  <c r="Q781" i="3"/>
  <c r="R781" i="3"/>
  <c r="M782" i="3"/>
  <c r="N782" i="3"/>
  <c r="O782" i="3"/>
  <c r="P782" i="3"/>
  <c r="Q782" i="3"/>
  <c r="R782" i="3"/>
  <c r="M783" i="3"/>
  <c r="N783" i="3"/>
  <c r="O783" i="3"/>
  <c r="P783" i="3"/>
  <c r="Q783" i="3"/>
  <c r="R783" i="3"/>
  <c r="M784" i="3"/>
  <c r="N784" i="3"/>
  <c r="O784" i="3"/>
  <c r="P784" i="3"/>
  <c r="Q784" i="3"/>
  <c r="R784" i="3"/>
  <c r="M785" i="3"/>
  <c r="N785" i="3"/>
  <c r="O785" i="3"/>
  <c r="P785" i="3"/>
  <c r="Q785" i="3"/>
  <c r="R785" i="3"/>
  <c r="M786" i="3"/>
  <c r="N786" i="3"/>
  <c r="O786" i="3"/>
  <c r="P786" i="3"/>
  <c r="Q786" i="3"/>
  <c r="R786" i="3"/>
  <c r="M787" i="3"/>
  <c r="N787" i="3"/>
  <c r="O787" i="3"/>
  <c r="P787" i="3"/>
  <c r="Q787" i="3"/>
  <c r="R787" i="3"/>
  <c r="M788" i="3"/>
  <c r="N788" i="3"/>
  <c r="O788" i="3"/>
  <c r="P788" i="3"/>
  <c r="Q788" i="3"/>
  <c r="R788" i="3"/>
  <c r="M789" i="3"/>
  <c r="N789" i="3"/>
  <c r="O789" i="3"/>
  <c r="P789" i="3"/>
  <c r="Q789" i="3"/>
  <c r="R789" i="3"/>
  <c r="M790" i="3"/>
  <c r="N790" i="3"/>
  <c r="O790" i="3"/>
  <c r="P790" i="3"/>
  <c r="Q790" i="3"/>
  <c r="R790" i="3"/>
  <c r="M791" i="3"/>
  <c r="N791" i="3"/>
  <c r="O791" i="3"/>
  <c r="P791" i="3"/>
  <c r="Q791" i="3"/>
  <c r="R791" i="3"/>
  <c r="M792" i="3"/>
  <c r="N792" i="3"/>
  <c r="O792" i="3"/>
  <c r="P792" i="3"/>
  <c r="Q792" i="3"/>
  <c r="R792" i="3"/>
  <c r="M793" i="3"/>
  <c r="N793" i="3"/>
  <c r="O793" i="3"/>
  <c r="P793" i="3"/>
  <c r="Q793" i="3"/>
  <c r="R793" i="3"/>
  <c r="M794" i="3"/>
  <c r="N794" i="3"/>
  <c r="O794" i="3"/>
  <c r="P794" i="3"/>
  <c r="Q794" i="3"/>
  <c r="R794" i="3"/>
  <c r="M795" i="3"/>
  <c r="N795" i="3"/>
  <c r="O795" i="3"/>
  <c r="P795" i="3"/>
  <c r="Q795" i="3"/>
  <c r="R795" i="3"/>
  <c r="M796" i="3"/>
  <c r="N796" i="3"/>
  <c r="O796" i="3"/>
  <c r="P796" i="3"/>
  <c r="Q796" i="3"/>
  <c r="R796" i="3"/>
  <c r="M797" i="3"/>
  <c r="N797" i="3"/>
  <c r="O797" i="3"/>
  <c r="P797" i="3"/>
  <c r="Q797" i="3"/>
  <c r="R797" i="3"/>
  <c r="M798" i="3"/>
  <c r="N798" i="3"/>
  <c r="O798" i="3"/>
  <c r="P798" i="3"/>
  <c r="Q798" i="3"/>
  <c r="R798" i="3"/>
  <c r="M799" i="3"/>
  <c r="N799" i="3"/>
  <c r="O799" i="3"/>
  <c r="P799" i="3"/>
  <c r="Q799" i="3"/>
  <c r="R799" i="3"/>
  <c r="M800" i="3"/>
  <c r="N800" i="3"/>
  <c r="O800" i="3"/>
  <c r="P800" i="3"/>
  <c r="Q800" i="3"/>
  <c r="R800" i="3"/>
  <c r="M801" i="3"/>
  <c r="N801" i="3"/>
  <c r="O801" i="3"/>
  <c r="P801" i="3"/>
  <c r="Q801" i="3"/>
  <c r="R801" i="3"/>
  <c r="M802" i="3"/>
  <c r="N802" i="3"/>
  <c r="O802" i="3"/>
  <c r="P802" i="3"/>
  <c r="Q802" i="3"/>
  <c r="R802" i="3"/>
  <c r="M803" i="3"/>
  <c r="N803" i="3"/>
  <c r="O803" i="3"/>
  <c r="P803" i="3"/>
  <c r="Q803" i="3"/>
  <c r="R803" i="3"/>
  <c r="M804" i="3"/>
  <c r="N804" i="3"/>
  <c r="O804" i="3"/>
  <c r="P804" i="3"/>
  <c r="Q804" i="3"/>
  <c r="R804" i="3"/>
  <c r="M805" i="3"/>
  <c r="N805" i="3"/>
  <c r="O805" i="3"/>
  <c r="P805" i="3"/>
  <c r="Q805" i="3"/>
  <c r="R805" i="3"/>
  <c r="M806" i="3"/>
  <c r="N806" i="3"/>
  <c r="O806" i="3"/>
  <c r="P806" i="3"/>
  <c r="Q806" i="3"/>
  <c r="R806" i="3"/>
  <c r="M807" i="3"/>
  <c r="N807" i="3"/>
  <c r="O807" i="3"/>
  <c r="P807" i="3"/>
  <c r="Q807" i="3"/>
  <c r="R807" i="3"/>
  <c r="M808" i="3"/>
  <c r="N808" i="3"/>
  <c r="O808" i="3"/>
  <c r="P808" i="3"/>
  <c r="Q808" i="3"/>
  <c r="R808" i="3"/>
  <c r="M809" i="3"/>
  <c r="N809" i="3"/>
  <c r="O809" i="3"/>
  <c r="P809" i="3"/>
  <c r="Q809" i="3"/>
  <c r="R809" i="3"/>
  <c r="M810" i="3"/>
  <c r="N810" i="3"/>
  <c r="O810" i="3"/>
  <c r="P810" i="3"/>
  <c r="Q810" i="3"/>
  <c r="R810" i="3"/>
  <c r="M811" i="3"/>
  <c r="N811" i="3"/>
  <c r="O811" i="3"/>
  <c r="P811" i="3"/>
  <c r="Q811" i="3"/>
  <c r="R811" i="3"/>
  <c r="M812" i="3"/>
  <c r="N812" i="3"/>
  <c r="O812" i="3"/>
  <c r="P812" i="3"/>
  <c r="Q812" i="3"/>
  <c r="R812" i="3"/>
  <c r="M813" i="3"/>
  <c r="N813" i="3"/>
  <c r="O813" i="3"/>
  <c r="P813" i="3"/>
  <c r="Q813" i="3"/>
  <c r="R813" i="3"/>
  <c r="M814" i="3"/>
  <c r="N814" i="3"/>
  <c r="O814" i="3"/>
  <c r="P814" i="3"/>
  <c r="Q814" i="3"/>
  <c r="R814" i="3"/>
  <c r="M815" i="3"/>
  <c r="N815" i="3"/>
  <c r="O815" i="3"/>
  <c r="P815" i="3"/>
  <c r="Q815" i="3"/>
  <c r="R815" i="3"/>
  <c r="M816" i="3"/>
  <c r="N816" i="3"/>
  <c r="O816" i="3"/>
  <c r="P816" i="3"/>
  <c r="Q816" i="3"/>
  <c r="R816" i="3"/>
  <c r="M817" i="3"/>
  <c r="N817" i="3"/>
  <c r="O817" i="3"/>
  <c r="P817" i="3"/>
  <c r="Q817" i="3"/>
  <c r="R817" i="3"/>
  <c r="M818" i="3"/>
  <c r="N818" i="3"/>
  <c r="O818" i="3"/>
  <c r="P818" i="3"/>
  <c r="Q818" i="3"/>
  <c r="R818" i="3"/>
  <c r="M819" i="3"/>
  <c r="N819" i="3"/>
  <c r="O819" i="3"/>
  <c r="P819" i="3"/>
  <c r="Q819" i="3"/>
  <c r="R819" i="3"/>
  <c r="M820" i="3"/>
  <c r="N820" i="3"/>
  <c r="O820" i="3"/>
  <c r="P820" i="3"/>
  <c r="Q820" i="3"/>
  <c r="R820" i="3"/>
  <c r="M821" i="3"/>
  <c r="N821" i="3"/>
  <c r="O821" i="3"/>
  <c r="P821" i="3"/>
  <c r="Q821" i="3"/>
  <c r="R821" i="3"/>
  <c r="M822" i="3"/>
  <c r="N822" i="3"/>
  <c r="O822" i="3"/>
  <c r="P822" i="3"/>
  <c r="Q822" i="3"/>
  <c r="R822" i="3"/>
  <c r="M823" i="3"/>
  <c r="N823" i="3"/>
  <c r="O823" i="3"/>
  <c r="P823" i="3"/>
  <c r="Q823" i="3"/>
  <c r="R823" i="3"/>
  <c r="M824" i="3"/>
  <c r="N824" i="3"/>
  <c r="O824" i="3"/>
  <c r="P824" i="3"/>
  <c r="Q824" i="3"/>
  <c r="R824" i="3"/>
  <c r="M825" i="3"/>
  <c r="N825" i="3"/>
  <c r="O825" i="3"/>
  <c r="P825" i="3"/>
  <c r="Q825" i="3"/>
  <c r="R825" i="3"/>
  <c r="M826" i="3"/>
  <c r="N826" i="3"/>
  <c r="O826" i="3"/>
  <c r="P826" i="3"/>
  <c r="Q826" i="3"/>
  <c r="R826" i="3"/>
  <c r="M827" i="3"/>
  <c r="N827" i="3"/>
  <c r="O827" i="3"/>
  <c r="P827" i="3"/>
  <c r="Q827" i="3"/>
  <c r="R827" i="3"/>
  <c r="M828" i="3"/>
  <c r="N828" i="3"/>
  <c r="O828" i="3"/>
  <c r="P828" i="3"/>
  <c r="Q828" i="3"/>
  <c r="R828" i="3"/>
  <c r="M829" i="3"/>
  <c r="N829" i="3"/>
  <c r="O829" i="3"/>
  <c r="P829" i="3"/>
  <c r="Q829" i="3"/>
  <c r="R829" i="3"/>
  <c r="M830" i="3"/>
  <c r="N830" i="3"/>
  <c r="O830" i="3"/>
  <c r="P830" i="3"/>
  <c r="Q830" i="3"/>
  <c r="R830" i="3"/>
  <c r="M831" i="3"/>
  <c r="N831" i="3"/>
  <c r="O831" i="3"/>
  <c r="P831" i="3"/>
  <c r="Q831" i="3"/>
  <c r="R831" i="3"/>
  <c r="M832" i="3"/>
  <c r="N832" i="3"/>
  <c r="O832" i="3"/>
  <c r="P832" i="3"/>
  <c r="Q832" i="3"/>
  <c r="R832" i="3"/>
  <c r="M833" i="3"/>
  <c r="N833" i="3"/>
  <c r="O833" i="3"/>
  <c r="P833" i="3"/>
  <c r="Q833" i="3"/>
  <c r="R833" i="3"/>
  <c r="M834" i="3"/>
  <c r="N834" i="3"/>
  <c r="O834" i="3"/>
  <c r="P834" i="3"/>
  <c r="Q834" i="3"/>
  <c r="R834" i="3"/>
  <c r="M835" i="3"/>
  <c r="N835" i="3"/>
  <c r="O835" i="3"/>
  <c r="P835" i="3"/>
  <c r="Q835" i="3"/>
  <c r="R835" i="3"/>
  <c r="M836" i="3"/>
  <c r="N836" i="3"/>
  <c r="O836" i="3"/>
  <c r="P836" i="3"/>
  <c r="Q836" i="3"/>
  <c r="R836" i="3"/>
  <c r="M837" i="3"/>
  <c r="N837" i="3"/>
  <c r="O837" i="3"/>
  <c r="P837" i="3"/>
  <c r="Q837" i="3"/>
  <c r="R837" i="3"/>
  <c r="M838" i="3"/>
  <c r="N838" i="3"/>
  <c r="O838" i="3"/>
  <c r="P838" i="3"/>
  <c r="Q838" i="3"/>
  <c r="R838" i="3"/>
  <c r="M839" i="3"/>
  <c r="N839" i="3"/>
  <c r="O839" i="3"/>
  <c r="P839" i="3"/>
  <c r="Q839" i="3"/>
  <c r="R839" i="3"/>
  <c r="M840" i="3"/>
  <c r="N840" i="3"/>
  <c r="O840" i="3"/>
  <c r="P840" i="3"/>
  <c r="Q840" i="3"/>
  <c r="R840" i="3"/>
  <c r="M841" i="3"/>
  <c r="N841" i="3"/>
  <c r="O841" i="3"/>
  <c r="P841" i="3"/>
  <c r="Q841" i="3"/>
  <c r="R841" i="3"/>
  <c r="M842" i="3"/>
  <c r="N842" i="3"/>
  <c r="O842" i="3"/>
  <c r="P842" i="3"/>
  <c r="Q842" i="3"/>
  <c r="R842" i="3"/>
  <c r="M843" i="3"/>
  <c r="N843" i="3"/>
  <c r="O843" i="3"/>
  <c r="P843" i="3"/>
  <c r="Q843" i="3"/>
  <c r="R843" i="3"/>
  <c r="M844" i="3"/>
  <c r="N844" i="3"/>
  <c r="O844" i="3"/>
  <c r="P844" i="3"/>
  <c r="Q844" i="3"/>
  <c r="R844" i="3"/>
  <c r="M845" i="3"/>
  <c r="N845" i="3"/>
  <c r="O845" i="3"/>
  <c r="P845" i="3"/>
  <c r="Q845" i="3"/>
  <c r="R845" i="3"/>
  <c r="M846" i="3"/>
  <c r="N846" i="3"/>
  <c r="O846" i="3"/>
  <c r="P846" i="3"/>
  <c r="Q846" i="3"/>
  <c r="R846" i="3"/>
  <c r="M847" i="3"/>
  <c r="N847" i="3"/>
  <c r="O847" i="3"/>
  <c r="P847" i="3"/>
  <c r="Q847" i="3"/>
  <c r="R847" i="3"/>
  <c r="M848" i="3"/>
  <c r="N848" i="3"/>
  <c r="O848" i="3"/>
  <c r="P848" i="3"/>
  <c r="Q848" i="3"/>
  <c r="R848" i="3"/>
  <c r="M849" i="3"/>
  <c r="N849" i="3"/>
  <c r="O849" i="3"/>
  <c r="P849" i="3"/>
  <c r="Q849" i="3"/>
  <c r="R849" i="3"/>
  <c r="M850" i="3"/>
  <c r="N850" i="3"/>
  <c r="O850" i="3"/>
  <c r="P850" i="3"/>
  <c r="Q850" i="3"/>
  <c r="R850" i="3"/>
  <c r="M851" i="3"/>
  <c r="N851" i="3"/>
  <c r="O851" i="3"/>
  <c r="P851" i="3"/>
  <c r="Q851" i="3"/>
  <c r="R851" i="3"/>
  <c r="M852" i="3"/>
  <c r="N852" i="3"/>
  <c r="O852" i="3"/>
  <c r="P852" i="3"/>
  <c r="Q852" i="3"/>
  <c r="R852" i="3"/>
  <c r="M853" i="3"/>
  <c r="N853" i="3"/>
  <c r="O853" i="3"/>
  <c r="P853" i="3"/>
  <c r="Q853" i="3"/>
  <c r="R853" i="3"/>
  <c r="M854" i="3"/>
  <c r="N854" i="3"/>
  <c r="O854" i="3"/>
  <c r="P854" i="3"/>
  <c r="Q854" i="3"/>
  <c r="R854" i="3"/>
  <c r="M855" i="3"/>
  <c r="N855" i="3"/>
  <c r="O855" i="3"/>
  <c r="P855" i="3"/>
  <c r="Q855" i="3"/>
  <c r="R855" i="3"/>
  <c r="M856" i="3"/>
  <c r="N856" i="3"/>
  <c r="O856" i="3"/>
  <c r="P856" i="3"/>
  <c r="Q856" i="3"/>
  <c r="R856" i="3"/>
  <c r="M857" i="3"/>
  <c r="N857" i="3"/>
  <c r="O857" i="3"/>
  <c r="P857" i="3"/>
  <c r="Q857" i="3"/>
  <c r="R857" i="3"/>
  <c r="M858" i="3"/>
  <c r="N858" i="3"/>
  <c r="O858" i="3"/>
  <c r="P858" i="3"/>
  <c r="Q858" i="3"/>
  <c r="R858" i="3"/>
  <c r="M859" i="3"/>
  <c r="N859" i="3"/>
  <c r="O859" i="3"/>
  <c r="P859" i="3"/>
  <c r="Q859" i="3"/>
  <c r="R859" i="3"/>
  <c r="M860" i="3"/>
  <c r="N860" i="3"/>
  <c r="O860" i="3"/>
  <c r="P860" i="3"/>
  <c r="Q860" i="3"/>
  <c r="R860" i="3"/>
  <c r="M861" i="3"/>
  <c r="N861" i="3"/>
  <c r="O861" i="3"/>
  <c r="P861" i="3"/>
  <c r="Q861" i="3"/>
  <c r="R861" i="3"/>
  <c r="M862" i="3"/>
  <c r="N862" i="3"/>
  <c r="O862" i="3"/>
  <c r="P862" i="3"/>
  <c r="Q862" i="3"/>
  <c r="R862" i="3"/>
  <c r="M863" i="3"/>
  <c r="N863" i="3"/>
  <c r="O863" i="3"/>
  <c r="P863" i="3"/>
  <c r="Q863" i="3"/>
  <c r="R863" i="3"/>
  <c r="M864" i="3"/>
  <c r="N864" i="3"/>
  <c r="O864" i="3"/>
  <c r="P864" i="3"/>
  <c r="Q864" i="3"/>
  <c r="R864" i="3"/>
  <c r="M865" i="3"/>
  <c r="N865" i="3"/>
  <c r="O865" i="3"/>
  <c r="P865" i="3"/>
  <c r="Q865" i="3"/>
  <c r="R865" i="3"/>
  <c r="M866" i="3"/>
  <c r="N866" i="3"/>
  <c r="O866" i="3"/>
  <c r="P866" i="3"/>
  <c r="Q866" i="3"/>
  <c r="R866" i="3"/>
  <c r="M867" i="3"/>
  <c r="N867" i="3"/>
  <c r="O867" i="3"/>
  <c r="P867" i="3"/>
  <c r="Q867" i="3"/>
  <c r="R867" i="3"/>
  <c r="M868" i="3"/>
  <c r="N868" i="3"/>
  <c r="O868" i="3"/>
  <c r="P868" i="3"/>
  <c r="Q868" i="3"/>
  <c r="R868" i="3"/>
  <c r="M869" i="3"/>
  <c r="N869" i="3"/>
  <c r="O869" i="3"/>
  <c r="P869" i="3"/>
  <c r="Q869" i="3"/>
  <c r="R869" i="3"/>
  <c r="M870" i="3"/>
  <c r="N870" i="3"/>
  <c r="O870" i="3"/>
  <c r="P870" i="3"/>
  <c r="Q870" i="3"/>
  <c r="R870" i="3"/>
  <c r="M871" i="3"/>
  <c r="N871" i="3"/>
  <c r="O871" i="3"/>
  <c r="P871" i="3"/>
  <c r="Q871" i="3"/>
  <c r="R871" i="3"/>
  <c r="M872" i="3"/>
  <c r="N872" i="3"/>
  <c r="O872" i="3"/>
  <c r="P872" i="3"/>
  <c r="Q872" i="3"/>
  <c r="R872" i="3"/>
  <c r="M873" i="3"/>
  <c r="N873" i="3"/>
  <c r="O873" i="3"/>
  <c r="P873" i="3"/>
  <c r="Q873" i="3"/>
  <c r="R873" i="3"/>
  <c r="M874" i="3"/>
  <c r="N874" i="3"/>
  <c r="O874" i="3"/>
  <c r="P874" i="3"/>
  <c r="Q874" i="3"/>
  <c r="R874" i="3"/>
  <c r="M875" i="3"/>
  <c r="N875" i="3"/>
  <c r="O875" i="3"/>
  <c r="P875" i="3"/>
  <c r="Q875" i="3"/>
  <c r="R875" i="3"/>
  <c r="M876" i="3"/>
  <c r="N876" i="3"/>
  <c r="O876" i="3"/>
  <c r="P876" i="3"/>
  <c r="Q876" i="3"/>
  <c r="R876" i="3"/>
  <c r="M877" i="3"/>
  <c r="N877" i="3"/>
  <c r="O877" i="3"/>
  <c r="P877" i="3"/>
  <c r="Q877" i="3"/>
  <c r="R877" i="3"/>
  <c r="M878" i="3"/>
  <c r="N878" i="3"/>
  <c r="O878" i="3"/>
  <c r="P878" i="3"/>
  <c r="Q878" i="3"/>
  <c r="R878" i="3"/>
  <c r="M879" i="3"/>
  <c r="N879" i="3"/>
  <c r="O879" i="3"/>
  <c r="P879" i="3"/>
  <c r="Q879" i="3"/>
  <c r="R879" i="3"/>
  <c r="M880" i="3"/>
  <c r="N880" i="3"/>
  <c r="O880" i="3"/>
  <c r="P880" i="3"/>
  <c r="Q880" i="3"/>
  <c r="R880" i="3"/>
  <c r="M881" i="3"/>
  <c r="N881" i="3"/>
  <c r="O881" i="3"/>
  <c r="P881" i="3"/>
  <c r="Q881" i="3"/>
  <c r="R881" i="3"/>
  <c r="M882" i="3"/>
  <c r="N882" i="3"/>
  <c r="O882" i="3"/>
  <c r="P882" i="3"/>
  <c r="Q882" i="3"/>
  <c r="R882" i="3"/>
  <c r="M883" i="3"/>
  <c r="N883" i="3"/>
  <c r="O883" i="3"/>
  <c r="P883" i="3"/>
  <c r="Q883" i="3"/>
  <c r="R883" i="3"/>
  <c r="M884" i="3"/>
  <c r="N884" i="3"/>
  <c r="O884" i="3"/>
  <c r="P884" i="3"/>
  <c r="Q884" i="3"/>
  <c r="R884" i="3"/>
  <c r="M885" i="3"/>
  <c r="N885" i="3"/>
  <c r="O885" i="3"/>
  <c r="P885" i="3"/>
  <c r="Q885" i="3"/>
  <c r="R885" i="3"/>
  <c r="M886" i="3"/>
  <c r="N886" i="3"/>
  <c r="O886" i="3"/>
  <c r="P886" i="3"/>
  <c r="Q886" i="3"/>
  <c r="R886" i="3"/>
  <c r="M887" i="3"/>
  <c r="N887" i="3"/>
  <c r="O887" i="3"/>
  <c r="P887" i="3"/>
  <c r="Q887" i="3"/>
  <c r="R887" i="3"/>
  <c r="M888" i="3"/>
  <c r="N888" i="3"/>
  <c r="O888" i="3"/>
  <c r="P888" i="3"/>
  <c r="Q888" i="3"/>
  <c r="R888" i="3"/>
  <c r="M889" i="3"/>
  <c r="N889" i="3"/>
  <c r="O889" i="3"/>
  <c r="P889" i="3"/>
  <c r="Q889" i="3"/>
  <c r="R889" i="3"/>
  <c r="M890" i="3"/>
  <c r="N890" i="3"/>
  <c r="O890" i="3"/>
  <c r="P890" i="3"/>
  <c r="Q890" i="3"/>
  <c r="R890" i="3"/>
  <c r="M891" i="3"/>
  <c r="N891" i="3"/>
  <c r="O891" i="3"/>
  <c r="P891" i="3"/>
  <c r="Q891" i="3"/>
  <c r="R891" i="3"/>
  <c r="M892" i="3"/>
  <c r="N892" i="3"/>
  <c r="O892" i="3"/>
  <c r="P892" i="3"/>
  <c r="Q892" i="3"/>
  <c r="R892" i="3"/>
  <c r="M893" i="3"/>
  <c r="N893" i="3"/>
  <c r="O893" i="3"/>
  <c r="P893" i="3"/>
  <c r="Q893" i="3"/>
  <c r="R893" i="3"/>
  <c r="M894" i="3"/>
  <c r="N894" i="3"/>
  <c r="O894" i="3"/>
  <c r="P894" i="3"/>
  <c r="Q894" i="3"/>
  <c r="R894" i="3"/>
  <c r="M895" i="3"/>
  <c r="N895" i="3"/>
  <c r="O895" i="3"/>
  <c r="P895" i="3"/>
  <c r="Q895" i="3"/>
  <c r="R895" i="3"/>
  <c r="M896" i="3"/>
  <c r="N896" i="3"/>
  <c r="O896" i="3"/>
  <c r="P896" i="3"/>
  <c r="Q896" i="3"/>
  <c r="R896" i="3"/>
  <c r="M897" i="3"/>
  <c r="N897" i="3"/>
  <c r="O897" i="3"/>
  <c r="P897" i="3"/>
  <c r="Q897" i="3"/>
  <c r="R897" i="3"/>
  <c r="M898" i="3"/>
  <c r="N898" i="3"/>
  <c r="O898" i="3"/>
  <c r="P898" i="3"/>
  <c r="Q898" i="3"/>
  <c r="R898" i="3"/>
  <c r="M899" i="3"/>
  <c r="N899" i="3"/>
  <c r="O899" i="3"/>
  <c r="P899" i="3"/>
  <c r="Q899" i="3"/>
  <c r="R899" i="3"/>
  <c r="M900" i="3"/>
  <c r="N900" i="3"/>
  <c r="O900" i="3"/>
  <c r="P900" i="3"/>
  <c r="Q900" i="3"/>
  <c r="R900" i="3"/>
  <c r="M901" i="3"/>
  <c r="N901" i="3"/>
  <c r="O901" i="3"/>
  <c r="P901" i="3"/>
  <c r="Q901" i="3"/>
  <c r="R901" i="3"/>
  <c r="M902" i="3"/>
  <c r="N902" i="3"/>
  <c r="O902" i="3"/>
  <c r="P902" i="3"/>
  <c r="Q902" i="3"/>
  <c r="R902" i="3"/>
  <c r="M903" i="3"/>
  <c r="N903" i="3"/>
  <c r="O903" i="3"/>
  <c r="P903" i="3"/>
  <c r="Q903" i="3"/>
  <c r="R903" i="3"/>
  <c r="M904" i="3"/>
  <c r="N904" i="3"/>
  <c r="O904" i="3"/>
  <c r="P904" i="3"/>
  <c r="Q904" i="3"/>
  <c r="R904" i="3"/>
  <c r="M905" i="3"/>
  <c r="N905" i="3"/>
  <c r="O905" i="3"/>
  <c r="P905" i="3"/>
  <c r="Q905" i="3"/>
  <c r="R905" i="3"/>
  <c r="M906" i="3"/>
  <c r="N906" i="3"/>
  <c r="O906" i="3"/>
  <c r="P906" i="3"/>
  <c r="Q906" i="3"/>
  <c r="R906" i="3"/>
  <c r="M907" i="3"/>
  <c r="N907" i="3"/>
  <c r="O907" i="3"/>
  <c r="P907" i="3"/>
  <c r="Q907" i="3"/>
  <c r="R907" i="3"/>
  <c r="M908" i="3"/>
  <c r="N908" i="3"/>
  <c r="O908" i="3"/>
  <c r="P908" i="3"/>
  <c r="Q908" i="3"/>
  <c r="R908" i="3"/>
  <c r="M909" i="3"/>
  <c r="N909" i="3"/>
  <c r="O909" i="3"/>
  <c r="P909" i="3"/>
  <c r="Q909" i="3"/>
  <c r="R909" i="3"/>
  <c r="M910" i="3"/>
  <c r="N910" i="3"/>
  <c r="O910" i="3"/>
  <c r="P910" i="3"/>
  <c r="Q910" i="3"/>
  <c r="R910" i="3"/>
  <c r="M911" i="3"/>
  <c r="N911" i="3"/>
  <c r="O911" i="3"/>
  <c r="P911" i="3"/>
  <c r="Q911" i="3"/>
  <c r="R911" i="3"/>
  <c r="M912" i="3"/>
  <c r="N912" i="3"/>
  <c r="O912" i="3"/>
  <c r="P912" i="3"/>
  <c r="Q912" i="3"/>
  <c r="R912" i="3"/>
  <c r="M913" i="3"/>
  <c r="N913" i="3"/>
  <c r="O913" i="3"/>
  <c r="P913" i="3"/>
  <c r="Q913" i="3"/>
  <c r="R913" i="3"/>
  <c r="M914" i="3"/>
  <c r="N914" i="3"/>
  <c r="O914" i="3"/>
  <c r="P914" i="3"/>
  <c r="Q914" i="3"/>
  <c r="R914" i="3"/>
  <c r="M915" i="3"/>
  <c r="N915" i="3"/>
  <c r="O915" i="3"/>
  <c r="P915" i="3"/>
  <c r="Q915" i="3"/>
  <c r="R915" i="3"/>
  <c r="M916" i="3"/>
  <c r="N916" i="3"/>
  <c r="O916" i="3"/>
  <c r="P916" i="3"/>
  <c r="Q916" i="3"/>
  <c r="R916" i="3"/>
  <c r="M917" i="3"/>
  <c r="N917" i="3"/>
  <c r="O917" i="3"/>
  <c r="P917" i="3"/>
  <c r="Q917" i="3"/>
  <c r="R917" i="3"/>
  <c r="M918" i="3"/>
  <c r="N918" i="3"/>
  <c r="O918" i="3"/>
  <c r="P918" i="3"/>
  <c r="Q918" i="3"/>
  <c r="R918" i="3"/>
  <c r="M919" i="3"/>
  <c r="N919" i="3"/>
  <c r="O919" i="3"/>
  <c r="P919" i="3"/>
  <c r="Q919" i="3"/>
  <c r="R919" i="3"/>
  <c r="M920" i="3"/>
  <c r="N920" i="3"/>
  <c r="O920" i="3"/>
  <c r="P920" i="3"/>
  <c r="Q920" i="3"/>
  <c r="R920" i="3"/>
  <c r="M921" i="3"/>
  <c r="N921" i="3"/>
  <c r="O921" i="3"/>
  <c r="P921" i="3"/>
  <c r="Q921" i="3"/>
  <c r="R921" i="3"/>
  <c r="M922" i="3"/>
  <c r="N922" i="3"/>
  <c r="O922" i="3"/>
  <c r="P922" i="3"/>
  <c r="Q922" i="3"/>
  <c r="R922" i="3"/>
  <c r="M923" i="3"/>
  <c r="N923" i="3"/>
  <c r="O923" i="3"/>
  <c r="P923" i="3"/>
  <c r="Q923" i="3"/>
  <c r="R923" i="3"/>
  <c r="M924" i="3"/>
  <c r="N924" i="3"/>
  <c r="O924" i="3"/>
  <c r="P924" i="3"/>
  <c r="Q924" i="3"/>
  <c r="R924" i="3"/>
  <c r="M925" i="3"/>
  <c r="N925" i="3"/>
  <c r="O925" i="3"/>
  <c r="P925" i="3"/>
  <c r="Q925" i="3"/>
  <c r="R925" i="3"/>
  <c r="M926" i="3"/>
  <c r="N926" i="3"/>
  <c r="O926" i="3"/>
  <c r="P926" i="3"/>
  <c r="Q926" i="3"/>
  <c r="R926" i="3"/>
  <c r="M927" i="3"/>
  <c r="N927" i="3"/>
  <c r="O927" i="3"/>
  <c r="P927" i="3"/>
  <c r="Q927" i="3"/>
  <c r="R927" i="3"/>
  <c r="M928" i="3"/>
  <c r="N928" i="3"/>
  <c r="O928" i="3"/>
  <c r="P928" i="3"/>
  <c r="Q928" i="3"/>
  <c r="R928" i="3"/>
  <c r="M929" i="3"/>
  <c r="N929" i="3"/>
  <c r="O929" i="3"/>
  <c r="P929" i="3"/>
  <c r="Q929" i="3"/>
  <c r="R929" i="3"/>
  <c r="M930" i="3"/>
  <c r="N930" i="3"/>
  <c r="O930" i="3"/>
  <c r="P930" i="3"/>
  <c r="Q930" i="3"/>
  <c r="R930" i="3"/>
  <c r="M931" i="3"/>
  <c r="N931" i="3"/>
  <c r="O931" i="3"/>
  <c r="P931" i="3"/>
  <c r="Q931" i="3"/>
  <c r="R931" i="3"/>
  <c r="M932" i="3"/>
  <c r="N932" i="3"/>
  <c r="O932" i="3"/>
  <c r="P932" i="3"/>
  <c r="Q932" i="3"/>
  <c r="R932" i="3"/>
  <c r="M933" i="3"/>
  <c r="N933" i="3"/>
  <c r="O933" i="3"/>
  <c r="P933" i="3"/>
  <c r="Q933" i="3"/>
  <c r="R933" i="3"/>
  <c r="M934" i="3"/>
  <c r="N934" i="3"/>
  <c r="O934" i="3"/>
  <c r="P934" i="3"/>
  <c r="Q934" i="3"/>
  <c r="R934" i="3"/>
  <c r="M935" i="3"/>
  <c r="N935" i="3"/>
  <c r="O935" i="3"/>
  <c r="P935" i="3"/>
  <c r="Q935" i="3"/>
  <c r="R935" i="3"/>
  <c r="M936" i="3"/>
  <c r="N936" i="3"/>
  <c r="O936" i="3"/>
  <c r="P936" i="3"/>
  <c r="Q936" i="3"/>
  <c r="R936" i="3"/>
  <c r="M937" i="3"/>
  <c r="N937" i="3"/>
  <c r="O937" i="3"/>
  <c r="P937" i="3"/>
  <c r="Q937" i="3"/>
  <c r="R937" i="3"/>
  <c r="M938" i="3"/>
  <c r="N938" i="3"/>
  <c r="O938" i="3"/>
  <c r="P938" i="3"/>
  <c r="Q938" i="3"/>
  <c r="R938" i="3"/>
  <c r="M939" i="3"/>
  <c r="N939" i="3"/>
  <c r="O939" i="3"/>
  <c r="P939" i="3"/>
  <c r="Q939" i="3"/>
  <c r="R939" i="3"/>
  <c r="M940" i="3"/>
  <c r="N940" i="3"/>
  <c r="O940" i="3"/>
  <c r="P940" i="3"/>
  <c r="Q940" i="3"/>
  <c r="R940" i="3"/>
  <c r="M941" i="3"/>
  <c r="N941" i="3"/>
  <c r="O941" i="3"/>
  <c r="P941" i="3"/>
  <c r="Q941" i="3"/>
  <c r="R941" i="3"/>
  <c r="M942" i="3"/>
  <c r="N942" i="3"/>
  <c r="O942" i="3"/>
  <c r="P942" i="3"/>
  <c r="Q942" i="3"/>
  <c r="R942" i="3"/>
  <c r="M943" i="3"/>
  <c r="N943" i="3"/>
  <c r="O943" i="3"/>
  <c r="P943" i="3"/>
  <c r="Q943" i="3"/>
  <c r="R943" i="3"/>
  <c r="M944" i="3"/>
  <c r="N944" i="3"/>
  <c r="O944" i="3"/>
  <c r="P944" i="3"/>
  <c r="Q944" i="3"/>
  <c r="R944" i="3"/>
  <c r="M945" i="3"/>
  <c r="N945" i="3"/>
  <c r="O945" i="3"/>
  <c r="P945" i="3"/>
  <c r="Q945" i="3"/>
  <c r="R945" i="3"/>
  <c r="M946" i="3"/>
  <c r="N946" i="3"/>
  <c r="O946" i="3"/>
  <c r="P946" i="3"/>
  <c r="Q946" i="3"/>
  <c r="R946" i="3"/>
  <c r="M947" i="3"/>
  <c r="N947" i="3"/>
  <c r="O947" i="3"/>
  <c r="P947" i="3"/>
  <c r="Q947" i="3"/>
  <c r="R947" i="3"/>
  <c r="M948" i="3"/>
  <c r="N948" i="3"/>
  <c r="O948" i="3"/>
  <c r="P948" i="3"/>
  <c r="Q948" i="3"/>
  <c r="R948" i="3"/>
  <c r="M949" i="3"/>
  <c r="N949" i="3"/>
  <c r="O949" i="3"/>
  <c r="P949" i="3"/>
  <c r="Q949" i="3"/>
  <c r="R949" i="3"/>
  <c r="M950" i="3"/>
  <c r="N950" i="3"/>
  <c r="O950" i="3"/>
  <c r="P950" i="3"/>
  <c r="Q950" i="3"/>
  <c r="R950" i="3"/>
  <c r="M951" i="3"/>
  <c r="N951" i="3"/>
  <c r="O951" i="3"/>
  <c r="P951" i="3"/>
  <c r="Q951" i="3"/>
  <c r="R951" i="3"/>
  <c r="M952" i="3"/>
  <c r="N952" i="3"/>
  <c r="O952" i="3"/>
  <c r="P952" i="3"/>
  <c r="Q952" i="3"/>
  <c r="R952" i="3"/>
  <c r="M953" i="3"/>
  <c r="N953" i="3"/>
  <c r="O953" i="3"/>
  <c r="P953" i="3"/>
  <c r="Q953" i="3"/>
  <c r="R953" i="3"/>
  <c r="M954" i="3"/>
  <c r="N954" i="3"/>
  <c r="O954" i="3"/>
  <c r="P954" i="3"/>
  <c r="Q954" i="3"/>
  <c r="R954" i="3"/>
  <c r="M955" i="3"/>
  <c r="N955" i="3"/>
  <c r="O955" i="3"/>
  <c r="P955" i="3"/>
  <c r="Q955" i="3"/>
  <c r="R955" i="3"/>
  <c r="M956" i="3"/>
  <c r="N956" i="3"/>
  <c r="O956" i="3"/>
  <c r="P956" i="3"/>
  <c r="Q956" i="3"/>
  <c r="R956" i="3"/>
  <c r="M957" i="3"/>
  <c r="N957" i="3"/>
  <c r="O957" i="3"/>
  <c r="P957" i="3"/>
  <c r="Q957" i="3"/>
  <c r="R957" i="3"/>
  <c r="M958" i="3"/>
  <c r="N958" i="3"/>
  <c r="O958" i="3"/>
  <c r="P958" i="3"/>
  <c r="Q958" i="3"/>
  <c r="R958" i="3"/>
  <c r="M959" i="3"/>
  <c r="N959" i="3"/>
  <c r="O959" i="3"/>
  <c r="P959" i="3"/>
  <c r="Q959" i="3"/>
  <c r="R959" i="3"/>
  <c r="M960" i="3"/>
  <c r="N960" i="3"/>
  <c r="O960" i="3"/>
  <c r="P960" i="3"/>
  <c r="Q960" i="3"/>
  <c r="R960" i="3"/>
  <c r="M961" i="3"/>
  <c r="N961" i="3"/>
  <c r="O961" i="3"/>
  <c r="P961" i="3"/>
  <c r="Q961" i="3"/>
  <c r="R961" i="3"/>
  <c r="M962" i="3"/>
  <c r="N962" i="3"/>
  <c r="O962" i="3"/>
  <c r="P962" i="3"/>
  <c r="Q962" i="3"/>
  <c r="R962" i="3"/>
  <c r="M963" i="3"/>
  <c r="N963" i="3"/>
  <c r="O963" i="3"/>
  <c r="P963" i="3"/>
  <c r="Q963" i="3"/>
  <c r="R963" i="3"/>
  <c r="M964" i="3"/>
  <c r="N964" i="3"/>
  <c r="O964" i="3"/>
  <c r="P964" i="3"/>
  <c r="Q964" i="3"/>
  <c r="R964" i="3"/>
  <c r="M965" i="3"/>
  <c r="N965" i="3"/>
  <c r="O965" i="3"/>
  <c r="P965" i="3"/>
  <c r="Q965" i="3"/>
  <c r="R965" i="3"/>
  <c r="M966" i="3"/>
  <c r="N966" i="3"/>
  <c r="O966" i="3"/>
  <c r="P966" i="3"/>
  <c r="Q966" i="3"/>
  <c r="R966" i="3"/>
  <c r="M967" i="3"/>
  <c r="N967" i="3"/>
  <c r="O967" i="3"/>
  <c r="P967" i="3"/>
  <c r="Q967" i="3"/>
  <c r="R967" i="3"/>
  <c r="M968" i="3"/>
  <c r="N968" i="3"/>
  <c r="O968" i="3"/>
  <c r="P968" i="3"/>
  <c r="Q968" i="3"/>
  <c r="R968" i="3"/>
  <c r="M969" i="3"/>
  <c r="N969" i="3"/>
  <c r="O969" i="3"/>
  <c r="P969" i="3"/>
  <c r="Q969" i="3"/>
  <c r="R969" i="3"/>
  <c r="M970" i="3"/>
  <c r="N970" i="3"/>
  <c r="O970" i="3"/>
  <c r="P970" i="3"/>
  <c r="Q970" i="3"/>
  <c r="R970" i="3"/>
  <c r="M971" i="3"/>
  <c r="N971" i="3"/>
  <c r="O971" i="3"/>
  <c r="P971" i="3"/>
  <c r="Q971" i="3"/>
  <c r="R971" i="3"/>
  <c r="M972" i="3"/>
  <c r="N972" i="3"/>
  <c r="O972" i="3"/>
  <c r="P972" i="3"/>
  <c r="Q972" i="3"/>
  <c r="R972" i="3"/>
  <c r="M973" i="3"/>
  <c r="N973" i="3"/>
  <c r="O973" i="3"/>
  <c r="P973" i="3"/>
  <c r="Q973" i="3"/>
  <c r="R973" i="3"/>
  <c r="M974" i="3"/>
  <c r="N974" i="3"/>
  <c r="O974" i="3"/>
  <c r="P974" i="3"/>
  <c r="Q974" i="3"/>
  <c r="R974" i="3"/>
  <c r="M975" i="3"/>
  <c r="N975" i="3"/>
  <c r="O975" i="3"/>
  <c r="P975" i="3"/>
  <c r="Q975" i="3"/>
  <c r="R975" i="3"/>
  <c r="M976" i="3"/>
  <c r="N976" i="3"/>
  <c r="O976" i="3"/>
  <c r="P976" i="3"/>
  <c r="Q976" i="3"/>
  <c r="R976" i="3"/>
  <c r="M977" i="3"/>
  <c r="N977" i="3"/>
  <c r="O977" i="3"/>
  <c r="P977" i="3"/>
  <c r="Q977" i="3"/>
  <c r="R977" i="3"/>
  <c r="M978" i="3"/>
  <c r="N978" i="3"/>
  <c r="O978" i="3"/>
  <c r="P978" i="3"/>
  <c r="Q978" i="3"/>
  <c r="R978" i="3"/>
  <c r="M979" i="3"/>
  <c r="N979" i="3"/>
  <c r="O979" i="3"/>
  <c r="P979" i="3"/>
  <c r="Q979" i="3"/>
  <c r="R979" i="3"/>
  <c r="M980" i="3"/>
  <c r="N980" i="3"/>
  <c r="O980" i="3"/>
  <c r="P980" i="3"/>
  <c r="Q980" i="3"/>
  <c r="R980" i="3"/>
  <c r="M981" i="3"/>
  <c r="N981" i="3"/>
  <c r="O981" i="3"/>
  <c r="P981" i="3"/>
  <c r="Q981" i="3"/>
  <c r="R981" i="3"/>
  <c r="M982" i="3"/>
  <c r="N982" i="3"/>
  <c r="O982" i="3"/>
  <c r="P982" i="3"/>
  <c r="Q982" i="3"/>
  <c r="R982" i="3"/>
  <c r="M983" i="3"/>
  <c r="N983" i="3"/>
  <c r="O983" i="3"/>
  <c r="P983" i="3"/>
  <c r="Q983" i="3"/>
  <c r="R983" i="3"/>
  <c r="M984" i="3"/>
  <c r="N984" i="3"/>
  <c r="O984" i="3"/>
  <c r="P984" i="3"/>
  <c r="Q984" i="3"/>
  <c r="R984" i="3"/>
  <c r="M985" i="3"/>
  <c r="N985" i="3"/>
  <c r="O985" i="3"/>
  <c r="P985" i="3"/>
  <c r="Q985" i="3"/>
  <c r="R985" i="3"/>
  <c r="M986" i="3"/>
  <c r="N986" i="3"/>
  <c r="O986" i="3"/>
  <c r="P986" i="3"/>
  <c r="Q986" i="3"/>
  <c r="R986" i="3"/>
  <c r="M987" i="3"/>
  <c r="N987" i="3"/>
  <c r="O987" i="3"/>
  <c r="P987" i="3"/>
  <c r="Q987" i="3"/>
  <c r="R987" i="3"/>
  <c r="M988" i="3"/>
  <c r="N988" i="3"/>
  <c r="O988" i="3"/>
  <c r="P988" i="3"/>
  <c r="Q988" i="3"/>
  <c r="R988" i="3"/>
  <c r="M989" i="3"/>
  <c r="N989" i="3"/>
  <c r="O989" i="3"/>
  <c r="P989" i="3"/>
  <c r="Q989" i="3"/>
  <c r="R989" i="3"/>
  <c r="M990" i="3"/>
  <c r="N990" i="3"/>
  <c r="O990" i="3"/>
  <c r="P990" i="3"/>
  <c r="Q990" i="3"/>
  <c r="R990" i="3"/>
  <c r="M991" i="3"/>
  <c r="N991" i="3"/>
  <c r="O991" i="3"/>
  <c r="P991" i="3"/>
  <c r="Q991" i="3"/>
  <c r="R991" i="3"/>
  <c r="M992" i="3"/>
  <c r="N992" i="3"/>
  <c r="O992" i="3"/>
  <c r="P992" i="3"/>
  <c r="Q992" i="3"/>
  <c r="R992" i="3"/>
  <c r="M993" i="3"/>
  <c r="N993" i="3"/>
  <c r="O993" i="3"/>
  <c r="P993" i="3"/>
  <c r="Q993" i="3"/>
  <c r="R993" i="3"/>
  <c r="M994" i="3"/>
  <c r="N994" i="3"/>
  <c r="O994" i="3"/>
  <c r="P994" i="3"/>
  <c r="Q994" i="3"/>
  <c r="R994" i="3"/>
  <c r="M995" i="3"/>
  <c r="N995" i="3"/>
  <c r="O995" i="3"/>
  <c r="P995" i="3"/>
  <c r="Q995" i="3"/>
  <c r="R995" i="3"/>
  <c r="M996" i="3"/>
  <c r="N996" i="3"/>
  <c r="O996" i="3"/>
  <c r="P996" i="3"/>
  <c r="Q996" i="3"/>
  <c r="R996" i="3"/>
  <c r="M997" i="3"/>
  <c r="N997" i="3"/>
  <c r="O997" i="3"/>
  <c r="P997" i="3"/>
  <c r="Q997" i="3"/>
  <c r="R997" i="3"/>
  <c r="M998" i="3"/>
  <c r="N998" i="3"/>
  <c r="O998" i="3"/>
  <c r="P998" i="3"/>
  <c r="Q998" i="3"/>
  <c r="R998" i="3"/>
  <c r="M999" i="3"/>
  <c r="N999" i="3"/>
  <c r="O999" i="3"/>
  <c r="P999" i="3"/>
  <c r="Q999" i="3"/>
  <c r="R999" i="3"/>
  <c r="M1000" i="3"/>
  <c r="N1000" i="3"/>
  <c r="O1000" i="3"/>
  <c r="P1000" i="3"/>
  <c r="Q1000" i="3"/>
  <c r="R1000" i="3"/>
  <c r="M1001" i="3"/>
  <c r="N1001" i="3"/>
  <c r="O1001" i="3"/>
  <c r="P1001" i="3"/>
  <c r="Q1001" i="3"/>
  <c r="R1001" i="3"/>
  <c r="M1002" i="3"/>
  <c r="N1002" i="3"/>
  <c r="O1002" i="3"/>
  <c r="P1002" i="3"/>
  <c r="Q1002" i="3"/>
  <c r="R1002" i="3"/>
  <c r="M1003" i="3"/>
  <c r="N1003" i="3"/>
  <c r="O1003" i="3"/>
  <c r="P1003" i="3"/>
  <c r="Q1003" i="3"/>
  <c r="R1003" i="3"/>
  <c r="M1004" i="3"/>
  <c r="N1004" i="3"/>
  <c r="O1004" i="3"/>
  <c r="P1004" i="3"/>
  <c r="Q1004" i="3"/>
  <c r="R1004" i="3"/>
  <c r="M1005" i="3"/>
  <c r="N1005" i="3"/>
  <c r="O1005" i="3"/>
  <c r="P1005" i="3"/>
  <c r="Q1005" i="3"/>
  <c r="R1005" i="3"/>
  <c r="M1006" i="3"/>
  <c r="N1006" i="3"/>
  <c r="O1006" i="3"/>
  <c r="P1006" i="3"/>
  <c r="Q1006" i="3"/>
  <c r="R1006" i="3"/>
  <c r="M1007" i="3"/>
  <c r="N1007" i="3"/>
  <c r="O1007" i="3"/>
  <c r="P1007" i="3"/>
  <c r="Q1007" i="3"/>
  <c r="R1007" i="3"/>
  <c r="M1008" i="3"/>
  <c r="N1008" i="3"/>
  <c r="O1008" i="3"/>
  <c r="P1008" i="3"/>
  <c r="Q1008" i="3"/>
  <c r="R1008" i="3"/>
  <c r="M1009" i="3"/>
  <c r="N1009" i="3"/>
  <c r="O1009" i="3"/>
  <c r="P1009" i="3"/>
  <c r="Q1009" i="3"/>
  <c r="R1009" i="3"/>
  <c r="M1010" i="3"/>
  <c r="N1010" i="3"/>
  <c r="O1010" i="3"/>
  <c r="P1010" i="3"/>
  <c r="Q1010" i="3"/>
  <c r="R1010" i="3"/>
  <c r="M1011" i="3"/>
  <c r="N1011" i="3"/>
  <c r="O1011" i="3"/>
  <c r="P1011" i="3"/>
  <c r="Q1011" i="3"/>
  <c r="R1011" i="3"/>
  <c r="M1012" i="3"/>
  <c r="N1012" i="3"/>
  <c r="O1012" i="3"/>
  <c r="P1012" i="3"/>
  <c r="Q1012" i="3"/>
  <c r="R1012" i="3"/>
  <c r="M1013" i="3"/>
  <c r="N1013" i="3"/>
  <c r="O1013" i="3"/>
  <c r="P1013" i="3"/>
  <c r="Q1013" i="3"/>
  <c r="R1013" i="3"/>
  <c r="M1014" i="3"/>
  <c r="N1014" i="3"/>
  <c r="O1014" i="3"/>
  <c r="P1014" i="3"/>
  <c r="Q1014" i="3"/>
  <c r="R1014" i="3"/>
  <c r="M1015" i="3"/>
  <c r="N1015" i="3"/>
  <c r="O1015" i="3"/>
  <c r="P1015" i="3"/>
  <c r="Q1015" i="3"/>
  <c r="R1015" i="3"/>
  <c r="M1016" i="3"/>
  <c r="N1016" i="3"/>
  <c r="O1016" i="3"/>
  <c r="P1016" i="3"/>
  <c r="Q1016" i="3"/>
  <c r="R1016" i="3"/>
  <c r="M1017" i="3"/>
  <c r="N1017" i="3"/>
  <c r="O1017" i="3"/>
  <c r="P1017" i="3"/>
  <c r="Q1017" i="3"/>
  <c r="R1017" i="3"/>
  <c r="M1018" i="3"/>
  <c r="N1018" i="3"/>
  <c r="O1018" i="3"/>
  <c r="P1018" i="3"/>
  <c r="Q1018" i="3"/>
  <c r="R1018" i="3"/>
  <c r="M1019" i="3"/>
  <c r="N1019" i="3"/>
  <c r="O1019" i="3"/>
  <c r="P1019" i="3"/>
  <c r="Q1019" i="3"/>
  <c r="R1019" i="3"/>
  <c r="M1020" i="3"/>
  <c r="N1020" i="3"/>
  <c r="O1020" i="3"/>
  <c r="P1020" i="3"/>
  <c r="Q1020" i="3"/>
  <c r="R1020" i="3"/>
  <c r="M1021" i="3"/>
  <c r="N1021" i="3"/>
  <c r="O1021" i="3"/>
  <c r="P1021" i="3"/>
  <c r="Q1021" i="3"/>
  <c r="R1021" i="3"/>
  <c r="M1022" i="3"/>
  <c r="N1022" i="3"/>
  <c r="O1022" i="3"/>
  <c r="P1022" i="3"/>
  <c r="Q1022" i="3"/>
  <c r="R1022" i="3"/>
  <c r="M1023" i="3"/>
  <c r="N1023" i="3"/>
  <c r="O1023" i="3"/>
  <c r="P1023" i="3"/>
  <c r="Q1023" i="3"/>
  <c r="R1023" i="3"/>
  <c r="M1024" i="3"/>
  <c r="N1024" i="3"/>
  <c r="O1024" i="3"/>
  <c r="P1024" i="3"/>
  <c r="Q1024" i="3"/>
  <c r="R1024" i="3"/>
  <c r="M1025" i="3"/>
  <c r="N1025" i="3"/>
  <c r="O1025" i="3"/>
  <c r="P1025" i="3"/>
  <c r="Q1025" i="3"/>
  <c r="R1025" i="3"/>
  <c r="M1026" i="3"/>
  <c r="N1026" i="3"/>
  <c r="O1026" i="3"/>
  <c r="P1026" i="3"/>
  <c r="Q1026" i="3"/>
  <c r="R1026" i="3"/>
  <c r="M1027" i="3"/>
  <c r="N1027" i="3"/>
  <c r="O1027" i="3"/>
  <c r="P1027" i="3"/>
  <c r="Q1027" i="3"/>
  <c r="R1027" i="3"/>
  <c r="M1028" i="3"/>
  <c r="N1028" i="3"/>
  <c r="O1028" i="3"/>
  <c r="P1028" i="3"/>
  <c r="Q1028" i="3"/>
  <c r="R1028" i="3"/>
  <c r="M1029" i="3"/>
  <c r="N1029" i="3"/>
  <c r="O1029" i="3"/>
  <c r="P1029" i="3"/>
  <c r="Q1029" i="3"/>
  <c r="R1029" i="3"/>
  <c r="M1030" i="3"/>
  <c r="N1030" i="3"/>
  <c r="O1030" i="3"/>
  <c r="P1030" i="3"/>
  <c r="Q1030" i="3"/>
  <c r="R1030" i="3"/>
  <c r="M1031" i="3"/>
  <c r="N1031" i="3"/>
  <c r="O1031" i="3"/>
  <c r="P1031" i="3"/>
  <c r="Q1031" i="3"/>
  <c r="R1031" i="3"/>
  <c r="M1032" i="3"/>
  <c r="N1032" i="3"/>
  <c r="O1032" i="3"/>
  <c r="P1032" i="3"/>
  <c r="Q1032" i="3"/>
  <c r="R1032" i="3"/>
  <c r="M1033" i="3"/>
  <c r="N1033" i="3"/>
  <c r="O1033" i="3"/>
  <c r="P1033" i="3"/>
  <c r="Q1033" i="3"/>
  <c r="R1033" i="3"/>
  <c r="M1034" i="3"/>
  <c r="N1034" i="3"/>
  <c r="O1034" i="3"/>
  <c r="P1034" i="3"/>
  <c r="Q1034" i="3"/>
  <c r="R1034" i="3"/>
  <c r="M1035" i="3"/>
  <c r="N1035" i="3"/>
  <c r="O1035" i="3"/>
  <c r="P1035" i="3"/>
  <c r="Q1035" i="3"/>
  <c r="R1035" i="3"/>
  <c r="M1036" i="3"/>
  <c r="N1036" i="3"/>
  <c r="O1036" i="3"/>
  <c r="P1036" i="3"/>
  <c r="Q1036" i="3"/>
  <c r="R1036" i="3"/>
  <c r="M1037" i="3"/>
  <c r="N1037" i="3"/>
  <c r="O1037" i="3"/>
  <c r="P1037" i="3"/>
  <c r="Q1037" i="3"/>
  <c r="R1037" i="3"/>
  <c r="M1038" i="3"/>
  <c r="N1038" i="3"/>
  <c r="O1038" i="3"/>
  <c r="P1038" i="3"/>
  <c r="Q1038" i="3"/>
  <c r="R1038" i="3"/>
  <c r="M1039" i="3"/>
  <c r="N1039" i="3"/>
  <c r="O1039" i="3"/>
  <c r="P1039" i="3"/>
  <c r="Q1039" i="3"/>
  <c r="R1039" i="3"/>
  <c r="M1040" i="3"/>
  <c r="N1040" i="3"/>
  <c r="O1040" i="3"/>
  <c r="P1040" i="3"/>
  <c r="Q1040" i="3"/>
  <c r="R1040" i="3"/>
  <c r="M1041" i="3"/>
  <c r="N1041" i="3"/>
  <c r="O1041" i="3"/>
  <c r="P1041" i="3"/>
  <c r="Q1041" i="3"/>
  <c r="R1041" i="3"/>
  <c r="M1042" i="3"/>
  <c r="N1042" i="3"/>
  <c r="O1042" i="3"/>
  <c r="P1042" i="3"/>
  <c r="Q1042" i="3"/>
  <c r="R1042" i="3"/>
  <c r="M1043" i="3"/>
  <c r="N1043" i="3"/>
  <c r="O1043" i="3"/>
  <c r="P1043" i="3"/>
  <c r="Q1043" i="3"/>
  <c r="R1043" i="3"/>
  <c r="M1044" i="3"/>
  <c r="N1044" i="3"/>
  <c r="O1044" i="3"/>
  <c r="P1044" i="3"/>
  <c r="Q1044" i="3"/>
  <c r="R1044" i="3"/>
  <c r="M1045" i="3"/>
  <c r="N1045" i="3"/>
  <c r="O1045" i="3"/>
  <c r="P1045" i="3"/>
  <c r="Q1045" i="3"/>
  <c r="R1045" i="3"/>
  <c r="M1046" i="3"/>
  <c r="N1046" i="3"/>
  <c r="O1046" i="3"/>
  <c r="P1046" i="3"/>
  <c r="Q1046" i="3"/>
  <c r="R1046" i="3"/>
  <c r="M1047" i="3"/>
  <c r="N1047" i="3"/>
  <c r="O1047" i="3"/>
  <c r="P1047" i="3"/>
  <c r="Q1047" i="3"/>
  <c r="R1047" i="3"/>
  <c r="M1048" i="3"/>
  <c r="N1048" i="3"/>
  <c r="O1048" i="3"/>
  <c r="P1048" i="3"/>
  <c r="Q1048" i="3"/>
  <c r="R1048" i="3"/>
  <c r="M1049" i="3"/>
  <c r="N1049" i="3"/>
  <c r="O1049" i="3"/>
  <c r="P1049" i="3"/>
  <c r="Q1049" i="3"/>
  <c r="R1049" i="3"/>
  <c r="M1050" i="3"/>
  <c r="N1050" i="3"/>
  <c r="O1050" i="3"/>
  <c r="P1050" i="3"/>
  <c r="Q1050" i="3"/>
  <c r="R1050" i="3"/>
  <c r="M1051" i="3"/>
  <c r="N1051" i="3"/>
  <c r="O1051" i="3"/>
  <c r="P1051" i="3"/>
  <c r="Q1051" i="3"/>
  <c r="R1051" i="3"/>
  <c r="M1052" i="3"/>
  <c r="N1052" i="3"/>
  <c r="O1052" i="3"/>
  <c r="P1052" i="3"/>
  <c r="Q1052" i="3"/>
  <c r="R1052" i="3"/>
  <c r="M1053" i="3"/>
  <c r="N1053" i="3"/>
  <c r="O1053" i="3"/>
  <c r="P1053" i="3"/>
  <c r="Q1053" i="3"/>
  <c r="R1053" i="3"/>
  <c r="M1054" i="3"/>
  <c r="N1054" i="3"/>
  <c r="O1054" i="3"/>
  <c r="P1054" i="3"/>
  <c r="Q1054" i="3"/>
  <c r="R1054" i="3"/>
  <c r="M1055" i="3"/>
  <c r="N1055" i="3"/>
  <c r="O1055" i="3"/>
  <c r="P1055" i="3"/>
  <c r="Q1055" i="3"/>
  <c r="R1055" i="3"/>
  <c r="M1056" i="3"/>
  <c r="N1056" i="3"/>
  <c r="O1056" i="3"/>
  <c r="P1056" i="3"/>
  <c r="Q1056" i="3"/>
  <c r="R1056" i="3"/>
  <c r="M1057" i="3"/>
  <c r="N1057" i="3"/>
  <c r="O1057" i="3"/>
  <c r="P1057" i="3"/>
  <c r="Q1057" i="3"/>
  <c r="R1057" i="3"/>
  <c r="M1058" i="3"/>
  <c r="N1058" i="3"/>
  <c r="O1058" i="3"/>
  <c r="P1058" i="3"/>
  <c r="Q1058" i="3"/>
  <c r="R1058" i="3"/>
  <c r="M1059" i="3"/>
  <c r="N1059" i="3"/>
  <c r="O1059" i="3"/>
  <c r="P1059" i="3"/>
  <c r="Q1059" i="3"/>
  <c r="R1059" i="3"/>
  <c r="M1060" i="3"/>
  <c r="N1060" i="3"/>
  <c r="O1060" i="3"/>
  <c r="P1060" i="3"/>
  <c r="Q1060" i="3"/>
  <c r="R1060" i="3"/>
  <c r="M1061" i="3"/>
  <c r="N1061" i="3"/>
  <c r="O1061" i="3"/>
  <c r="P1061" i="3"/>
  <c r="Q1061" i="3"/>
  <c r="R1061" i="3"/>
  <c r="M1062" i="3"/>
  <c r="N1062" i="3"/>
  <c r="O1062" i="3"/>
  <c r="P1062" i="3"/>
  <c r="Q1062" i="3"/>
  <c r="R1062" i="3"/>
  <c r="M1063" i="3"/>
  <c r="N1063" i="3"/>
  <c r="O1063" i="3"/>
  <c r="P1063" i="3"/>
  <c r="Q1063" i="3"/>
  <c r="R1063" i="3"/>
  <c r="M1064" i="3"/>
  <c r="N1064" i="3"/>
  <c r="O1064" i="3"/>
  <c r="P1064" i="3"/>
  <c r="Q1064" i="3"/>
  <c r="R1064" i="3"/>
  <c r="M1065" i="3"/>
  <c r="N1065" i="3"/>
  <c r="O1065" i="3"/>
  <c r="P1065" i="3"/>
  <c r="Q1065" i="3"/>
  <c r="R1065" i="3"/>
  <c r="M1066" i="3"/>
  <c r="N1066" i="3"/>
  <c r="O1066" i="3"/>
  <c r="P1066" i="3"/>
  <c r="Q1066" i="3"/>
  <c r="R1066" i="3"/>
  <c r="M1067" i="3"/>
  <c r="N1067" i="3"/>
  <c r="O1067" i="3"/>
  <c r="P1067" i="3"/>
  <c r="Q1067" i="3"/>
  <c r="R1067" i="3"/>
  <c r="M1068" i="3"/>
  <c r="N1068" i="3"/>
  <c r="O1068" i="3"/>
  <c r="P1068" i="3"/>
  <c r="Q1068" i="3"/>
  <c r="R1068" i="3"/>
  <c r="M1069" i="3"/>
  <c r="N1069" i="3"/>
  <c r="O1069" i="3"/>
  <c r="P1069" i="3"/>
  <c r="Q1069" i="3"/>
  <c r="R1069" i="3"/>
  <c r="M1070" i="3"/>
  <c r="N1070" i="3"/>
  <c r="O1070" i="3"/>
  <c r="P1070" i="3"/>
  <c r="Q1070" i="3"/>
  <c r="R1070" i="3"/>
  <c r="M1071" i="3"/>
  <c r="N1071" i="3"/>
  <c r="O1071" i="3"/>
  <c r="P1071" i="3"/>
  <c r="Q1071" i="3"/>
  <c r="R1071" i="3"/>
  <c r="M1072" i="3"/>
  <c r="N1072" i="3"/>
  <c r="O1072" i="3"/>
  <c r="P1072" i="3"/>
  <c r="Q1072" i="3"/>
  <c r="R1072" i="3"/>
  <c r="M1073" i="3"/>
  <c r="N1073" i="3"/>
  <c r="O1073" i="3"/>
  <c r="P1073" i="3"/>
  <c r="Q1073" i="3"/>
  <c r="R1073" i="3"/>
  <c r="M1074" i="3"/>
  <c r="N1074" i="3"/>
  <c r="O1074" i="3"/>
  <c r="P1074" i="3"/>
  <c r="Q1074" i="3"/>
  <c r="R1074" i="3"/>
  <c r="M1075" i="3"/>
  <c r="N1075" i="3"/>
  <c r="O1075" i="3"/>
  <c r="P1075" i="3"/>
  <c r="Q1075" i="3"/>
  <c r="R1075" i="3"/>
  <c r="M1076" i="3"/>
  <c r="N1076" i="3"/>
  <c r="O1076" i="3"/>
  <c r="P1076" i="3"/>
  <c r="Q1076" i="3"/>
  <c r="R1076" i="3"/>
  <c r="M1077" i="3"/>
  <c r="N1077" i="3"/>
  <c r="O1077" i="3"/>
  <c r="P1077" i="3"/>
  <c r="Q1077" i="3"/>
  <c r="R1077" i="3"/>
  <c r="M1078" i="3"/>
  <c r="N1078" i="3"/>
  <c r="O1078" i="3"/>
  <c r="P1078" i="3"/>
  <c r="Q1078" i="3"/>
  <c r="R1078" i="3"/>
  <c r="M1079" i="3"/>
  <c r="N1079" i="3"/>
  <c r="O1079" i="3"/>
  <c r="P1079" i="3"/>
  <c r="Q1079" i="3"/>
  <c r="R1079" i="3"/>
  <c r="M1080" i="3"/>
  <c r="N1080" i="3"/>
  <c r="O1080" i="3"/>
  <c r="P1080" i="3"/>
  <c r="Q1080" i="3"/>
  <c r="R1080" i="3"/>
  <c r="M1081" i="3"/>
  <c r="N1081" i="3"/>
  <c r="O1081" i="3"/>
  <c r="P1081" i="3"/>
  <c r="Q1081" i="3"/>
  <c r="R1081" i="3"/>
  <c r="M1082" i="3"/>
  <c r="N1082" i="3"/>
  <c r="O1082" i="3"/>
  <c r="P1082" i="3"/>
  <c r="Q1082" i="3"/>
  <c r="R1082" i="3"/>
  <c r="M1083" i="3"/>
  <c r="N1083" i="3"/>
  <c r="O1083" i="3"/>
  <c r="P1083" i="3"/>
  <c r="Q1083" i="3"/>
  <c r="R1083" i="3"/>
  <c r="M1084" i="3"/>
  <c r="N1084" i="3"/>
  <c r="O1084" i="3"/>
  <c r="P1084" i="3"/>
  <c r="Q1084" i="3"/>
  <c r="R1084" i="3"/>
  <c r="M1085" i="3"/>
  <c r="N1085" i="3"/>
  <c r="O1085" i="3"/>
  <c r="P1085" i="3"/>
  <c r="Q1085" i="3"/>
  <c r="R1085" i="3"/>
  <c r="M1086" i="3"/>
  <c r="N1086" i="3"/>
  <c r="O1086" i="3"/>
  <c r="P1086" i="3"/>
  <c r="Q1086" i="3"/>
  <c r="R1086" i="3"/>
  <c r="M1087" i="3"/>
  <c r="N1087" i="3"/>
  <c r="O1087" i="3"/>
  <c r="P1087" i="3"/>
  <c r="Q1087" i="3"/>
  <c r="R1087" i="3"/>
  <c r="M1088" i="3"/>
  <c r="N1088" i="3"/>
  <c r="O1088" i="3"/>
  <c r="P1088" i="3"/>
  <c r="Q1088" i="3"/>
  <c r="R1088" i="3"/>
  <c r="M1089" i="3"/>
  <c r="N1089" i="3"/>
  <c r="O1089" i="3"/>
  <c r="P1089" i="3"/>
  <c r="Q1089" i="3"/>
  <c r="R1089" i="3"/>
  <c r="M1090" i="3"/>
  <c r="N1090" i="3"/>
  <c r="O1090" i="3"/>
  <c r="P1090" i="3"/>
  <c r="Q1090" i="3"/>
  <c r="R1090" i="3"/>
  <c r="M1091" i="3"/>
  <c r="N1091" i="3"/>
  <c r="O1091" i="3"/>
  <c r="P1091" i="3"/>
  <c r="Q1091" i="3"/>
  <c r="R1091" i="3"/>
  <c r="M1092" i="3"/>
  <c r="N1092" i="3"/>
  <c r="O1092" i="3"/>
  <c r="P1092" i="3"/>
  <c r="Q1092" i="3"/>
  <c r="R1092" i="3"/>
  <c r="M1093" i="3"/>
  <c r="N1093" i="3"/>
  <c r="O1093" i="3"/>
  <c r="P1093" i="3"/>
  <c r="Q1093" i="3"/>
  <c r="R1093" i="3"/>
  <c r="M1094" i="3"/>
  <c r="N1094" i="3"/>
  <c r="O1094" i="3"/>
  <c r="P1094" i="3"/>
  <c r="Q1094" i="3"/>
  <c r="R1094" i="3"/>
  <c r="M1095" i="3"/>
  <c r="N1095" i="3"/>
  <c r="O1095" i="3"/>
  <c r="P1095" i="3"/>
  <c r="Q1095" i="3"/>
  <c r="R1095" i="3"/>
  <c r="M1096" i="3"/>
  <c r="N1096" i="3"/>
  <c r="O1096" i="3"/>
  <c r="P1096" i="3"/>
  <c r="Q1096" i="3"/>
  <c r="R1096" i="3"/>
  <c r="M1097" i="3"/>
  <c r="N1097" i="3"/>
  <c r="O1097" i="3"/>
  <c r="P1097" i="3"/>
  <c r="Q1097" i="3"/>
  <c r="R1097" i="3"/>
  <c r="M1098" i="3"/>
  <c r="N1098" i="3"/>
  <c r="O1098" i="3"/>
  <c r="P1098" i="3"/>
  <c r="Q1098" i="3"/>
  <c r="R1098" i="3"/>
  <c r="M1099" i="3"/>
  <c r="N1099" i="3"/>
  <c r="O1099" i="3"/>
  <c r="P1099" i="3"/>
  <c r="Q1099" i="3"/>
  <c r="R1099" i="3"/>
  <c r="M1100" i="3"/>
  <c r="N1100" i="3"/>
  <c r="O1100" i="3"/>
  <c r="P1100" i="3"/>
  <c r="Q1100" i="3"/>
  <c r="R1100" i="3"/>
  <c r="M1101" i="3"/>
  <c r="N1101" i="3"/>
  <c r="O1101" i="3"/>
  <c r="P1101" i="3"/>
  <c r="Q1101" i="3"/>
  <c r="R1101" i="3"/>
  <c r="M1102" i="3"/>
  <c r="N1102" i="3"/>
  <c r="O1102" i="3"/>
  <c r="P1102" i="3"/>
  <c r="Q1102" i="3"/>
  <c r="R1102" i="3"/>
  <c r="M1103" i="3"/>
  <c r="N1103" i="3"/>
  <c r="O1103" i="3"/>
  <c r="P1103" i="3"/>
  <c r="Q1103" i="3"/>
  <c r="R1103" i="3"/>
  <c r="M1104" i="3"/>
  <c r="N1104" i="3"/>
  <c r="O1104" i="3"/>
  <c r="P1104" i="3"/>
  <c r="Q1104" i="3"/>
  <c r="R1104" i="3"/>
  <c r="M1105" i="3"/>
  <c r="N1105" i="3"/>
  <c r="O1105" i="3"/>
  <c r="P1105" i="3"/>
  <c r="Q1105" i="3"/>
  <c r="R1105" i="3"/>
  <c r="M1106" i="3"/>
  <c r="N1106" i="3"/>
  <c r="O1106" i="3"/>
  <c r="P1106" i="3"/>
  <c r="Q1106" i="3"/>
  <c r="R1106" i="3"/>
  <c r="M1107" i="3"/>
  <c r="N1107" i="3"/>
  <c r="O1107" i="3"/>
  <c r="P1107" i="3"/>
  <c r="Q1107" i="3"/>
  <c r="R1107" i="3"/>
  <c r="M1108" i="3"/>
  <c r="N1108" i="3"/>
  <c r="O1108" i="3"/>
  <c r="P1108" i="3"/>
  <c r="Q1108" i="3"/>
  <c r="R1108" i="3"/>
  <c r="M1109" i="3"/>
  <c r="N1109" i="3"/>
  <c r="O1109" i="3"/>
  <c r="P1109" i="3"/>
  <c r="Q1109" i="3"/>
  <c r="R1109" i="3"/>
  <c r="M1110" i="3"/>
  <c r="N1110" i="3"/>
  <c r="O1110" i="3"/>
  <c r="P1110" i="3"/>
  <c r="Q1110" i="3"/>
  <c r="R1110" i="3"/>
  <c r="M1111" i="3"/>
  <c r="N1111" i="3"/>
  <c r="O1111" i="3"/>
  <c r="P1111" i="3"/>
  <c r="Q1111" i="3"/>
  <c r="R1111" i="3"/>
  <c r="M1112" i="3"/>
  <c r="N1112" i="3"/>
  <c r="O1112" i="3"/>
  <c r="P1112" i="3"/>
  <c r="Q1112" i="3"/>
  <c r="R1112" i="3"/>
  <c r="M1113" i="3"/>
  <c r="N1113" i="3"/>
  <c r="O1113" i="3"/>
  <c r="P1113" i="3"/>
  <c r="Q1113" i="3"/>
  <c r="R1113" i="3"/>
  <c r="M1114" i="3"/>
  <c r="N1114" i="3"/>
  <c r="O1114" i="3"/>
  <c r="P1114" i="3"/>
  <c r="Q1114" i="3"/>
  <c r="R1114" i="3"/>
  <c r="M1115" i="3"/>
  <c r="N1115" i="3"/>
  <c r="O1115" i="3"/>
  <c r="P1115" i="3"/>
  <c r="Q1115" i="3"/>
  <c r="R1115" i="3"/>
  <c r="M1116" i="3"/>
  <c r="N1116" i="3"/>
  <c r="O1116" i="3"/>
  <c r="P1116" i="3"/>
  <c r="Q1116" i="3"/>
  <c r="R1116" i="3"/>
  <c r="M1117" i="3"/>
  <c r="N1117" i="3"/>
  <c r="O1117" i="3"/>
  <c r="P1117" i="3"/>
  <c r="Q1117" i="3"/>
  <c r="R1117" i="3"/>
  <c r="M1118" i="3"/>
  <c r="N1118" i="3"/>
  <c r="O1118" i="3"/>
  <c r="P1118" i="3"/>
  <c r="Q1118" i="3"/>
  <c r="R1118" i="3"/>
  <c r="M1119" i="3"/>
  <c r="N1119" i="3"/>
  <c r="O1119" i="3"/>
  <c r="P1119" i="3"/>
  <c r="Q1119" i="3"/>
  <c r="R1119" i="3"/>
  <c r="M1120" i="3"/>
  <c r="N1120" i="3"/>
  <c r="O1120" i="3"/>
  <c r="P1120" i="3"/>
  <c r="Q1120" i="3"/>
  <c r="R1120" i="3"/>
  <c r="M1121" i="3"/>
  <c r="N1121" i="3"/>
  <c r="O1121" i="3"/>
  <c r="P1121" i="3"/>
  <c r="Q1121" i="3"/>
  <c r="R1121" i="3"/>
  <c r="M1122" i="3"/>
  <c r="N1122" i="3"/>
  <c r="O1122" i="3"/>
  <c r="P1122" i="3"/>
  <c r="Q1122" i="3"/>
  <c r="R1122" i="3"/>
  <c r="M1123" i="3"/>
  <c r="N1123" i="3"/>
  <c r="O1123" i="3"/>
  <c r="P1123" i="3"/>
  <c r="Q1123" i="3"/>
  <c r="R1123" i="3"/>
  <c r="M1124" i="3"/>
  <c r="N1124" i="3"/>
  <c r="O1124" i="3"/>
  <c r="P1124" i="3"/>
  <c r="Q1124" i="3"/>
  <c r="R1124" i="3"/>
  <c r="M1125" i="3"/>
  <c r="N1125" i="3"/>
  <c r="O1125" i="3"/>
  <c r="P1125" i="3"/>
  <c r="Q1125" i="3"/>
  <c r="R1125" i="3"/>
  <c r="M1126" i="3"/>
  <c r="N1126" i="3"/>
  <c r="O1126" i="3"/>
  <c r="P1126" i="3"/>
  <c r="Q1126" i="3"/>
  <c r="R1126" i="3"/>
  <c r="M1127" i="3"/>
  <c r="N1127" i="3"/>
  <c r="O1127" i="3"/>
  <c r="P1127" i="3"/>
  <c r="Q1127" i="3"/>
  <c r="R1127" i="3"/>
  <c r="M1128" i="3"/>
  <c r="N1128" i="3"/>
  <c r="O1128" i="3"/>
  <c r="P1128" i="3"/>
  <c r="Q1128" i="3"/>
  <c r="R1128" i="3"/>
  <c r="M1129" i="3"/>
  <c r="N1129" i="3"/>
  <c r="O1129" i="3"/>
  <c r="P1129" i="3"/>
  <c r="Q1129" i="3"/>
  <c r="R1129" i="3"/>
  <c r="M1130" i="3"/>
  <c r="N1130" i="3"/>
  <c r="O1130" i="3"/>
  <c r="P1130" i="3"/>
  <c r="Q1130" i="3"/>
  <c r="R1130" i="3"/>
  <c r="M1131" i="3"/>
  <c r="N1131" i="3"/>
  <c r="O1131" i="3"/>
  <c r="P1131" i="3"/>
  <c r="Q1131" i="3"/>
  <c r="R1131" i="3"/>
  <c r="M1132" i="3"/>
  <c r="N1132" i="3"/>
  <c r="O1132" i="3"/>
  <c r="P1132" i="3"/>
  <c r="Q1132" i="3"/>
  <c r="R1132" i="3"/>
  <c r="M1133" i="3"/>
  <c r="N1133" i="3"/>
  <c r="O1133" i="3"/>
  <c r="P1133" i="3"/>
  <c r="Q1133" i="3"/>
  <c r="R1133" i="3"/>
  <c r="M1134" i="3"/>
  <c r="N1134" i="3"/>
  <c r="O1134" i="3"/>
  <c r="P1134" i="3"/>
  <c r="Q1134" i="3"/>
  <c r="R1134" i="3"/>
  <c r="M1135" i="3"/>
  <c r="N1135" i="3"/>
  <c r="O1135" i="3"/>
  <c r="P1135" i="3"/>
  <c r="Q1135" i="3"/>
  <c r="R1135" i="3"/>
  <c r="M1136" i="3"/>
  <c r="N1136" i="3"/>
  <c r="O1136" i="3"/>
  <c r="P1136" i="3"/>
  <c r="Q1136" i="3"/>
  <c r="R1136" i="3"/>
  <c r="M1137" i="3"/>
  <c r="N1137" i="3"/>
  <c r="O1137" i="3"/>
  <c r="P1137" i="3"/>
  <c r="Q1137" i="3"/>
  <c r="R1137" i="3"/>
  <c r="M1138" i="3"/>
  <c r="N1138" i="3"/>
  <c r="O1138" i="3"/>
  <c r="P1138" i="3"/>
  <c r="Q1138" i="3"/>
  <c r="R1138" i="3"/>
  <c r="M1139" i="3"/>
  <c r="N1139" i="3"/>
  <c r="O1139" i="3"/>
  <c r="P1139" i="3"/>
  <c r="Q1139" i="3"/>
  <c r="R1139" i="3"/>
  <c r="M1140" i="3"/>
  <c r="N1140" i="3"/>
  <c r="O1140" i="3"/>
  <c r="P1140" i="3"/>
  <c r="Q1140" i="3"/>
  <c r="R1140" i="3"/>
  <c r="M1141" i="3"/>
  <c r="N1141" i="3"/>
  <c r="O1141" i="3"/>
  <c r="P1141" i="3"/>
  <c r="Q1141" i="3"/>
  <c r="R1141" i="3"/>
  <c r="M1142" i="3"/>
  <c r="N1142" i="3"/>
  <c r="O1142" i="3"/>
  <c r="P1142" i="3"/>
  <c r="Q1142" i="3"/>
  <c r="R1142" i="3"/>
  <c r="M1143" i="3"/>
  <c r="N1143" i="3"/>
  <c r="O1143" i="3"/>
  <c r="P1143" i="3"/>
  <c r="Q1143" i="3"/>
  <c r="R1143" i="3"/>
  <c r="M1144" i="3"/>
  <c r="N1144" i="3"/>
  <c r="O1144" i="3"/>
  <c r="P1144" i="3"/>
  <c r="Q1144" i="3"/>
  <c r="R1144" i="3"/>
  <c r="M1145" i="3"/>
  <c r="N1145" i="3"/>
  <c r="O1145" i="3"/>
  <c r="P1145" i="3"/>
  <c r="Q1145" i="3"/>
  <c r="R1145" i="3"/>
  <c r="M1146" i="3"/>
  <c r="N1146" i="3"/>
  <c r="O1146" i="3"/>
  <c r="P1146" i="3"/>
  <c r="Q1146" i="3"/>
  <c r="R1146" i="3"/>
  <c r="M1147" i="3"/>
  <c r="N1147" i="3"/>
  <c r="O1147" i="3"/>
  <c r="P1147" i="3"/>
  <c r="Q1147" i="3"/>
  <c r="R1147" i="3"/>
  <c r="M1148" i="3"/>
  <c r="N1148" i="3"/>
  <c r="O1148" i="3"/>
  <c r="P1148" i="3"/>
  <c r="Q1148" i="3"/>
  <c r="R1148" i="3"/>
  <c r="M1149" i="3"/>
  <c r="N1149" i="3"/>
  <c r="O1149" i="3"/>
  <c r="P1149" i="3"/>
  <c r="Q1149" i="3"/>
  <c r="R1149" i="3"/>
  <c r="M1150" i="3"/>
  <c r="N1150" i="3"/>
  <c r="O1150" i="3"/>
  <c r="P1150" i="3"/>
  <c r="Q1150" i="3"/>
  <c r="R1150" i="3"/>
  <c r="M1151" i="3"/>
  <c r="N1151" i="3"/>
  <c r="O1151" i="3"/>
  <c r="P1151" i="3"/>
  <c r="Q1151" i="3"/>
  <c r="R1151" i="3"/>
  <c r="M1152" i="3"/>
  <c r="N1152" i="3"/>
  <c r="O1152" i="3"/>
  <c r="P1152" i="3"/>
  <c r="Q1152" i="3"/>
  <c r="R1152" i="3"/>
  <c r="M1153" i="3"/>
  <c r="N1153" i="3"/>
  <c r="O1153" i="3"/>
  <c r="P1153" i="3"/>
  <c r="Q1153" i="3"/>
  <c r="R1153" i="3"/>
  <c r="M1154" i="3"/>
  <c r="N1154" i="3"/>
  <c r="O1154" i="3"/>
  <c r="P1154" i="3"/>
  <c r="Q1154" i="3"/>
  <c r="R1154" i="3"/>
  <c r="M1155" i="3"/>
  <c r="N1155" i="3"/>
  <c r="O1155" i="3"/>
  <c r="P1155" i="3"/>
  <c r="Q1155" i="3"/>
  <c r="R1155" i="3"/>
  <c r="M1156" i="3"/>
  <c r="N1156" i="3"/>
  <c r="O1156" i="3"/>
  <c r="P1156" i="3"/>
  <c r="Q1156" i="3"/>
  <c r="R1156" i="3"/>
  <c r="M1157" i="3"/>
  <c r="N1157" i="3"/>
  <c r="O1157" i="3"/>
  <c r="P1157" i="3"/>
  <c r="Q1157" i="3"/>
  <c r="R1157" i="3"/>
  <c r="M1158" i="3"/>
  <c r="N1158" i="3"/>
  <c r="O1158" i="3"/>
  <c r="P1158" i="3"/>
  <c r="Q1158" i="3"/>
  <c r="R1158" i="3"/>
  <c r="M1159" i="3"/>
  <c r="N1159" i="3"/>
  <c r="O1159" i="3"/>
  <c r="P1159" i="3"/>
  <c r="Q1159" i="3"/>
  <c r="R1159" i="3"/>
  <c r="M1160" i="3"/>
  <c r="N1160" i="3"/>
  <c r="O1160" i="3"/>
  <c r="P1160" i="3"/>
  <c r="Q1160" i="3"/>
  <c r="R1160" i="3"/>
  <c r="M1161" i="3"/>
  <c r="N1161" i="3"/>
  <c r="O1161" i="3"/>
  <c r="P1161" i="3"/>
  <c r="Q1161" i="3"/>
  <c r="R1161" i="3"/>
  <c r="M1162" i="3"/>
  <c r="N1162" i="3"/>
  <c r="O1162" i="3"/>
  <c r="P1162" i="3"/>
  <c r="Q1162" i="3"/>
  <c r="R1162" i="3"/>
  <c r="M1163" i="3"/>
  <c r="N1163" i="3"/>
  <c r="O1163" i="3"/>
  <c r="P1163" i="3"/>
  <c r="Q1163" i="3"/>
  <c r="R1163" i="3"/>
  <c r="M1164" i="3"/>
  <c r="N1164" i="3"/>
  <c r="O1164" i="3"/>
  <c r="P1164" i="3"/>
  <c r="Q1164" i="3"/>
  <c r="R1164" i="3"/>
  <c r="M1165" i="3"/>
  <c r="N1165" i="3"/>
  <c r="O1165" i="3"/>
  <c r="P1165" i="3"/>
  <c r="Q1165" i="3"/>
  <c r="R1165" i="3"/>
  <c r="M1166" i="3"/>
  <c r="N1166" i="3"/>
  <c r="O1166" i="3"/>
  <c r="P1166" i="3"/>
  <c r="Q1166" i="3"/>
  <c r="R1166" i="3"/>
  <c r="M1167" i="3"/>
  <c r="N1167" i="3"/>
  <c r="O1167" i="3"/>
  <c r="P1167" i="3"/>
  <c r="Q1167" i="3"/>
  <c r="R1167" i="3"/>
  <c r="M1168" i="3"/>
  <c r="N1168" i="3"/>
  <c r="O1168" i="3"/>
  <c r="P1168" i="3"/>
  <c r="Q1168" i="3"/>
  <c r="R1168" i="3"/>
  <c r="M1169" i="3"/>
  <c r="N1169" i="3"/>
  <c r="O1169" i="3"/>
  <c r="P1169" i="3"/>
  <c r="Q1169" i="3"/>
  <c r="R1169" i="3"/>
  <c r="M1170" i="3"/>
  <c r="N1170" i="3"/>
  <c r="O1170" i="3"/>
  <c r="P1170" i="3"/>
  <c r="Q1170" i="3"/>
  <c r="R1170" i="3"/>
  <c r="M1171" i="3"/>
  <c r="N1171" i="3"/>
  <c r="O1171" i="3"/>
  <c r="P1171" i="3"/>
  <c r="Q1171" i="3"/>
  <c r="R1171" i="3"/>
  <c r="M1172" i="3"/>
  <c r="N1172" i="3"/>
  <c r="O1172" i="3"/>
  <c r="P1172" i="3"/>
  <c r="Q1172" i="3"/>
  <c r="R1172" i="3"/>
  <c r="M1173" i="3"/>
  <c r="N1173" i="3"/>
  <c r="O1173" i="3"/>
  <c r="P1173" i="3"/>
  <c r="Q1173" i="3"/>
  <c r="R1173" i="3"/>
  <c r="M1174" i="3"/>
  <c r="N1174" i="3"/>
  <c r="O1174" i="3"/>
  <c r="P1174" i="3"/>
  <c r="Q1174" i="3"/>
  <c r="R1174" i="3"/>
  <c r="M1175" i="3"/>
  <c r="N1175" i="3"/>
  <c r="O1175" i="3"/>
  <c r="P1175" i="3"/>
  <c r="Q1175" i="3"/>
  <c r="R1175" i="3"/>
  <c r="M1176" i="3"/>
  <c r="N1176" i="3"/>
  <c r="O1176" i="3"/>
  <c r="P1176" i="3"/>
  <c r="Q1176" i="3"/>
  <c r="R1176" i="3"/>
  <c r="M1177" i="3"/>
  <c r="N1177" i="3"/>
  <c r="O1177" i="3"/>
  <c r="P1177" i="3"/>
  <c r="Q1177" i="3"/>
  <c r="R1177" i="3"/>
  <c r="M1178" i="3"/>
  <c r="N1178" i="3"/>
  <c r="O1178" i="3"/>
  <c r="P1178" i="3"/>
  <c r="Q1178" i="3"/>
  <c r="R1178" i="3"/>
  <c r="M1179" i="3"/>
  <c r="N1179" i="3"/>
  <c r="O1179" i="3"/>
  <c r="P1179" i="3"/>
  <c r="Q1179" i="3"/>
  <c r="R1179" i="3"/>
  <c r="M1180" i="3"/>
  <c r="N1180" i="3"/>
  <c r="O1180" i="3"/>
  <c r="P1180" i="3"/>
  <c r="Q1180" i="3"/>
  <c r="R1180" i="3"/>
  <c r="M1181" i="3"/>
  <c r="N1181" i="3"/>
  <c r="O1181" i="3"/>
  <c r="P1181" i="3"/>
  <c r="Q1181" i="3"/>
  <c r="R1181" i="3"/>
  <c r="M1182" i="3"/>
  <c r="N1182" i="3"/>
  <c r="O1182" i="3"/>
  <c r="P1182" i="3"/>
  <c r="Q1182" i="3"/>
  <c r="R1182" i="3"/>
  <c r="M1183" i="3"/>
  <c r="N1183" i="3"/>
  <c r="O1183" i="3"/>
  <c r="P1183" i="3"/>
  <c r="Q1183" i="3"/>
  <c r="R1183" i="3"/>
  <c r="M1184" i="3"/>
  <c r="N1184" i="3"/>
  <c r="O1184" i="3"/>
  <c r="P1184" i="3"/>
  <c r="Q1184" i="3"/>
  <c r="R1184" i="3"/>
  <c r="M1185" i="3"/>
  <c r="N1185" i="3"/>
  <c r="O1185" i="3"/>
  <c r="P1185" i="3"/>
  <c r="Q1185" i="3"/>
  <c r="R1185" i="3"/>
  <c r="M1186" i="3"/>
  <c r="N1186" i="3"/>
  <c r="O1186" i="3"/>
  <c r="P1186" i="3"/>
  <c r="Q1186" i="3"/>
  <c r="R1186" i="3"/>
  <c r="M1187" i="3"/>
  <c r="N1187" i="3"/>
  <c r="O1187" i="3"/>
  <c r="P1187" i="3"/>
  <c r="Q1187" i="3"/>
  <c r="R1187" i="3"/>
  <c r="M1188" i="3"/>
  <c r="N1188" i="3"/>
  <c r="O1188" i="3"/>
  <c r="P1188" i="3"/>
  <c r="Q1188" i="3"/>
  <c r="R1188" i="3"/>
  <c r="M1189" i="3"/>
  <c r="N1189" i="3"/>
  <c r="O1189" i="3"/>
  <c r="P1189" i="3"/>
  <c r="Q1189" i="3"/>
  <c r="R1189" i="3"/>
  <c r="M1190" i="3"/>
  <c r="N1190" i="3"/>
  <c r="O1190" i="3"/>
  <c r="P1190" i="3"/>
  <c r="Q1190" i="3"/>
  <c r="R1190" i="3"/>
  <c r="M1191" i="3"/>
  <c r="N1191" i="3"/>
  <c r="O1191" i="3"/>
  <c r="P1191" i="3"/>
  <c r="Q1191" i="3"/>
  <c r="R1191" i="3"/>
  <c r="M1192" i="3"/>
  <c r="N1192" i="3"/>
  <c r="O1192" i="3"/>
  <c r="P1192" i="3"/>
  <c r="Q1192" i="3"/>
  <c r="R1192" i="3"/>
  <c r="M1193" i="3"/>
  <c r="N1193" i="3"/>
  <c r="O1193" i="3"/>
  <c r="P1193" i="3"/>
  <c r="Q1193" i="3"/>
  <c r="R1193" i="3"/>
  <c r="M1194" i="3"/>
  <c r="N1194" i="3"/>
  <c r="O1194" i="3"/>
  <c r="P1194" i="3"/>
  <c r="Q1194" i="3"/>
  <c r="R1194" i="3"/>
  <c r="M1195" i="3"/>
  <c r="N1195" i="3"/>
  <c r="O1195" i="3"/>
  <c r="P1195" i="3"/>
  <c r="Q1195" i="3"/>
  <c r="R1195" i="3"/>
  <c r="M1196" i="3"/>
  <c r="N1196" i="3"/>
  <c r="O1196" i="3"/>
  <c r="P1196" i="3"/>
  <c r="Q1196" i="3"/>
  <c r="R1196" i="3"/>
  <c r="M1197" i="3"/>
  <c r="N1197" i="3"/>
  <c r="O1197" i="3"/>
  <c r="P1197" i="3"/>
  <c r="Q1197" i="3"/>
  <c r="R1197" i="3"/>
  <c r="M1198" i="3"/>
  <c r="N1198" i="3"/>
  <c r="O1198" i="3"/>
  <c r="P1198" i="3"/>
  <c r="Q1198" i="3"/>
  <c r="R1198" i="3"/>
  <c r="M1199" i="3"/>
  <c r="N1199" i="3"/>
  <c r="O1199" i="3"/>
  <c r="P1199" i="3"/>
  <c r="Q1199" i="3"/>
  <c r="R1199" i="3"/>
  <c r="M1200" i="3"/>
  <c r="N1200" i="3"/>
  <c r="O1200" i="3"/>
  <c r="P1200" i="3"/>
  <c r="Q1200" i="3"/>
  <c r="R1200" i="3"/>
  <c r="M1201" i="3"/>
  <c r="N1201" i="3"/>
  <c r="O1201" i="3"/>
  <c r="P1201" i="3"/>
  <c r="Q1201" i="3"/>
  <c r="R1201" i="3"/>
  <c r="M1202" i="3"/>
  <c r="N1202" i="3"/>
  <c r="O1202" i="3"/>
  <c r="P1202" i="3"/>
  <c r="Q1202" i="3"/>
  <c r="R1202" i="3"/>
  <c r="M1203" i="3"/>
  <c r="N1203" i="3"/>
  <c r="O1203" i="3"/>
  <c r="P1203" i="3"/>
  <c r="Q1203" i="3"/>
  <c r="R1203" i="3"/>
  <c r="M1204" i="3"/>
  <c r="N1204" i="3"/>
  <c r="O1204" i="3"/>
  <c r="P1204" i="3"/>
  <c r="Q1204" i="3"/>
  <c r="R1204" i="3"/>
  <c r="M1205" i="3"/>
  <c r="N1205" i="3"/>
  <c r="O1205" i="3"/>
  <c r="P1205" i="3"/>
  <c r="Q1205" i="3"/>
  <c r="R1205" i="3"/>
  <c r="M1206" i="3"/>
  <c r="N1206" i="3"/>
  <c r="O1206" i="3"/>
  <c r="P1206" i="3"/>
  <c r="Q1206" i="3"/>
  <c r="R1206" i="3"/>
  <c r="M1207" i="3"/>
  <c r="N1207" i="3"/>
  <c r="O1207" i="3"/>
  <c r="P1207" i="3"/>
  <c r="Q1207" i="3"/>
  <c r="R1207" i="3"/>
  <c r="M1208" i="3"/>
  <c r="N1208" i="3"/>
  <c r="O1208" i="3"/>
  <c r="P1208" i="3"/>
  <c r="Q1208" i="3"/>
  <c r="R1208" i="3"/>
  <c r="M1209" i="3"/>
  <c r="N1209" i="3"/>
  <c r="O1209" i="3"/>
  <c r="P1209" i="3"/>
  <c r="Q1209" i="3"/>
  <c r="R1209" i="3"/>
  <c r="M1210" i="3"/>
  <c r="N1210" i="3"/>
  <c r="O1210" i="3"/>
  <c r="P1210" i="3"/>
  <c r="Q1210" i="3"/>
  <c r="R1210" i="3"/>
  <c r="M1211" i="3"/>
  <c r="N1211" i="3"/>
  <c r="O1211" i="3"/>
  <c r="P1211" i="3"/>
  <c r="Q1211" i="3"/>
  <c r="R1211" i="3"/>
  <c r="M1212" i="3"/>
  <c r="N1212" i="3"/>
  <c r="O1212" i="3"/>
  <c r="P1212" i="3"/>
  <c r="Q1212" i="3"/>
  <c r="R1212" i="3"/>
  <c r="M1213" i="3"/>
  <c r="N1213" i="3"/>
  <c r="O1213" i="3"/>
  <c r="P1213" i="3"/>
  <c r="Q1213" i="3"/>
  <c r="R1213" i="3"/>
  <c r="M1214" i="3"/>
  <c r="N1214" i="3"/>
  <c r="O1214" i="3"/>
  <c r="P1214" i="3"/>
  <c r="Q1214" i="3"/>
  <c r="R1214" i="3"/>
  <c r="M1215" i="3"/>
  <c r="N1215" i="3"/>
  <c r="O1215" i="3"/>
  <c r="P1215" i="3"/>
  <c r="Q1215" i="3"/>
  <c r="R1215" i="3"/>
  <c r="M1216" i="3"/>
  <c r="N1216" i="3"/>
  <c r="O1216" i="3"/>
  <c r="P1216" i="3"/>
  <c r="Q1216" i="3"/>
  <c r="R1216" i="3"/>
  <c r="M1217" i="3"/>
  <c r="N1217" i="3"/>
  <c r="O1217" i="3"/>
  <c r="P1217" i="3"/>
  <c r="Q1217" i="3"/>
  <c r="R1217" i="3"/>
  <c r="M1218" i="3"/>
  <c r="N1218" i="3"/>
  <c r="O1218" i="3"/>
  <c r="P1218" i="3"/>
  <c r="Q1218" i="3"/>
  <c r="R1218" i="3"/>
  <c r="M1219" i="3"/>
  <c r="N1219" i="3"/>
  <c r="O1219" i="3"/>
  <c r="P1219" i="3"/>
  <c r="Q1219" i="3"/>
  <c r="R1219" i="3"/>
  <c r="M1220" i="3"/>
  <c r="N1220" i="3"/>
  <c r="O1220" i="3"/>
  <c r="P1220" i="3"/>
  <c r="Q1220" i="3"/>
  <c r="R1220" i="3"/>
  <c r="M1221" i="3"/>
  <c r="N1221" i="3"/>
  <c r="O1221" i="3"/>
  <c r="P1221" i="3"/>
  <c r="Q1221" i="3"/>
  <c r="R1221" i="3"/>
  <c r="M1222" i="3"/>
  <c r="N1222" i="3"/>
  <c r="O1222" i="3"/>
  <c r="P1222" i="3"/>
  <c r="Q1222" i="3"/>
  <c r="R1222" i="3"/>
  <c r="M1223" i="3"/>
  <c r="N1223" i="3"/>
  <c r="O1223" i="3"/>
  <c r="P1223" i="3"/>
  <c r="Q1223" i="3"/>
  <c r="R1223" i="3"/>
  <c r="M1224" i="3"/>
  <c r="N1224" i="3"/>
  <c r="O1224" i="3"/>
  <c r="P1224" i="3"/>
  <c r="Q1224" i="3"/>
  <c r="R1224" i="3"/>
  <c r="M1225" i="3"/>
  <c r="N1225" i="3"/>
  <c r="O1225" i="3"/>
  <c r="P1225" i="3"/>
  <c r="Q1225" i="3"/>
  <c r="R1225" i="3"/>
  <c r="M1226" i="3"/>
  <c r="N1226" i="3"/>
  <c r="O1226" i="3"/>
  <c r="P1226" i="3"/>
  <c r="Q1226" i="3"/>
  <c r="R1226" i="3"/>
  <c r="M1227" i="3"/>
  <c r="N1227" i="3"/>
  <c r="O1227" i="3"/>
  <c r="P1227" i="3"/>
  <c r="Q1227" i="3"/>
  <c r="R1227" i="3"/>
  <c r="M1228" i="3"/>
  <c r="N1228" i="3"/>
  <c r="O1228" i="3"/>
  <c r="P1228" i="3"/>
  <c r="Q1228" i="3"/>
  <c r="R1228" i="3"/>
  <c r="M1229" i="3"/>
  <c r="N1229" i="3"/>
  <c r="O1229" i="3"/>
  <c r="P1229" i="3"/>
  <c r="Q1229" i="3"/>
  <c r="R1229" i="3"/>
  <c r="M1230" i="3"/>
  <c r="N1230" i="3"/>
  <c r="O1230" i="3"/>
  <c r="P1230" i="3"/>
  <c r="Q1230" i="3"/>
  <c r="R1230" i="3"/>
  <c r="M1231" i="3"/>
  <c r="N1231" i="3"/>
  <c r="O1231" i="3"/>
  <c r="P1231" i="3"/>
  <c r="Q1231" i="3"/>
  <c r="R1231" i="3"/>
  <c r="M1232" i="3"/>
  <c r="N1232" i="3"/>
  <c r="O1232" i="3"/>
  <c r="P1232" i="3"/>
  <c r="Q1232" i="3"/>
  <c r="R1232" i="3"/>
  <c r="M1233" i="3"/>
  <c r="N1233" i="3"/>
  <c r="O1233" i="3"/>
  <c r="P1233" i="3"/>
  <c r="Q1233" i="3"/>
  <c r="R1233" i="3"/>
  <c r="M1234" i="3"/>
  <c r="N1234" i="3"/>
  <c r="O1234" i="3"/>
  <c r="P1234" i="3"/>
  <c r="Q1234" i="3"/>
  <c r="R1234" i="3"/>
  <c r="M1235" i="3"/>
  <c r="N1235" i="3"/>
  <c r="O1235" i="3"/>
  <c r="P1235" i="3"/>
  <c r="Q1235" i="3"/>
  <c r="R1235" i="3"/>
  <c r="M1236" i="3"/>
  <c r="N1236" i="3"/>
  <c r="O1236" i="3"/>
  <c r="P1236" i="3"/>
  <c r="Q1236" i="3"/>
  <c r="R1236" i="3"/>
  <c r="M1237" i="3"/>
  <c r="N1237" i="3"/>
  <c r="O1237" i="3"/>
  <c r="P1237" i="3"/>
  <c r="Q1237" i="3"/>
  <c r="R1237" i="3"/>
  <c r="M1238" i="3"/>
  <c r="N1238" i="3"/>
  <c r="O1238" i="3"/>
  <c r="P1238" i="3"/>
  <c r="Q1238" i="3"/>
  <c r="R1238" i="3"/>
  <c r="M1239" i="3"/>
  <c r="N1239" i="3"/>
  <c r="O1239" i="3"/>
  <c r="P1239" i="3"/>
  <c r="Q1239" i="3"/>
  <c r="R1239" i="3"/>
  <c r="M1240" i="3"/>
  <c r="N1240" i="3"/>
  <c r="O1240" i="3"/>
  <c r="P1240" i="3"/>
  <c r="Q1240" i="3"/>
  <c r="R1240" i="3"/>
  <c r="M1241" i="3"/>
  <c r="N1241" i="3"/>
  <c r="O1241" i="3"/>
  <c r="P1241" i="3"/>
  <c r="Q1241" i="3"/>
  <c r="R1241" i="3"/>
  <c r="M1242" i="3"/>
  <c r="N1242" i="3"/>
  <c r="O1242" i="3"/>
  <c r="P1242" i="3"/>
  <c r="Q1242" i="3"/>
  <c r="R1242" i="3"/>
  <c r="M1243" i="3"/>
  <c r="N1243" i="3"/>
  <c r="O1243" i="3"/>
  <c r="P1243" i="3"/>
  <c r="Q1243" i="3"/>
  <c r="R1243" i="3"/>
  <c r="M1244" i="3"/>
  <c r="N1244" i="3"/>
  <c r="O1244" i="3"/>
  <c r="P1244" i="3"/>
  <c r="Q1244" i="3"/>
  <c r="R1244" i="3"/>
  <c r="M1245" i="3"/>
  <c r="N1245" i="3"/>
  <c r="O1245" i="3"/>
  <c r="P1245" i="3"/>
  <c r="Q1245" i="3"/>
  <c r="R1245" i="3"/>
  <c r="M1246" i="3"/>
  <c r="N1246" i="3"/>
  <c r="O1246" i="3"/>
  <c r="P1246" i="3"/>
  <c r="Q1246" i="3"/>
  <c r="R1246" i="3"/>
  <c r="M1247" i="3"/>
  <c r="N1247" i="3"/>
  <c r="O1247" i="3"/>
  <c r="P1247" i="3"/>
  <c r="Q1247" i="3"/>
  <c r="R1247" i="3"/>
  <c r="M1248" i="3"/>
  <c r="N1248" i="3"/>
  <c r="O1248" i="3"/>
  <c r="P1248" i="3"/>
  <c r="Q1248" i="3"/>
  <c r="R1248" i="3"/>
  <c r="M1249" i="3"/>
  <c r="N1249" i="3"/>
  <c r="O1249" i="3"/>
  <c r="P1249" i="3"/>
  <c r="Q1249" i="3"/>
  <c r="R1249" i="3"/>
  <c r="M1250" i="3"/>
  <c r="N1250" i="3"/>
  <c r="O1250" i="3"/>
  <c r="P1250" i="3"/>
  <c r="Q1250" i="3"/>
  <c r="R1250" i="3"/>
  <c r="M1251" i="3"/>
  <c r="N1251" i="3"/>
  <c r="O1251" i="3"/>
  <c r="P1251" i="3"/>
  <c r="Q1251" i="3"/>
  <c r="R1251" i="3"/>
  <c r="M1252" i="3"/>
  <c r="N1252" i="3"/>
  <c r="O1252" i="3"/>
  <c r="P1252" i="3"/>
  <c r="Q1252" i="3"/>
  <c r="R1252" i="3"/>
  <c r="M1253" i="3"/>
  <c r="N1253" i="3"/>
  <c r="O1253" i="3"/>
  <c r="P1253" i="3"/>
  <c r="Q1253" i="3"/>
  <c r="R1253" i="3"/>
  <c r="M1254" i="3"/>
  <c r="N1254" i="3"/>
  <c r="O1254" i="3"/>
  <c r="P1254" i="3"/>
  <c r="Q1254" i="3"/>
  <c r="R1254" i="3"/>
  <c r="M1255" i="3"/>
  <c r="N1255" i="3"/>
  <c r="O1255" i="3"/>
  <c r="P1255" i="3"/>
  <c r="Q1255" i="3"/>
  <c r="R1255" i="3"/>
  <c r="M1256" i="3"/>
  <c r="N1256" i="3"/>
  <c r="O1256" i="3"/>
  <c r="P1256" i="3"/>
  <c r="Q1256" i="3"/>
  <c r="R1256" i="3"/>
  <c r="M1257" i="3"/>
  <c r="N1257" i="3"/>
  <c r="O1257" i="3"/>
  <c r="P1257" i="3"/>
  <c r="Q1257" i="3"/>
  <c r="R1257" i="3"/>
  <c r="M1258" i="3"/>
  <c r="N1258" i="3"/>
  <c r="O1258" i="3"/>
  <c r="P1258" i="3"/>
  <c r="Q1258" i="3"/>
  <c r="R1258" i="3"/>
  <c r="M1259" i="3"/>
  <c r="N1259" i="3"/>
  <c r="O1259" i="3"/>
  <c r="P1259" i="3"/>
  <c r="Q1259" i="3"/>
  <c r="R1259" i="3"/>
  <c r="M1260" i="3"/>
  <c r="N1260" i="3"/>
  <c r="O1260" i="3"/>
  <c r="P1260" i="3"/>
  <c r="Q1260" i="3"/>
  <c r="R1260" i="3"/>
  <c r="M1261" i="3"/>
  <c r="N1261" i="3"/>
  <c r="O1261" i="3"/>
  <c r="P1261" i="3"/>
  <c r="Q1261" i="3"/>
  <c r="R1261" i="3"/>
  <c r="M1262" i="3"/>
  <c r="N1262" i="3"/>
  <c r="O1262" i="3"/>
  <c r="P1262" i="3"/>
  <c r="Q1262" i="3"/>
  <c r="R1262" i="3"/>
  <c r="M1263" i="3"/>
  <c r="N1263" i="3"/>
  <c r="O1263" i="3"/>
  <c r="P1263" i="3"/>
  <c r="Q1263" i="3"/>
  <c r="R1263" i="3"/>
  <c r="M1264" i="3"/>
  <c r="N1264" i="3"/>
  <c r="O1264" i="3"/>
  <c r="P1264" i="3"/>
  <c r="Q1264" i="3"/>
  <c r="R1264" i="3"/>
  <c r="M1265" i="3"/>
  <c r="N1265" i="3"/>
  <c r="O1265" i="3"/>
  <c r="P1265" i="3"/>
  <c r="Q1265" i="3"/>
  <c r="R1265" i="3"/>
  <c r="M1266" i="3"/>
  <c r="N1266" i="3"/>
  <c r="O1266" i="3"/>
  <c r="P1266" i="3"/>
  <c r="Q1266" i="3"/>
  <c r="R1266" i="3"/>
  <c r="M1267" i="3"/>
  <c r="N1267" i="3"/>
  <c r="O1267" i="3"/>
  <c r="P1267" i="3"/>
  <c r="Q1267" i="3"/>
  <c r="R1267" i="3"/>
  <c r="M1268" i="3"/>
  <c r="N1268" i="3"/>
  <c r="O1268" i="3"/>
  <c r="P1268" i="3"/>
  <c r="Q1268" i="3"/>
  <c r="R1268" i="3"/>
  <c r="M1269" i="3"/>
  <c r="N1269" i="3"/>
  <c r="O1269" i="3"/>
  <c r="P1269" i="3"/>
  <c r="Q1269" i="3"/>
  <c r="R1269" i="3"/>
  <c r="M1270" i="3"/>
  <c r="N1270" i="3"/>
  <c r="O1270" i="3"/>
  <c r="P1270" i="3"/>
  <c r="Q1270" i="3"/>
  <c r="R1270" i="3"/>
  <c r="M1271" i="3"/>
  <c r="N1271" i="3"/>
  <c r="O1271" i="3"/>
  <c r="P1271" i="3"/>
  <c r="Q1271" i="3"/>
  <c r="R1271" i="3"/>
  <c r="M1272" i="3"/>
  <c r="N1272" i="3"/>
  <c r="O1272" i="3"/>
  <c r="P1272" i="3"/>
  <c r="Q1272" i="3"/>
  <c r="R1272" i="3"/>
  <c r="M1273" i="3"/>
  <c r="N1273" i="3"/>
  <c r="O1273" i="3"/>
  <c r="P1273" i="3"/>
  <c r="Q1273" i="3"/>
  <c r="R1273" i="3"/>
  <c r="M1274" i="3"/>
  <c r="N1274" i="3"/>
  <c r="O1274" i="3"/>
  <c r="P1274" i="3"/>
  <c r="Q1274" i="3"/>
  <c r="R1274" i="3"/>
  <c r="M1275" i="3"/>
  <c r="N1275" i="3"/>
  <c r="O1275" i="3"/>
  <c r="P1275" i="3"/>
  <c r="Q1275" i="3"/>
  <c r="R1275" i="3"/>
  <c r="M1276" i="3"/>
  <c r="N1276" i="3"/>
  <c r="O1276" i="3"/>
  <c r="P1276" i="3"/>
  <c r="Q1276" i="3"/>
  <c r="R1276" i="3"/>
  <c r="M1277" i="3"/>
  <c r="N1277" i="3"/>
  <c r="O1277" i="3"/>
  <c r="P1277" i="3"/>
  <c r="Q1277" i="3"/>
  <c r="R1277" i="3"/>
  <c r="M1278" i="3"/>
  <c r="N1278" i="3"/>
  <c r="O1278" i="3"/>
  <c r="P1278" i="3"/>
  <c r="Q1278" i="3"/>
  <c r="R1278" i="3"/>
  <c r="M1279" i="3"/>
  <c r="N1279" i="3"/>
  <c r="O1279" i="3"/>
  <c r="P1279" i="3"/>
  <c r="Q1279" i="3"/>
  <c r="R1279" i="3"/>
  <c r="N8" i="3"/>
  <c r="O8" i="3"/>
  <c r="P8" i="3"/>
  <c r="Q8" i="3"/>
  <c r="R8" i="3"/>
  <c r="M8" i="3"/>
  <c r="D227" i="1" a="1"/>
  <c r="D227" i="1" s="1"/>
  <c r="D226" i="1" a="1"/>
  <c r="D226" i="1" s="1"/>
  <c r="D225" i="1" a="1"/>
  <c r="D225" i="1" s="1"/>
  <c r="D224" i="1"/>
  <c r="D224" i="1" a="1"/>
  <c r="D223" i="1" a="1"/>
  <c r="D223" i="1" s="1"/>
  <c r="D222" i="1"/>
  <c r="D222" i="1" a="1"/>
  <c r="D221" i="1"/>
  <c r="D221" i="1" a="1"/>
  <c r="D220" i="1"/>
  <c r="D220" i="1" a="1"/>
  <c r="D219" i="1" a="1"/>
  <c r="D219" i="1" s="1"/>
  <c r="D218" i="1"/>
  <c r="D218" i="1" a="1"/>
  <c r="D217" i="1"/>
  <c r="D217" i="1" a="1"/>
  <c r="D216" i="1"/>
  <c r="D216" i="1" a="1"/>
  <c r="D215" i="1" a="1"/>
  <c r="D215" i="1" s="1"/>
  <c r="D214" i="1"/>
  <c r="D214" i="1" a="1"/>
  <c r="D213" i="1"/>
  <c r="D213" i="1" a="1"/>
  <c r="D212" i="1"/>
  <c r="D212" i="1" a="1"/>
  <c r="D211" i="1" a="1"/>
  <c r="D211" i="1" s="1"/>
  <c r="D210" i="1"/>
  <c r="D210" i="1" a="1"/>
  <c r="D209" i="1"/>
  <c r="D209" i="1" a="1"/>
  <c r="D208" i="1"/>
  <c r="D208" i="1" a="1"/>
  <c r="D207" i="1" a="1"/>
  <c r="D207" i="1" s="1"/>
  <c r="D206" i="1"/>
  <c r="D206" i="1" a="1"/>
  <c r="D205" i="1"/>
  <c r="D205" i="1" a="1"/>
  <c r="D204" i="1"/>
  <c r="D204" i="1" a="1"/>
  <c r="D203" i="1" a="1"/>
  <c r="D203" i="1" s="1"/>
  <c r="D202" i="1"/>
  <c r="D202" i="1" a="1"/>
  <c r="D201" i="1"/>
  <c r="D201" i="1" a="1"/>
  <c r="D200" i="1"/>
  <c r="D200" i="1" a="1"/>
  <c r="D199" i="1" a="1"/>
  <c r="D199" i="1" s="1"/>
  <c r="D198" i="1"/>
  <c r="D198" i="1" a="1"/>
  <c r="D197" i="1"/>
  <c r="D197" i="1" a="1"/>
  <c r="D196" i="1"/>
  <c r="D196" i="1" a="1"/>
  <c r="D195" i="1" a="1"/>
  <c r="D195" i="1" s="1"/>
  <c r="D194" i="1" a="1"/>
  <c r="D194" i="1" s="1"/>
  <c r="D193" i="1"/>
  <c r="D193" i="1" a="1"/>
  <c r="D192" i="1"/>
  <c r="D192" i="1" a="1"/>
  <c r="D191" i="1" a="1"/>
  <c r="D191" i="1" s="1"/>
  <c r="D190" i="1" a="1"/>
  <c r="D190" i="1" s="1"/>
  <c r="D189" i="1"/>
  <c r="D189" i="1" a="1"/>
  <c r="D188" i="1"/>
  <c r="D188" i="1" a="1"/>
  <c r="D187" i="1" a="1"/>
  <c r="D187" i="1" s="1"/>
  <c r="D186" i="1" a="1"/>
  <c r="D186" i="1" s="1"/>
  <c r="D185" i="1"/>
  <c r="D185" i="1" a="1"/>
  <c r="D184" i="1"/>
  <c r="D184" i="1" a="1"/>
  <c r="D183" i="1" a="1"/>
  <c r="D183" i="1" s="1"/>
  <c r="D182" i="1" a="1"/>
  <c r="D182" i="1" s="1"/>
  <c r="D181" i="1"/>
  <c r="D181" i="1" a="1"/>
  <c r="D180" i="1"/>
  <c r="D180" i="1" a="1"/>
  <c r="D179" i="1" a="1"/>
  <c r="D179" i="1" s="1"/>
  <c r="D178" i="1" a="1"/>
  <c r="D178" i="1" s="1"/>
  <c r="D177" i="1"/>
  <c r="D177" i="1" a="1"/>
  <c r="D176" i="1"/>
  <c r="D176" i="1" a="1"/>
  <c r="D175" i="1" a="1"/>
  <c r="D175" i="1" s="1"/>
  <c r="D174" i="1" a="1"/>
  <c r="D174" i="1" s="1"/>
  <c r="D173" i="1"/>
  <c r="D173" i="1" a="1"/>
  <c r="D172" i="1"/>
  <c r="D172" i="1" a="1"/>
  <c r="D171" i="1" a="1"/>
  <c r="D171" i="1" s="1"/>
  <c r="D170" i="1" a="1"/>
  <c r="D170" i="1" s="1"/>
  <c r="D169" i="1"/>
  <c r="D169" i="1" a="1"/>
  <c r="D168" i="1"/>
  <c r="D168" i="1" a="1"/>
  <c r="D167" i="1" a="1"/>
  <c r="D167" i="1" s="1"/>
  <c r="D166" i="1" a="1"/>
  <c r="D166" i="1" s="1"/>
  <c r="D165" i="1"/>
  <c r="D165" i="1" a="1"/>
  <c r="D164" i="1"/>
  <c r="D164" i="1" a="1"/>
  <c r="D163" i="1" a="1"/>
  <c r="D163" i="1" s="1"/>
  <c r="D162" i="1" a="1"/>
  <c r="D162" i="1" s="1"/>
  <c r="D161" i="1"/>
  <c r="D161" i="1" a="1"/>
  <c r="D160" i="1"/>
  <c r="D160" i="1" a="1"/>
  <c r="D159" i="1" a="1"/>
  <c r="D159" i="1" s="1"/>
  <c r="D158" i="1" a="1"/>
  <c r="D158" i="1" s="1"/>
  <c r="D157" i="1"/>
  <c r="D157" i="1" a="1"/>
  <c r="D156" i="1"/>
  <c r="D156" i="1" a="1"/>
  <c r="D155" i="1" a="1"/>
  <c r="D155" i="1" s="1"/>
  <c r="D154" i="1" a="1"/>
  <c r="D154" i="1" s="1"/>
  <c r="D153" i="1"/>
  <c r="D153" i="1" a="1"/>
  <c r="D152" i="1"/>
  <c r="D152" i="1" a="1"/>
  <c r="D151" i="1" a="1"/>
  <c r="D151" i="1" s="1"/>
  <c r="D150" i="1" a="1"/>
  <c r="D150" i="1" s="1"/>
  <c r="D149" i="1"/>
  <c r="D149" i="1" a="1"/>
  <c r="D148" i="1"/>
  <c r="D148" i="1" a="1"/>
  <c r="D147" i="1" a="1"/>
  <c r="D147" i="1" s="1"/>
  <c r="D146" i="1" a="1"/>
  <c r="D146" i="1" s="1"/>
  <c r="D145" i="1"/>
  <c r="D145" i="1" a="1"/>
  <c r="D144" i="1"/>
  <c r="D144" i="1" a="1"/>
  <c r="D143" i="1" a="1"/>
  <c r="D143" i="1" s="1"/>
  <c r="D142" i="1" a="1"/>
  <c r="D142" i="1" s="1"/>
  <c r="D141" i="1"/>
  <c r="D141" i="1" a="1"/>
  <c r="D140" i="1"/>
  <c r="D140" i="1" a="1"/>
  <c r="D139" i="1" a="1"/>
  <c r="D139" i="1" s="1"/>
  <c r="D138" i="1" a="1"/>
  <c r="D138" i="1" s="1"/>
  <c r="D137" i="1"/>
  <c r="D137" i="1" a="1"/>
  <c r="D136" i="1"/>
  <c r="D136" i="1" a="1"/>
  <c r="D135" i="1" a="1"/>
  <c r="D135" i="1" s="1"/>
  <c r="D134" i="1" a="1"/>
  <c r="D134" i="1" s="1"/>
  <c r="D133" i="1"/>
  <c r="D133" i="1" a="1"/>
  <c r="D132" i="1"/>
  <c r="D132" i="1" a="1"/>
  <c r="D131" i="1" a="1"/>
  <c r="D131" i="1" s="1"/>
  <c r="D130" i="1" a="1"/>
  <c r="D130" i="1" s="1"/>
  <c r="D129" i="1"/>
  <c r="D129" i="1" a="1"/>
  <c r="D128" i="1"/>
  <c r="D128" i="1" a="1"/>
  <c r="D127" i="1" a="1"/>
  <c r="D127" i="1" s="1"/>
  <c r="D126" i="1" a="1"/>
  <c r="D126" i="1" s="1"/>
  <c r="D125" i="1"/>
  <c r="D125" i="1" a="1"/>
  <c r="D124" i="1"/>
  <c r="D124" i="1" a="1"/>
  <c r="D123" i="1" a="1"/>
  <c r="D123" i="1" s="1"/>
  <c r="D122" i="1" a="1"/>
  <c r="D122" i="1" s="1"/>
  <c r="D121" i="1"/>
  <c r="D121" i="1" a="1"/>
  <c r="D120" i="1"/>
  <c r="D120" i="1" a="1"/>
  <c r="D119" i="1" a="1"/>
  <c r="D119" i="1" s="1"/>
  <c r="D118" i="1" a="1"/>
  <c r="D118" i="1" s="1"/>
  <c r="D117" i="1"/>
  <c r="D117" i="1" a="1"/>
  <c r="D116" i="1"/>
  <c r="D116" i="1" a="1"/>
  <c r="D115" i="1" a="1"/>
  <c r="D115" i="1" s="1"/>
  <c r="D114" i="1" a="1"/>
  <c r="D114" i="1" s="1"/>
  <c r="D113" i="1"/>
  <c r="D113" i="1" a="1"/>
  <c r="D112" i="1"/>
  <c r="D112" i="1" a="1"/>
  <c r="D111" i="1" a="1"/>
  <c r="D111" i="1" s="1"/>
  <c r="D110" i="1" a="1"/>
  <c r="D110" i="1" s="1"/>
  <c r="D109" i="1"/>
  <c r="D109" i="1" a="1"/>
  <c r="D108" i="1"/>
  <c r="D108" i="1" a="1"/>
  <c r="D107" i="1" a="1"/>
  <c r="D107" i="1" s="1"/>
  <c r="D106" i="1" a="1"/>
  <c r="D106" i="1" s="1"/>
  <c r="D105" i="1"/>
  <c r="D105" i="1" a="1"/>
  <c r="D104" i="1"/>
  <c r="D104" i="1" a="1"/>
  <c r="D103" i="1" a="1"/>
  <c r="D103" i="1" s="1"/>
  <c r="D102" i="1" a="1"/>
  <c r="D102" i="1" s="1"/>
  <c r="D101" i="1"/>
  <c r="D101" i="1" a="1"/>
  <c r="D100" i="1"/>
  <c r="D100" i="1" a="1"/>
  <c r="D99" i="1" a="1"/>
  <c r="D99" i="1" s="1"/>
  <c r="D98" i="1" a="1"/>
  <c r="D98" i="1" s="1"/>
  <c r="D97" i="1"/>
  <c r="D97" i="1" a="1"/>
  <c r="D96" i="1"/>
  <c r="D96" i="1" a="1"/>
  <c r="D95" i="1" a="1"/>
  <c r="D95" i="1" s="1"/>
  <c r="D94" i="1" a="1"/>
  <c r="D94" i="1" s="1"/>
  <c r="D93" i="1"/>
  <c r="D93" i="1" a="1"/>
  <c r="D92" i="1"/>
  <c r="D92" i="1" a="1"/>
  <c r="D91" i="1" a="1"/>
  <c r="D91" i="1" s="1"/>
  <c r="D90" i="1" a="1"/>
  <c r="D90" i="1" s="1"/>
  <c r="D89" i="1"/>
  <c r="D89" i="1" a="1"/>
  <c r="D88" i="1"/>
  <c r="D88" i="1" a="1"/>
  <c r="D87" i="1" a="1"/>
  <c r="D87" i="1" s="1"/>
  <c r="D86" i="1" a="1"/>
  <c r="D86" i="1" s="1"/>
  <c r="D85" i="1"/>
  <c r="D85" i="1" a="1"/>
  <c r="D84" i="1"/>
  <c r="D84" i="1" a="1"/>
  <c r="D83" i="1" a="1"/>
  <c r="D83" i="1" s="1"/>
  <c r="D82" i="1" a="1"/>
  <c r="D82" i="1" s="1"/>
  <c r="D81" i="1"/>
  <c r="D81" i="1" a="1"/>
  <c r="D80" i="1"/>
  <c r="D80" i="1" a="1"/>
  <c r="D79" i="1" a="1"/>
  <c r="D79" i="1" s="1"/>
  <c r="D78" i="1" a="1"/>
  <c r="D78" i="1" s="1"/>
  <c r="D77" i="1"/>
  <c r="D77" i="1" a="1"/>
  <c r="D76" i="1"/>
  <c r="D76" i="1" a="1"/>
  <c r="D75" i="1" a="1"/>
  <c r="D75" i="1" s="1"/>
  <c r="D74" i="1" a="1"/>
  <c r="D74" i="1" s="1"/>
  <c r="D73" i="1"/>
  <c r="D73" i="1" a="1"/>
  <c r="D72" i="1"/>
  <c r="D72" i="1" a="1"/>
  <c r="D71" i="1" a="1"/>
  <c r="D71" i="1" s="1"/>
  <c r="D70" i="1" a="1"/>
  <c r="D70" i="1" s="1"/>
  <c r="D69" i="1"/>
  <c r="D69" i="1" a="1"/>
  <c r="D68" i="1"/>
  <c r="D68" i="1" a="1"/>
  <c r="D67" i="1" a="1"/>
  <c r="D67" i="1" s="1"/>
  <c r="D66" i="1" a="1"/>
  <c r="D66" i="1" s="1"/>
  <c r="D65" i="1" a="1"/>
  <c r="D65" i="1" s="1"/>
  <c r="D64" i="1"/>
  <c r="D64" i="1" a="1"/>
  <c r="D63" i="1" a="1"/>
  <c r="D63" i="1" s="1"/>
  <c r="D62" i="1" a="1"/>
  <c r="D62" i="1" s="1"/>
  <c r="D61" i="1" a="1"/>
  <c r="D61" i="1" s="1"/>
  <c r="D60" i="1"/>
  <c r="D60" i="1" a="1"/>
  <c r="D59" i="1" a="1"/>
  <c r="D59" i="1" s="1"/>
  <c r="D58" i="1" a="1"/>
  <c r="D58" i="1" s="1"/>
  <c r="D57" i="1" a="1"/>
  <c r="D57" i="1" s="1"/>
  <c r="D56" i="1"/>
  <c r="D56" i="1" a="1"/>
  <c r="D55" i="1" a="1"/>
  <c r="D55" i="1" s="1"/>
  <c r="D54" i="1" a="1"/>
  <c r="D54" i="1" s="1"/>
  <c r="D53" i="1" a="1"/>
  <c r="D53" i="1" s="1"/>
  <c r="D52" i="1" a="1"/>
  <c r="D52" i="1" s="1"/>
  <c r="D51" i="1" a="1"/>
  <c r="D51" i="1" s="1"/>
  <c r="D50" i="1" a="1"/>
  <c r="D50" i="1" s="1"/>
  <c r="D49" i="1" a="1"/>
  <c r="D49" i="1" s="1"/>
  <c r="D48" i="1" a="1"/>
  <c r="D48" i="1" s="1"/>
  <c r="D47" i="1" a="1"/>
  <c r="D47" i="1" s="1"/>
  <c r="D46" i="1" a="1"/>
  <c r="D46" i="1" s="1"/>
  <c r="D45" i="1" a="1"/>
  <c r="D45" i="1" s="1"/>
  <c r="D44" i="1" a="1"/>
  <c r="D44" i="1" s="1"/>
  <c r="D43" i="1" a="1"/>
  <c r="D43" i="1" s="1"/>
  <c r="D42" i="1" a="1"/>
  <c r="D42" i="1" s="1"/>
  <c r="D41" i="1" a="1"/>
  <c r="D41" i="1" s="1"/>
  <c r="D40" i="1" a="1"/>
  <c r="D40" i="1" s="1"/>
  <c r="D39" i="1" a="1"/>
  <c r="D39" i="1" s="1"/>
  <c r="D38" i="1" a="1"/>
  <c r="D38" i="1" s="1"/>
  <c r="D37" i="1" a="1"/>
  <c r="D37" i="1" s="1"/>
  <c r="D36" i="1" a="1"/>
  <c r="D36" i="1" s="1"/>
  <c r="D35" i="1" a="1"/>
  <c r="D35" i="1" s="1"/>
  <c r="D34" i="1" a="1"/>
  <c r="D34" i="1" s="1"/>
  <c r="D33" i="1" a="1"/>
  <c r="D33" i="1" s="1"/>
  <c r="D32" i="1" a="1"/>
  <c r="D32" i="1" s="1"/>
  <c r="D31" i="1" a="1"/>
  <c r="D31" i="1" s="1"/>
  <c r="D30" i="1" a="1"/>
  <c r="D30" i="1" s="1"/>
  <c r="D29" i="1" a="1"/>
  <c r="D29" i="1" s="1"/>
  <c r="D28" i="1" a="1"/>
  <c r="D28" i="1" s="1"/>
  <c r="D27" i="1" a="1"/>
  <c r="D27" i="1" s="1"/>
  <c r="D26" i="1" a="1"/>
  <c r="D26" i="1" s="1"/>
  <c r="D25" i="1" a="1"/>
  <c r="D25" i="1" s="1"/>
  <c r="D24" i="1" a="1"/>
  <c r="D24" i="1" s="1"/>
  <c r="D23" i="1" a="1"/>
  <c r="D23" i="1" s="1"/>
  <c r="D22" i="1" a="1"/>
  <c r="D22" i="1" s="1"/>
  <c r="D21" i="1" a="1"/>
  <c r="D21" i="1" s="1"/>
  <c r="D20" i="1" a="1"/>
  <c r="D20" i="1" s="1"/>
  <c r="D19" i="1" a="1"/>
  <c r="D19" i="1" s="1"/>
  <c r="D18" i="1" a="1"/>
  <c r="D18" i="1" s="1"/>
  <c r="D17" i="1" a="1"/>
  <c r="D17" i="1" s="1"/>
  <c r="D16" i="1" a="1"/>
  <c r="D16" i="1" s="1"/>
  <c r="D15" i="1" a="1"/>
  <c r="D15" i="1" s="1"/>
  <c r="D14" i="1" a="1"/>
  <c r="D14" i="1" s="1"/>
  <c r="D13" i="1" a="1"/>
  <c r="D13" i="1" s="1"/>
  <c r="D12" i="1" a="1"/>
  <c r="D12" i="1" s="1"/>
  <c r="D11" i="1" a="1"/>
  <c r="D11" i="1" s="1"/>
  <c r="D10" i="1" a="1"/>
  <c r="D10" i="1" s="1"/>
  <c r="D9" i="1" a="1"/>
  <c r="D9" i="1" s="1"/>
  <c r="D8" i="1" a="1"/>
  <c r="D8" i="1" s="1"/>
  <c r="D7" i="1" a="1"/>
  <c r="D7" i="1" s="1"/>
  <c r="D6" i="1" a="1"/>
  <c r="D6" i="1" s="1"/>
  <c r="D5" i="1" a="1"/>
  <c r="D5" i="1" s="1"/>
  <c r="E312" i="2" l="1"/>
  <c r="E308" i="2"/>
  <c r="E304" i="2"/>
  <c r="E300" i="2"/>
  <c r="E296" i="2"/>
  <c r="E292" i="2"/>
  <c r="E288" i="2"/>
  <c r="E284" i="2"/>
  <c r="E280" i="2"/>
  <c r="E276" i="2"/>
  <c r="E272" i="2"/>
  <c r="E268" i="2"/>
  <c r="E264" i="2"/>
  <c r="C262" i="2"/>
  <c r="C258" i="2"/>
  <c r="E261" i="2"/>
  <c r="E257" i="2"/>
  <c r="E252" i="2"/>
  <c r="E248" i="2"/>
  <c r="E244" i="2"/>
  <c r="E240" i="2"/>
  <c r="E236" i="2"/>
  <c r="E232" i="2"/>
  <c r="E228" i="2"/>
  <c r="E224" i="2"/>
  <c r="E220" i="2"/>
  <c r="E216" i="2"/>
  <c r="E212" i="2"/>
  <c r="E204" i="2"/>
  <c r="E200" i="2"/>
  <c r="E196" i="2"/>
  <c r="E209" i="2"/>
  <c r="E205" i="2"/>
  <c r="E201" i="2"/>
  <c r="E197" i="2"/>
  <c r="E192" i="2"/>
  <c r="E188" i="2"/>
  <c r="E184" i="2"/>
  <c r="E180" i="2"/>
  <c r="E176" i="2"/>
  <c r="E172" i="2"/>
  <c r="E168" i="2"/>
  <c r="E164" i="2"/>
  <c r="E160" i="2"/>
  <c r="E158" i="2"/>
  <c r="E157" i="2"/>
  <c r="E153" i="2"/>
  <c r="E149" i="2"/>
  <c r="E154" i="2"/>
  <c r="E150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72" i="2"/>
  <c r="E68" i="2"/>
  <c r="E64" i="2"/>
  <c r="E60" i="2"/>
  <c r="E56" i="2"/>
  <c r="E53" i="2"/>
  <c r="E52" i="2"/>
  <c r="E48" i="2"/>
  <c r="E44" i="2"/>
  <c r="E40" i="2"/>
  <c r="E41" i="2"/>
  <c r="C15" i="2"/>
  <c r="C11" i="2"/>
  <c r="C7" i="2"/>
  <c r="E29" i="2"/>
  <c r="E25" i="2"/>
  <c r="E37" i="2"/>
  <c r="E33" i="2"/>
  <c r="E21" i="2"/>
  <c r="E3" i="2"/>
  <c r="C2" i="2"/>
</calcChain>
</file>

<file path=xl/sharedStrings.xml><?xml version="1.0" encoding="utf-8"?>
<sst xmlns="http://schemas.openxmlformats.org/spreadsheetml/2006/main" count="6614" uniqueCount="339">
  <si>
    <t>Kreisfreie Stadt
Landkreis
(Großstadt, Umland)
Statistische Region
Land</t>
  </si>
  <si>
    <t>Jahr</t>
  </si>
  <si>
    <t>Ausländerinnen und Ausländer insgesamt</t>
  </si>
  <si>
    <t>davon mit einer Aufenthaltsdauer von … bis unter … Jahren</t>
  </si>
  <si>
    <t>unter 1</t>
  </si>
  <si>
    <t>1 - 4</t>
  </si>
  <si>
    <t>4 - 6</t>
  </si>
  <si>
    <t>6 - 8</t>
  </si>
  <si>
    <t>8 - 10</t>
  </si>
  <si>
    <t>10 und mehr</t>
  </si>
  <si>
    <t>Anzahl</t>
  </si>
  <si>
    <t>Prozent</t>
  </si>
  <si>
    <t>Spalte1</t>
  </si>
  <si>
    <t>AGS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</si>
  <si>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</si>
  <si>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</si>
  <si>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</si>
  <si>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</si>
  <si>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</si>
  <si>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</si>
  <si>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</si>
  <si>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</si>
  <si>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</si>
  <si>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Year</t>
  </si>
  <si>
    <t>Gebietseinheit</t>
  </si>
  <si>
    <t>Altersgruppe</t>
  </si>
  <si>
    <t>Value</t>
  </si>
  <si>
    <t>GeoCode</t>
  </si>
  <si>
    <t>© Landesamt für Statistik Niedersachsen (LSN) 2020.  Vervielfältigung und Verbreitung, auch auszugsweise, mit Quellenangabe gestattet.</t>
  </si>
  <si>
    <t xml:space="preserve">Ausländerzentralregister </t>
  </si>
  <si>
    <t>Ausländische Bevölkerung nach Altersgruppen, Aufenthaltsdauer, Familienstand und Geschlecht</t>
  </si>
  <si>
    <t>Kreis</t>
  </si>
  <si>
    <t xml:space="preserve">Geschlecht </t>
  </si>
  <si>
    <t>Ausländische Bevölkerung</t>
  </si>
  <si>
    <t>insgesamt</t>
  </si>
  <si>
    <t>davon nach Aufenthaltsdauer in Jahren</t>
  </si>
  <si>
    <t>1 - 3</t>
  </si>
  <si>
    <t>4 - 5</t>
  </si>
  <si>
    <t>6 - 7</t>
  </si>
  <si>
    <t>8 - 9</t>
  </si>
  <si>
    <t>10 u.m.</t>
  </si>
  <si>
    <t xml:space="preserve">Niedersachsen          </t>
  </si>
  <si>
    <t>Insgesamt</t>
  </si>
  <si>
    <t xml:space="preserve">              </t>
  </si>
  <si>
    <t xml:space="preserve">   unter 15 J.</t>
  </si>
  <si>
    <t xml:space="preserve"> 15 b.u. 20 J.</t>
  </si>
  <si>
    <t xml:space="preserve"> 20 b.u. 25 J.</t>
  </si>
  <si>
    <t xml:space="preserve"> 25 b.u. 30 J.</t>
  </si>
  <si>
    <t xml:space="preserve"> 30 b.u. 50 J.</t>
  </si>
  <si>
    <t xml:space="preserve"> 50 b.u. 65 J.</t>
  </si>
  <si>
    <t xml:space="preserve"> 65 J. u.älter</t>
  </si>
  <si>
    <t xml:space="preserve">männlich </t>
  </si>
  <si>
    <t xml:space="preserve">weiblich </t>
  </si>
  <si>
    <t xml:space="preserve">Braunschweig           </t>
  </si>
  <si>
    <t xml:space="preserve">Braunschweig,Stadt     </t>
  </si>
  <si>
    <t xml:space="preserve">Salzgitter,Stadt       </t>
  </si>
  <si>
    <t xml:space="preserve">Wolfsburg,Stadt        </t>
  </si>
  <si>
    <t xml:space="preserve">Gifhorn                </t>
  </si>
  <si>
    <t xml:space="preserve">Goslar                 </t>
  </si>
  <si>
    <t xml:space="preserve">Helmstedt              </t>
  </si>
  <si>
    <t xml:space="preserve">Northeim               </t>
  </si>
  <si>
    <t xml:space="preserve">Peine                  </t>
  </si>
  <si>
    <t xml:space="preserve">Wolfenbüttel           </t>
  </si>
  <si>
    <t xml:space="preserve">Göttingen              </t>
  </si>
  <si>
    <t xml:space="preserve">Göttingen,Stadt        </t>
  </si>
  <si>
    <t xml:space="preserve">Hannover               </t>
  </si>
  <si>
    <t xml:space="preserve">Hannover, Region       </t>
  </si>
  <si>
    <t>Hannover,Landeshauptsta</t>
  </si>
  <si>
    <t xml:space="preserve">Diepholz               </t>
  </si>
  <si>
    <t xml:space="preserve">Hameln-Pyrmont         </t>
  </si>
  <si>
    <t xml:space="preserve">Hildesheim             </t>
  </si>
  <si>
    <t xml:space="preserve">Hildesheim,Stadt       </t>
  </si>
  <si>
    <t xml:space="preserve">Holzminden             </t>
  </si>
  <si>
    <t xml:space="preserve">Nienburg (Weser)       </t>
  </si>
  <si>
    <t xml:space="preserve">Schaumburg             </t>
  </si>
  <si>
    <t xml:space="preserve">Lüneburg               </t>
  </si>
  <si>
    <t xml:space="preserve">Celle                  </t>
  </si>
  <si>
    <t xml:space="preserve">Cuxhaven               </t>
  </si>
  <si>
    <t xml:space="preserve">Harburg                </t>
  </si>
  <si>
    <t xml:space="preserve">Lüchow-Dannenberg      </t>
  </si>
  <si>
    <t xml:space="preserve">Osterholz              </t>
  </si>
  <si>
    <t xml:space="preserve">Rotenburg (Wümme)      </t>
  </si>
  <si>
    <t xml:space="preserve">Heidekreis             </t>
  </si>
  <si>
    <t xml:space="preserve">Stade                  </t>
  </si>
  <si>
    <t xml:space="preserve">Uelzen                 </t>
  </si>
  <si>
    <t xml:space="preserve">Verden                 </t>
  </si>
  <si>
    <t xml:space="preserve">Weser-Ems              </t>
  </si>
  <si>
    <t xml:space="preserve">Delmenhorst,Stadt      </t>
  </si>
  <si>
    <t xml:space="preserve">Emden,Stadt            </t>
  </si>
  <si>
    <t xml:space="preserve">Oldenburg(Oldb),Stadt  </t>
  </si>
  <si>
    <t xml:space="preserve">Osnabrück,Stadt        </t>
  </si>
  <si>
    <t xml:space="preserve">Wilhelmshaven,Stadt    </t>
  </si>
  <si>
    <t xml:space="preserve">Ammerland              </t>
  </si>
  <si>
    <t xml:space="preserve">Aurich                 </t>
  </si>
  <si>
    <t xml:space="preserve">Cloppenburg            </t>
  </si>
  <si>
    <t xml:space="preserve">Emsland                </t>
  </si>
  <si>
    <t xml:space="preserve">Friesland              </t>
  </si>
  <si>
    <t xml:space="preserve">Grafschaft Bentheim    </t>
  </si>
  <si>
    <t xml:space="preserve">Leer                   </t>
  </si>
  <si>
    <t xml:space="preserve">Oldenburg              </t>
  </si>
  <si>
    <t xml:space="preserve">Osnabrück              </t>
  </si>
  <si>
    <t xml:space="preserve">Vechta                 </t>
  </si>
  <si>
    <t xml:space="preserve">Wesermarsch            </t>
  </si>
  <si>
    <t xml:space="preserve">462   </t>
  </si>
  <si>
    <t xml:space="preserve">Wittmund               </t>
  </si>
  <si>
    <t>_x001A_</t>
  </si>
  <si>
    <t>0</t>
  </si>
  <si>
    <t>Aufenthaltsdauer in Jahren</t>
  </si>
  <si>
    <t>Hanover Umland</t>
  </si>
  <si>
    <t>0 Jahre</t>
  </si>
  <si>
    <t>1 - 3 Jahre</t>
  </si>
  <si>
    <t>4 - 5 Jahre</t>
  </si>
  <si>
    <t>6 - 7 Jahre</t>
  </si>
  <si>
    <t>8 - 9 Jahre</t>
  </si>
  <si>
    <t>10 u. mehr Jahre</t>
  </si>
  <si>
    <t>Niedersachsen</t>
  </si>
  <si>
    <t>K030</t>
  </si>
  <si>
    <t>Stat. Region Braunschweig</t>
  </si>
  <si>
    <t>K031</t>
  </si>
  <si>
    <t>Braunschweig  Stadt</t>
  </si>
  <si>
    <t>K03101</t>
  </si>
  <si>
    <t>Salzgitter  Stadt</t>
  </si>
  <si>
    <t>K03102</t>
  </si>
  <si>
    <t>Wolfsburg  Stadt</t>
  </si>
  <si>
    <t>K03103</t>
  </si>
  <si>
    <t>Gifhorn</t>
  </si>
  <si>
    <t>K03151</t>
  </si>
  <si>
    <t>Goslar</t>
  </si>
  <si>
    <t>K03153</t>
  </si>
  <si>
    <t>Helmstedt</t>
  </si>
  <si>
    <t>K03154</t>
  </si>
  <si>
    <t>Northeim</t>
  </si>
  <si>
    <t>K03155</t>
  </si>
  <si>
    <t>Peine</t>
  </si>
  <si>
    <t>K03157</t>
  </si>
  <si>
    <t>Wolfenbüttel</t>
  </si>
  <si>
    <t>K03158</t>
  </si>
  <si>
    <t>Göttingen</t>
  </si>
  <si>
    <t>K03159</t>
  </si>
  <si>
    <t>Stat. Region Hannover</t>
  </si>
  <si>
    <t>K032</t>
  </si>
  <si>
    <t>Hannover  Region</t>
  </si>
  <si>
    <t>K03241</t>
  </si>
  <si>
    <t xml:space="preserve">   dav. Hannover  Lhst.</t>
  </si>
  <si>
    <t>K03241001</t>
  </si>
  <si>
    <t xml:space="preserve">   dav. Hannover  Umland</t>
  </si>
  <si>
    <t>K03241999</t>
  </si>
  <si>
    <t>Diepholz</t>
  </si>
  <si>
    <t>K03251</t>
  </si>
  <si>
    <t>Hameln-Pyrmont</t>
  </si>
  <si>
    <t>K03252</t>
  </si>
  <si>
    <t>Hildesheim</t>
  </si>
  <si>
    <t>K03254</t>
  </si>
  <si>
    <t>Holzminden</t>
  </si>
  <si>
    <t>K03255</t>
  </si>
  <si>
    <t>Nienburg (Weser)</t>
  </si>
  <si>
    <t>K03256</t>
  </si>
  <si>
    <t>Schaumburg</t>
  </si>
  <si>
    <t>K03257</t>
  </si>
  <si>
    <t>Stat. Region Lüneburg</t>
  </si>
  <si>
    <t>K033</t>
  </si>
  <si>
    <t>Celle</t>
  </si>
  <si>
    <t>K03351</t>
  </si>
  <si>
    <t>Cuxhaven</t>
  </si>
  <si>
    <t>K03352</t>
  </si>
  <si>
    <t>Harburg</t>
  </si>
  <si>
    <t>K03353</t>
  </si>
  <si>
    <t>Lüchow-Dannenberg</t>
  </si>
  <si>
    <t>K03354</t>
  </si>
  <si>
    <t>Lüneburg</t>
  </si>
  <si>
    <t>K03355</t>
  </si>
  <si>
    <t>Osterholz</t>
  </si>
  <si>
    <t>K03356</t>
  </si>
  <si>
    <t>Rotenburg (Wümme)</t>
  </si>
  <si>
    <t>K03357</t>
  </si>
  <si>
    <t>Heidekreis</t>
  </si>
  <si>
    <t>K03358</t>
  </si>
  <si>
    <t>Stade</t>
  </si>
  <si>
    <t>K03359</t>
  </si>
  <si>
    <t>Uelzen</t>
  </si>
  <si>
    <t>K03360</t>
  </si>
  <si>
    <t>Verden</t>
  </si>
  <si>
    <t>K03361</t>
  </si>
  <si>
    <t>Stat. Region Weser-Ems</t>
  </si>
  <si>
    <t>K034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</si>
  <si>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</si>
  <si>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</si>
  <si>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</si>
  <si>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</si>
  <si>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</si>
  <si>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</si>
  <si>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</si>
  <si>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</si>
  <si>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</si>
  <si>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</si>
  <si>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Ammerland</t>
  </si>
  <si>
    <t>K03451</t>
  </si>
  <si>
    <t>Aurich</t>
  </si>
  <si>
    <t>K03452</t>
  </si>
  <si>
    <t>Cloppenburg</t>
  </si>
  <si>
    <t>K03453</t>
  </si>
  <si>
    <t>Emsland</t>
  </si>
  <si>
    <t>K03454</t>
  </si>
  <si>
    <t>Friesland</t>
  </si>
  <si>
    <t>K03455</t>
  </si>
  <si>
    <t>Grafschaft Bentheim</t>
  </si>
  <si>
    <t>K03456</t>
  </si>
  <si>
    <t>Leer</t>
  </si>
  <si>
    <t>K03457</t>
  </si>
  <si>
    <t>Oldenburg</t>
  </si>
  <si>
    <t>K03458</t>
  </si>
  <si>
    <t>Osnabrück</t>
  </si>
  <si>
    <t>K03459</t>
  </si>
  <si>
    <t>Vechta</t>
  </si>
  <si>
    <t>K03460</t>
  </si>
  <si>
    <t>Wesermarsch</t>
  </si>
  <si>
    <t>K03461</t>
  </si>
  <si>
    <t>Wittmund</t>
  </si>
  <si>
    <t>K03462</t>
  </si>
  <si>
    <t/>
  </si>
  <si>
    <t>2020</t>
  </si>
  <si>
    <t>5.36</t>
  </si>
  <si>
    <t>1.04</t>
  </si>
  <si>
    <t>0.18</t>
  </si>
  <si>
    <t>0.11</t>
  </si>
  <si>
    <t>0.06</t>
  </si>
  <si>
    <t>0.04</t>
  </si>
  <si>
    <t>0.05</t>
  </si>
  <si>
    <t>0.07</t>
  </si>
  <si>
    <t>0.03</t>
  </si>
  <si>
    <t>0.24</t>
  </si>
  <si>
    <t>1.17</t>
  </si>
  <si>
    <t>0.62</t>
  </si>
  <si>
    <t>0.27</t>
  </si>
  <si>
    <t>0.13</t>
  </si>
  <si>
    <t>0.08</t>
  </si>
  <si>
    <t>0.15</t>
  </si>
  <si>
    <t>0.01</t>
  </si>
  <si>
    <t>0.96</t>
  </si>
  <si>
    <t>0.02</t>
  </si>
  <si>
    <t>0.09</t>
  </si>
  <si>
    <t>0.14</t>
  </si>
  <si>
    <t>0.12</t>
  </si>
  <si>
    <t>2.18</t>
  </si>
  <si>
    <t>0.41</t>
  </si>
  <si>
    <t>0.35</t>
  </si>
  <si>
    <t>0.17</t>
  </si>
  <si>
    <t>20.15</t>
  </si>
  <si>
    <t>4.04</t>
  </si>
  <si>
    <t>0.7</t>
  </si>
  <si>
    <t>0.49</t>
  </si>
  <si>
    <t>0.46</t>
  </si>
  <si>
    <t>0.32</t>
  </si>
  <si>
    <t>0.4</t>
  </si>
  <si>
    <t>0.21</t>
  </si>
  <si>
    <t>0.26</t>
  </si>
  <si>
    <t>0.85</t>
  </si>
  <si>
    <t>5.79</t>
  </si>
  <si>
    <t>3.73</t>
  </si>
  <si>
    <t>2.28</t>
  </si>
  <si>
    <t>0.34</t>
  </si>
  <si>
    <t>0.58</t>
  </si>
  <si>
    <t>0.23</t>
  </si>
  <si>
    <t>0.33</t>
  </si>
  <si>
    <t>3.13</t>
  </si>
  <si>
    <t>0.3</t>
  </si>
  <si>
    <t>0.25</t>
  </si>
  <si>
    <t>0.53</t>
  </si>
  <si>
    <t>0.29</t>
  </si>
  <si>
    <t>0.54</t>
  </si>
  <si>
    <t>7.17</t>
  </si>
  <si>
    <t>0.16</t>
  </si>
  <si>
    <t>0.48</t>
  </si>
  <si>
    <t>0.22</t>
  </si>
  <si>
    <t>0.28</t>
  </si>
  <si>
    <t>1.24</t>
  </si>
  <si>
    <t>0.44</t>
  </si>
  <si>
    <t>0.38</t>
  </si>
  <si>
    <t>0.89</t>
  </si>
  <si>
    <t>21.1</t>
  </si>
  <si>
    <t>4.01</t>
  </si>
  <si>
    <t>0.39</t>
  </si>
  <si>
    <t>0.75</t>
  </si>
  <si>
    <t>6.45</t>
  </si>
  <si>
    <t>2.19</t>
  </si>
  <si>
    <t>0.5</t>
  </si>
  <si>
    <t>0.63</t>
  </si>
  <si>
    <t>0.37</t>
  </si>
  <si>
    <t>3.55</t>
  </si>
  <si>
    <t>0.43</t>
  </si>
  <si>
    <t>0.47</t>
  </si>
  <si>
    <t>0.57</t>
  </si>
  <si>
    <t>0.31</t>
  </si>
  <si>
    <t>7.08</t>
  </si>
  <si>
    <t>0.68</t>
  </si>
  <si>
    <t>0.55</t>
  </si>
  <si>
    <t>0.2</t>
  </si>
  <si>
    <t>9.63</t>
  </si>
  <si>
    <t>1.75</t>
  </si>
  <si>
    <t>0.19</t>
  </si>
  <si>
    <t>2.16</t>
  </si>
  <si>
    <t>1.37</t>
  </si>
  <si>
    <t>0.1</t>
  </si>
  <si>
    <t>1.51</t>
  </si>
  <si>
    <t>3.22</t>
  </si>
  <si>
    <t>5.44</t>
  </si>
  <si>
    <t>0.87</t>
  </si>
  <si>
    <t>1.8</t>
  </si>
  <si>
    <t>1.28</t>
  </si>
  <si>
    <t>0.8</t>
  </si>
  <si>
    <t>1.95</t>
  </si>
  <si>
    <t>38.29</t>
  </si>
  <si>
    <t>7.72</t>
  </si>
  <si>
    <t>1.54</t>
  </si>
  <si>
    <t>0.91</t>
  </si>
  <si>
    <t>1.02</t>
  </si>
  <si>
    <t>0.65</t>
  </si>
  <si>
    <t>0.52</t>
  </si>
  <si>
    <t>0.42</t>
  </si>
  <si>
    <t>0.56</t>
  </si>
  <si>
    <t>0.36</t>
  </si>
  <si>
    <t>1.39</t>
  </si>
  <si>
    <t>14.02</t>
  </si>
  <si>
    <t>9.82</t>
  </si>
  <si>
    <t>6.08</t>
  </si>
  <si>
    <t>0.72</t>
  </si>
  <si>
    <t>1.18</t>
  </si>
  <si>
    <t>5.82</t>
  </si>
  <si>
    <t>0.6</t>
  </si>
  <si>
    <t>0.67</t>
  </si>
  <si>
    <t>1.07</t>
  </si>
  <si>
    <t>0.51</t>
  </si>
  <si>
    <t>0.71</t>
  </si>
  <si>
    <t>10.71</t>
  </si>
  <si>
    <t>0.66</t>
  </si>
  <si>
    <t>1.14</t>
  </si>
  <si>
    <t>1.36</t>
  </si>
  <si>
    <t>1.29</t>
  </si>
  <si>
    <t>0.77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</si>
</sst>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###\ ###"/>
    <numFmt numFmtId="165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6"/>
      <color theme="1"/>
      <name val="NDSFrutiger 45 Light"/>
    </font>
    <font>
      <sz val="6"/>
      <name val="NDSFrutiger 45 Light"/>
    </font>
    <font>
      <sz val="6"/>
      <name val="NDSFrutiger 55 Roman"/>
    </font>
    <font>
      <sz val="9"/>
      <color theme="1"/>
      <name val="Calibri"/>
      <family val="2"/>
      <scheme val="minor"/>
    </font>
    <font>
      <sz val="9"/>
      <color rgb="FF006100"/>
      <name val="Calibri"/>
      <family val="2"/>
      <scheme val="minor"/>
    </font>
    <font>
      <sz val="9"/>
      <color rgb="FF9C0006"/>
      <name val="Calibri"/>
      <family val="2"/>
      <scheme val="minor"/>
    </font>
    <font>
      <sz val="9"/>
      <color rgb="FF9C5700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rgb="FF3F3F3F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FA7D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/>
    <xf numFmtId="0" fontId="9" fillId="10" borderId="0" applyNumberFormat="0" applyBorder="0" applyAlignment="0" applyProtection="0"/>
    <xf numFmtId="0" fontId="9" fillId="14" borderId="0" applyNumberFormat="0" applyBorder="0" applyAlignment="0" applyProtection="0"/>
    <xf numFmtId="0" fontId="9" fillId="18" borderId="0" applyNumberFormat="0" applyBorder="0" applyAlignment="0" applyProtection="0"/>
    <xf numFmtId="0" fontId="9" fillId="22" borderId="0" applyNumberFormat="0" applyBorder="0" applyAlignment="0" applyProtection="0"/>
    <xf numFmtId="0" fontId="9" fillId="26" borderId="0" applyNumberFormat="0" applyBorder="0" applyAlignment="0" applyProtection="0"/>
    <xf numFmtId="0" fontId="9" fillId="30" borderId="0" applyNumberFormat="0" applyBorder="0" applyAlignment="0" applyProtection="0"/>
    <xf numFmtId="0" fontId="9" fillId="11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12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21" fillId="9" borderId="0" applyNumberFormat="0" applyBorder="0" applyAlignment="0" applyProtection="0"/>
    <xf numFmtId="0" fontId="21" fillId="13" borderId="0" applyNumberFormat="0" applyBorder="0" applyAlignment="0" applyProtection="0"/>
    <xf numFmtId="0" fontId="21" fillId="17" borderId="0" applyNumberFormat="0" applyBorder="0" applyAlignment="0" applyProtection="0"/>
    <xf numFmtId="0" fontId="21" fillId="21" borderId="0" applyNumberFormat="0" applyBorder="0" applyAlignment="0" applyProtection="0"/>
    <xf numFmtId="0" fontId="21" fillId="25" borderId="0" applyNumberFormat="0" applyBorder="0" applyAlignment="0" applyProtection="0"/>
    <xf numFmtId="0" fontId="21" fillId="29" borderId="0" applyNumberFormat="0" applyBorder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3" fillId="5" borderId="4" applyNumberFormat="0" applyAlignment="0" applyProtection="0"/>
    <xf numFmtId="0" fontId="20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2" fillId="4" borderId="0" applyNumberFormat="0" applyBorder="0" applyAlignment="0" applyProtection="0"/>
    <xf numFmtId="0" fontId="9" fillId="8" borderId="8" applyNumberFormat="0" applyFont="0" applyAlignment="0" applyProtection="0"/>
    <xf numFmtId="0" fontId="11" fillId="3" borderId="0" applyNumberFormat="0" applyBorder="0" applyAlignment="0" applyProtection="0"/>
    <xf numFmtId="0" fontId="1" fillId="0" borderId="0"/>
    <xf numFmtId="0" fontId="16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17" fillId="7" borderId="7" applyNumberFormat="0" applyAlignment="0" applyProtection="0"/>
  </cellStyleXfs>
  <cellXfs count="65">
    <xf numFmtId="0" fontId="0" fillId="0" borderId="0" xfId="0"/>
    <xf numFmtId="0" fontId="6" fillId="0" borderId="0" xfId="0" applyFont="1"/>
    <xf numFmtId="0" fontId="7" fillId="0" borderId="0" xfId="0" applyFont="1" applyBorder="1"/>
    <xf numFmtId="0" fontId="7" fillId="0" borderId="15" xfId="0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49" fontId="7" fillId="0" borderId="12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NumberFormat="1" applyFont="1" applyBorder="1" applyAlignment="1">
      <alignment horizontal="right" vertical="center" wrapText="1"/>
    </xf>
    <xf numFmtId="164" fontId="7" fillId="0" borderId="0" xfId="0" applyNumberFormat="1" applyFont="1" applyBorder="1" applyAlignment="1">
      <alignment horizontal="right" vertical="center" wrapText="1"/>
    </xf>
    <xf numFmtId="165" fontId="7" fillId="0" borderId="0" xfId="0" applyNumberFormat="1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right" vertical="center" wrapText="1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NumberFormat="1" applyFont="1" applyBorder="1" applyAlignment="1">
      <alignment horizontal="right" vertical="center" wrapText="1"/>
    </xf>
    <xf numFmtId="164" fontId="8" fillId="0" borderId="0" xfId="0" applyNumberFormat="1" applyFont="1" applyBorder="1" applyAlignment="1">
      <alignment horizontal="right" vertical="center" wrapText="1"/>
    </xf>
    <xf numFmtId="165" fontId="8" fillId="0" borderId="0" xfId="0" applyNumberFormat="1" applyFont="1" applyBorder="1" applyAlignment="1">
      <alignment horizontal="right" vertical="center" wrapText="1"/>
    </xf>
    <xf numFmtId="165" fontId="8" fillId="0" borderId="0" xfId="0" applyNumberFormat="1" applyFont="1" applyAlignment="1">
      <alignment horizontal="right" vertical="center" wrapText="1"/>
    </xf>
    <xf numFmtId="0" fontId="8" fillId="0" borderId="0" xfId="0" applyFont="1" applyBorder="1"/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vertical="center"/>
    </xf>
    <xf numFmtId="0" fontId="7" fillId="0" borderId="0" xfId="0" applyNumberFormat="1" applyFont="1" applyBorder="1" applyAlignment="1">
      <alignment horizontal="right" vertical="center"/>
    </xf>
    <xf numFmtId="164" fontId="7" fillId="0" borderId="0" xfId="0" applyNumberFormat="1" applyFont="1" applyBorder="1" applyAlignment="1">
      <alignment horizontal="right" vertical="center"/>
    </xf>
    <xf numFmtId="165" fontId="7" fillId="0" borderId="0" xfId="0" applyNumberFormat="1" applyFont="1" applyBorder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0" fontId="8" fillId="0" borderId="0" xfId="0" applyFont="1" applyBorder="1" applyAlignment="1">
      <alignment vertical="top"/>
    </xf>
    <xf numFmtId="0" fontId="8" fillId="0" borderId="0" xfId="0" applyNumberFormat="1" applyFont="1" applyBorder="1" applyAlignment="1">
      <alignment horizontal="right" vertical="center"/>
    </xf>
    <xf numFmtId="164" fontId="8" fillId="0" borderId="0" xfId="0" applyNumberFormat="1" applyFont="1" applyBorder="1" applyAlignment="1">
      <alignment horizontal="right" vertical="center"/>
    </xf>
    <xf numFmtId="165" fontId="8" fillId="0" borderId="0" xfId="0" applyNumberFormat="1" applyFont="1" applyBorder="1" applyAlignment="1">
      <alignment horizontal="right" vertical="center"/>
    </xf>
    <xf numFmtId="165" fontId="8" fillId="0" borderId="0" xfId="0" applyNumberFormat="1" applyFont="1" applyAlignment="1">
      <alignment horizontal="right" vertical="center"/>
    </xf>
    <xf numFmtId="0" fontId="7" fillId="0" borderId="0" xfId="0" applyFont="1" applyAlignment="1"/>
    <xf numFmtId="0" fontId="7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0" fillId="0" borderId="0" xfId="0" applyAlignment="1">
      <alignment vertical="center"/>
    </xf>
    <xf numFmtId="0" fontId="7" fillId="0" borderId="0" xfId="0" applyNumberFormat="1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0" fontId="7" fillId="0" borderId="0" xfId="0" applyFont="1" applyBorder="1" applyAlignment="1">
      <alignment vertical="center"/>
    </xf>
    <xf numFmtId="0" fontId="8" fillId="0" borderId="0" xfId="0" applyNumberFormat="1" applyFont="1" applyAlignment="1">
      <alignment horizontal="right" vertical="center"/>
    </xf>
    <xf numFmtId="164" fontId="8" fillId="0" borderId="0" xfId="0" applyNumberFormat="1" applyFont="1" applyAlignment="1">
      <alignment horizontal="right" vertical="center"/>
    </xf>
    <xf numFmtId="0" fontId="9" fillId="0" borderId="0" xfId="40" applyFont="1" applyBorder="1" applyAlignment="1">
      <alignment horizontal="center" vertical="center" wrapText="1"/>
    </xf>
    <xf numFmtId="0" fontId="9" fillId="0" borderId="0" xfId="6"/>
    <xf numFmtId="49" fontId="9" fillId="0" borderId="0" xfId="6" applyNumberFormat="1"/>
    <xf numFmtId="0" fontId="7" fillId="0" borderId="0" xfId="40" applyFont="1" applyAlignment="1">
      <alignment horizontal="left" vertical="center"/>
    </xf>
    <xf numFmtId="0" fontId="1" fillId="0" borderId="0" xfId="40"/>
    <xf numFmtId="0" fontId="9" fillId="0" borderId="0" xfId="40" applyFont="1"/>
    <xf numFmtId="0" fontId="20" fillId="0" borderId="0" xfId="40" applyFont="1"/>
    <xf numFmtId="49" fontId="9" fillId="0" borderId="15" xfId="40" applyNumberFormat="1" applyFont="1" applyBorder="1" applyAlignment="1">
      <alignment horizontal="center" vertical="center" wrapText="1"/>
    </xf>
    <xf numFmtId="0" fontId="9" fillId="0" borderId="16" xfId="40" applyFont="1" applyBorder="1" applyAlignment="1">
      <alignment vertical="center" wrapText="1"/>
    </xf>
    <xf numFmtId="49" fontId="0" fillId="0" borderId="0" xfId="0" applyNumberFormat="1"/>
    <xf numFmtId="2" fontId="0" fillId="0" borderId="0" xfId="0" applyNumberFormat="1"/>
    <xf numFmtId="0" fontId="9" fillId="0" borderId="0" xfId="6" applyNumberFormat="1"/>
    <xf numFmtId="0" fontId="0" fillId="0" borderId="0" xfId="0" applyNumberFormat="1"/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9" fillId="0" borderId="16" xfId="40" applyFont="1" applyBorder="1" applyAlignment="1">
      <alignment horizontal="center" vertical="center" wrapText="1"/>
    </xf>
    <xf numFmtId="0" fontId="9" fillId="0" borderId="15" xfId="40" applyFont="1" applyBorder="1" applyAlignment="1">
      <alignment horizontal="center" vertical="center" wrapText="1"/>
    </xf>
  </cellXfs>
  <cellStyles count="44">
    <cellStyle name="20 % - Akzent1 2" xfId="7" xr:uid="{00000000-0005-0000-0000-00002F000000}"/>
    <cellStyle name="20 % - Akzent2 2" xfId="8" xr:uid="{00000000-0005-0000-0000-000030000000}"/>
    <cellStyle name="20 % - Akzent3 2" xfId="9" xr:uid="{00000000-0005-0000-0000-000031000000}"/>
    <cellStyle name="20 % - Akzent4 2" xfId="10" xr:uid="{00000000-0005-0000-0000-000032000000}"/>
    <cellStyle name="20 % - Akzent5 2" xfId="11" xr:uid="{00000000-0005-0000-0000-000033000000}"/>
    <cellStyle name="20 % - Akzent6 2" xfId="12" xr:uid="{00000000-0005-0000-0000-000034000000}"/>
    <cellStyle name="40 % - Akzent1 2" xfId="13" xr:uid="{00000000-0005-0000-0000-000035000000}"/>
    <cellStyle name="40 % - Akzent2 2" xfId="14" xr:uid="{00000000-0005-0000-0000-000036000000}"/>
    <cellStyle name="40 % - Akzent3 2" xfId="15" xr:uid="{00000000-0005-0000-0000-000037000000}"/>
    <cellStyle name="40 % - Akzent4 2" xfId="16" xr:uid="{00000000-0005-0000-0000-000038000000}"/>
    <cellStyle name="40 % - Akzent5 2" xfId="17" xr:uid="{00000000-0005-0000-0000-000039000000}"/>
    <cellStyle name="40 % - Akzent6 2" xfId="18" xr:uid="{00000000-0005-0000-0000-00003A000000}"/>
    <cellStyle name="60 % - Akzent1 2" xfId="19" xr:uid="{00000000-0005-0000-0000-00003B000000}"/>
    <cellStyle name="60 % - Akzent2 2" xfId="20" xr:uid="{00000000-0005-0000-0000-00003C000000}"/>
    <cellStyle name="60 % - Akzent3 2" xfId="21" xr:uid="{00000000-0005-0000-0000-00003D000000}"/>
    <cellStyle name="60 % - Akzent4 2" xfId="22" xr:uid="{00000000-0005-0000-0000-00003E000000}"/>
    <cellStyle name="60 % - Akzent5 2" xfId="23" xr:uid="{00000000-0005-0000-0000-00003F000000}"/>
    <cellStyle name="60 % - Akzent6 2" xfId="24" xr:uid="{00000000-0005-0000-0000-000040000000}"/>
    <cellStyle name="Akzent1 2" xfId="25" xr:uid="{00000000-0005-0000-0000-000041000000}"/>
    <cellStyle name="Akzent2 2" xfId="26" xr:uid="{00000000-0005-0000-0000-000042000000}"/>
    <cellStyle name="Akzent3 2" xfId="27" xr:uid="{00000000-0005-0000-0000-000043000000}"/>
    <cellStyle name="Akzent4 2" xfId="28" xr:uid="{00000000-0005-0000-0000-000044000000}"/>
    <cellStyle name="Akzent5 2" xfId="29" xr:uid="{00000000-0005-0000-0000-000045000000}"/>
    <cellStyle name="Akzent6 2" xfId="30" xr:uid="{00000000-0005-0000-0000-000046000000}"/>
    <cellStyle name="Ausgabe 2" xfId="31" xr:uid="{00000000-0005-0000-0000-000047000000}"/>
    <cellStyle name="Berechnung 2" xfId="32" xr:uid="{00000000-0005-0000-0000-000048000000}"/>
    <cellStyle name="Eingabe 2" xfId="33" xr:uid="{00000000-0005-0000-0000-000049000000}"/>
    <cellStyle name="Ergebnis 2" xfId="34" xr:uid="{00000000-0005-0000-0000-00004A000000}"/>
    <cellStyle name="Erklärender Text 2" xfId="35" xr:uid="{00000000-0005-0000-0000-00004B000000}"/>
    <cellStyle name="Gut 2" xfId="36" xr:uid="{00000000-0005-0000-0000-00004C000000}"/>
    <cellStyle name="Neutral 2" xfId="37" xr:uid="{00000000-0005-0000-0000-00004D000000}"/>
    <cellStyle name="Notiz 2" xfId="38" xr:uid="{00000000-0005-0000-0000-00004E000000}"/>
    <cellStyle name="Schlecht 2" xfId="39" xr:uid="{00000000-0005-0000-0000-00004F000000}"/>
    <cellStyle name="Standard" xfId="0" builtinId="0"/>
    <cellStyle name="Standard 2" xfId="40" xr:uid="{00000000-0005-0000-0000-000051000000}"/>
    <cellStyle name="Standard 3" xfId="6" xr:uid="{00000000-0005-0000-0000-000050000000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 2" xfId="41" xr:uid="{00000000-0005-0000-0000-000052000000}"/>
    <cellStyle name="Warnender Text 2" xfId="42" xr:uid="{00000000-0005-0000-0000-000053000000}"/>
    <cellStyle name="Zelle überprüfen 2" xfId="43" xr:uid="{00000000-0005-0000-0000-00005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0/Versand_an_Himmler/2020_12_07/2020_12_07_Zeitreihe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1/Daten_2021/helpers/AGS_Name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1/Daten_2021/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_Panel"/>
      <sheetName val="UF_Filter"/>
      <sheetName val="MH"/>
      <sheetName val="Print_Map"/>
      <sheetName val="AGS_Namen"/>
      <sheetName val="Maps"/>
      <sheetName val="Print_UF"/>
      <sheetName val="Integrationsmonitoring"/>
      <sheetName val="Impressum"/>
      <sheetName val="Inhaltsverzeichnis"/>
      <sheetName val="Methodische Vorbemerkungen"/>
      <sheetName val="A1"/>
      <sheetName val="A2"/>
      <sheetName val="A3"/>
      <sheetName val="A4"/>
      <sheetName val="A5"/>
      <sheetName val="A6"/>
      <sheetName val="A7"/>
      <sheetName val="A8"/>
      <sheetName val="A9"/>
      <sheetName val="A10"/>
      <sheetName val="A11"/>
      <sheetName val="A12"/>
      <sheetName val="A13"/>
      <sheetName val="A14"/>
      <sheetName val="A15"/>
      <sheetName val="A16"/>
      <sheetName val="A17"/>
      <sheetName val="A18"/>
      <sheetName val="A19"/>
      <sheetName val="A20"/>
      <sheetName val="A21"/>
      <sheetName val="A22"/>
      <sheetName val="B1"/>
      <sheetName val="B2"/>
      <sheetName val="B3"/>
      <sheetName val="B4"/>
      <sheetName val="B5"/>
      <sheetName val="B6"/>
      <sheetName val="B7"/>
      <sheetName val="B8"/>
      <sheetName val="B9"/>
      <sheetName val="B10"/>
      <sheetName val="B11"/>
      <sheetName val="B12"/>
      <sheetName val="B13"/>
      <sheetName val="C1"/>
      <sheetName val="C2"/>
      <sheetName val="C3"/>
      <sheetName val="C4"/>
      <sheetName val="C6"/>
      <sheetName val="C7"/>
      <sheetName val="C8"/>
      <sheetName val="D1"/>
      <sheetName val="D2"/>
      <sheetName val="D3"/>
      <sheetName val="D5"/>
      <sheetName val="D6"/>
      <sheetName val="D7"/>
    </sheetNames>
    <sheetDataSet>
      <sheetData sheetId="0"/>
      <sheetData sheetId="1"/>
      <sheetData sheetId="2"/>
      <sheetData sheetId="3"/>
      <sheetData sheetId="4">
        <row r="1">
          <cell r="A1">
            <v>101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Stat.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 xml:space="preserve">   dav. Hannover  Lhst.</v>
          </cell>
        </row>
        <row r="20">
          <cell r="A20">
            <v>241999</v>
          </cell>
          <cell r="B20" t="str">
            <v xml:space="preserve">   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Stat.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 t="str">
            <v>360/ 354</v>
          </cell>
          <cell r="B34" t="str">
            <v>Lüchow-Dannenberg /
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Stat.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 t="str">
            <v>402 / 457</v>
          </cell>
          <cell r="B45" t="str">
            <v>Emden  Stadt / Leer</v>
          </cell>
        </row>
        <row r="46">
          <cell r="A46" t="str">
            <v>455 / 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Stat.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Delmenhorst.Stadt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6939-EBA6-48C6-B9BE-22857B932561}">
  <sheetPr codeName="Tabelle1"/>
  <dimension ref="B1:AE227"/>
  <sheetViews>
    <sheetView workbookViewId="0"/>
  </sheetViews>
  <sheetFormatPr baseColWidth="10" defaultRowHeight="15" x14ac:dyDescent="0.25"/>
  <sheetData>
    <row r="1" spans="2:31" ht="16.5" customHeight="1" x14ac:dyDescent="0.25">
      <c r="B1" s="1"/>
      <c r="C1" s="1"/>
      <c r="D1" s="58" t="s">
        <v>0</v>
      </c>
      <c r="E1" s="58" t="s">
        <v>1</v>
      </c>
      <c r="F1" s="59" t="s">
        <v>2</v>
      </c>
      <c r="G1" s="61" t="s">
        <v>3</v>
      </c>
      <c r="H1" s="62"/>
      <c r="I1" s="62"/>
      <c r="J1" s="62"/>
      <c r="K1" s="62"/>
      <c r="L1" s="62"/>
      <c r="M1" s="2"/>
      <c r="N1" s="2"/>
      <c r="O1" s="2"/>
      <c r="P1" s="2"/>
      <c r="Q1" s="2"/>
      <c r="R1" s="2"/>
      <c r="S1" s="2"/>
      <c r="T1" s="2"/>
      <c r="U1" s="2"/>
      <c r="W1" s="2"/>
      <c r="X1" s="2"/>
      <c r="Y1" s="2"/>
      <c r="Z1" s="2"/>
      <c r="AA1" s="2"/>
      <c r="AB1" s="2"/>
      <c r="AC1" s="2"/>
      <c r="AD1" s="2"/>
      <c r="AE1" s="2"/>
    </row>
    <row r="2" spans="2:31" ht="16.5" customHeight="1" x14ac:dyDescent="0.25">
      <c r="B2" s="1"/>
      <c r="C2" s="1"/>
      <c r="D2" s="58"/>
      <c r="E2" s="58"/>
      <c r="F2" s="60"/>
      <c r="G2" s="3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5" t="s">
        <v>9</v>
      </c>
      <c r="M2" s="2"/>
      <c r="N2" s="2"/>
      <c r="O2" s="2"/>
      <c r="P2" s="2"/>
      <c r="Q2" s="2"/>
      <c r="R2" s="2"/>
      <c r="S2" s="2"/>
      <c r="T2" s="2"/>
      <c r="U2" s="2"/>
      <c r="W2" s="2"/>
      <c r="X2" s="2"/>
      <c r="Y2" s="2"/>
      <c r="Z2" s="2"/>
      <c r="AA2" s="2"/>
      <c r="AB2" s="2"/>
      <c r="AC2" s="2"/>
      <c r="AD2" s="2"/>
      <c r="AE2" s="2"/>
    </row>
    <row r="3" spans="2:31" ht="16.5" customHeight="1" x14ac:dyDescent="0.25">
      <c r="B3" s="1"/>
      <c r="C3" s="1"/>
      <c r="D3" s="58"/>
      <c r="E3" s="58"/>
      <c r="F3" s="6" t="s">
        <v>10</v>
      </c>
      <c r="G3" s="61" t="s">
        <v>11</v>
      </c>
      <c r="H3" s="62"/>
      <c r="I3" s="62"/>
      <c r="J3" s="62"/>
      <c r="K3" s="62"/>
      <c r="L3" s="62"/>
      <c r="M3" s="2"/>
      <c r="N3" s="2"/>
      <c r="O3" s="2"/>
      <c r="P3" s="2"/>
      <c r="Q3" s="2"/>
      <c r="R3" s="2"/>
      <c r="S3" s="2"/>
      <c r="T3" s="2"/>
      <c r="U3" s="2"/>
      <c r="W3" s="2"/>
      <c r="X3" s="2"/>
      <c r="Y3" s="2"/>
      <c r="Z3" s="2"/>
      <c r="AA3" s="2"/>
      <c r="AB3" s="2"/>
      <c r="AC3" s="2"/>
      <c r="AD3" s="2"/>
      <c r="AE3" s="2"/>
    </row>
    <row r="4" spans="2:31" ht="8.25" customHeight="1" x14ac:dyDescent="0.25">
      <c r="B4" s="1" t="s">
        <v>12</v>
      </c>
      <c r="C4" s="1" t="s">
        <v>13</v>
      </c>
      <c r="D4" s="7" t="s">
        <v>14</v>
      </c>
      <c r="E4" s="7" t="s">
        <v>15</v>
      </c>
      <c r="F4" s="7" t="s">
        <v>16</v>
      </c>
      <c r="G4" s="7" t="s">
        <v>17</v>
      </c>
      <c r="H4" s="7" t="s">
        <v>18</v>
      </c>
      <c r="I4" s="7" t="s">
        <v>19</v>
      </c>
      <c r="J4" s="7" t="s">
        <v>20</v>
      </c>
      <c r="K4" s="7" t="s">
        <v>21</v>
      </c>
      <c r="L4" s="8" t="s">
        <v>22</v>
      </c>
      <c r="M4" s="2"/>
      <c r="O4" s="2"/>
      <c r="P4" s="2"/>
      <c r="Q4" s="2"/>
      <c r="R4" s="2"/>
      <c r="S4" s="2"/>
      <c r="T4" s="2"/>
      <c r="U4" s="2"/>
      <c r="W4" s="2"/>
      <c r="X4" s="2"/>
      <c r="Y4" s="2"/>
      <c r="Z4" s="2"/>
      <c r="AA4" s="2"/>
      <c r="AB4" s="2"/>
      <c r="AC4" s="2"/>
      <c r="AD4" s="2"/>
      <c r="AE4" s="2"/>
    </row>
    <row r="5" spans="2:31" ht="8.25" customHeight="1" x14ac:dyDescent="0.25">
      <c r="B5" s="9"/>
      <c r="C5" s="9">
        <v>101</v>
      </c>
      <c r="D5" s="10" t="e">
        <f t="array" ref="D5">VLOOKUP([1]!Datenbereich_A3[[#This Row],[AGS]],[1]AGS_Namen!$A$1:$B$68,2,FALSE)</f>
        <v>#VALUE!</v>
      </c>
      <c r="E5" s="11">
        <v>2019</v>
      </c>
      <c r="F5" s="12">
        <v>31445</v>
      </c>
      <c r="G5" s="13">
        <v>9.8266815073938627</v>
      </c>
      <c r="H5" s="13">
        <v>20.225791063762124</v>
      </c>
      <c r="I5" s="13">
        <v>15.996183813006837</v>
      </c>
      <c r="J5" s="13">
        <v>7.791381777707107</v>
      </c>
      <c r="K5" s="13">
        <v>4.3727142629988869</v>
      </c>
      <c r="L5" s="14">
        <v>41.771346795993004</v>
      </c>
      <c r="M5" s="2"/>
      <c r="O5" s="2"/>
      <c r="P5" s="2"/>
      <c r="Q5" s="2"/>
      <c r="R5" s="2"/>
      <c r="S5" s="2"/>
      <c r="T5" s="2"/>
      <c r="U5" s="2"/>
      <c r="W5" s="2"/>
      <c r="X5" s="2"/>
      <c r="Y5" s="2"/>
      <c r="Z5" s="2"/>
      <c r="AA5" s="2"/>
      <c r="AB5" s="2"/>
      <c r="AC5" s="2"/>
      <c r="AD5" s="2"/>
      <c r="AE5" s="2"/>
    </row>
    <row r="6" spans="2:31" ht="8.25" customHeight="1" x14ac:dyDescent="0.25">
      <c r="B6" s="9"/>
      <c r="C6" s="9">
        <v>102</v>
      </c>
      <c r="D6" s="10" t="e">
        <f t="array" ref="D6">VLOOKUP([1]!Datenbereich_A3[[#This Row],[AGS]],[1]AGS_Namen!$A$1:$B$68,2,FALSE)</f>
        <v>#VALUE!</v>
      </c>
      <c r="E6" s="11">
        <v>2019</v>
      </c>
      <c r="F6" s="12">
        <v>20175</v>
      </c>
      <c r="G6" s="13">
        <v>6.5427509293680295</v>
      </c>
      <c r="H6" s="13">
        <v>24.907063197026023</v>
      </c>
      <c r="I6" s="13">
        <v>22.627013630731103</v>
      </c>
      <c r="J6" s="13">
        <v>4.8822800495662948</v>
      </c>
      <c r="K6" s="13">
        <v>2.4535315985130111</v>
      </c>
      <c r="L6" s="14">
        <v>38.61214374225527</v>
      </c>
      <c r="M6" s="2"/>
      <c r="O6" s="2"/>
      <c r="P6" s="2"/>
      <c r="Q6" s="2"/>
      <c r="R6" s="2"/>
      <c r="S6" s="2"/>
      <c r="T6" s="2"/>
      <c r="U6" s="2"/>
      <c r="W6" s="2"/>
      <c r="X6" s="2"/>
      <c r="Y6" s="2"/>
      <c r="Z6" s="2"/>
      <c r="AA6" s="2"/>
      <c r="AB6" s="2"/>
      <c r="AC6" s="2"/>
      <c r="AD6" s="2"/>
      <c r="AE6" s="2"/>
    </row>
    <row r="7" spans="2:31" ht="8.25" customHeight="1" x14ac:dyDescent="0.25">
      <c r="B7" s="9"/>
      <c r="C7" s="9">
        <v>103</v>
      </c>
      <c r="D7" s="10" t="e">
        <f t="array" ref="D7">VLOOKUP([1]!Datenbereich_A3[[#This Row],[AGS]],[1]AGS_Namen!$A$1:$B$68,2,FALSE)</f>
        <v>#VALUE!</v>
      </c>
      <c r="E7" s="11">
        <v>2019</v>
      </c>
      <c r="F7" s="12">
        <v>20160</v>
      </c>
      <c r="G7" s="13">
        <v>7.8869047619047619</v>
      </c>
      <c r="H7" s="13">
        <v>19.171626984126984</v>
      </c>
      <c r="I7" s="13">
        <v>17.906746031746032</v>
      </c>
      <c r="J7" s="13">
        <v>7.762896825396826</v>
      </c>
      <c r="K7" s="13">
        <v>3.7450396825396823</v>
      </c>
      <c r="L7" s="14">
        <v>43.551587301587304</v>
      </c>
      <c r="M7" s="2"/>
      <c r="O7" s="2"/>
      <c r="P7" s="2"/>
      <c r="Q7" s="2"/>
      <c r="R7" s="2"/>
      <c r="S7" s="2"/>
      <c r="T7" s="2"/>
      <c r="U7" s="2"/>
      <c r="W7" s="2"/>
      <c r="X7" s="2"/>
      <c r="Y7" s="2"/>
      <c r="Z7" s="2"/>
      <c r="AA7" s="2"/>
      <c r="AB7" s="2"/>
      <c r="AC7" s="2"/>
      <c r="AD7" s="2"/>
      <c r="AE7" s="2"/>
    </row>
    <row r="8" spans="2:31" ht="8.25" customHeight="1" x14ac:dyDescent="0.25">
      <c r="B8" s="9"/>
      <c r="C8" s="9">
        <v>151</v>
      </c>
      <c r="D8" s="10" t="e">
        <f t="array" ref="D8">VLOOKUP([1]!Datenbereich_A3[[#This Row],[AGS]],[1]AGS_Namen!$A$1:$B$68,2,FALSE)</f>
        <v>#VALUE!</v>
      </c>
      <c r="E8" s="11">
        <v>2019</v>
      </c>
      <c r="F8" s="12">
        <v>12330</v>
      </c>
      <c r="G8" s="13">
        <v>5.7583130575831305</v>
      </c>
      <c r="H8" s="13">
        <v>25.42579075425791</v>
      </c>
      <c r="I8" s="13">
        <v>14.152473641524738</v>
      </c>
      <c r="J8" s="13">
        <v>6.2043795620437958</v>
      </c>
      <c r="K8" s="13">
        <v>3.5685320356853207</v>
      </c>
      <c r="L8" s="14">
        <v>44.89051094890511</v>
      </c>
      <c r="M8" s="2"/>
      <c r="O8" s="2"/>
      <c r="P8" s="2"/>
      <c r="Q8" s="2"/>
      <c r="R8" s="2"/>
      <c r="S8" s="2"/>
      <c r="T8" s="2"/>
      <c r="U8" s="2"/>
      <c r="W8" s="2"/>
      <c r="X8" s="2"/>
      <c r="Y8" s="2"/>
      <c r="Z8" s="2"/>
      <c r="AA8" s="2"/>
      <c r="AB8" s="2"/>
      <c r="AC8" s="2"/>
      <c r="AD8" s="2"/>
      <c r="AE8" s="2"/>
    </row>
    <row r="9" spans="2:31" ht="8.25" customHeight="1" x14ac:dyDescent="0.25">
      <c r="B9" s="9"/>
      <c r="C9" s="9">
        <v>153</v>
      </c>
      <c r="D9" s="10" t="e">
        <f t="array" ref="D9">VLOOKUP([1]!Datenbereich_A3[[#This Row],[AGS]],[1]AGS_Namen!$A$1:$B$68,2,FALSE)</f>
        <v>#VALUE!</v>
      </c>
      <c r="E9" s="11">
        <v>2019</v>
      </c>
      <c r="F9" s="12">
        <v>14020</v>
      </c>
      <c r="G9" s="13">
        <v>12.660485021398001</v>
      </c>
      <c r="H9" s="13">
        <v>28.352353780313837</v>
      </c>
      <c r="I9" s="13">
        <v>18.794579172610558</v>
      </c>
      <c r="J9" s="13">
        <v>5.6704707560627678</v>
      </c>
      <c r="K9" s="13">
        <v>2.8887303851640516</v>
      </c>
      <c r="L9" s="14">
        <v>31.633380884450784</v>
      </c>
      <c r="M9" s="2"/>
      <c r="O9" s="2"/>
      <c r="P9" s="2"/>
      <c r="Q9" s="2"/>
      <c r="R9" s="2"/>
      <c r="S9" s="2"/>
      <c r="T9" s="2"/>
      <c r="U9" s="2"/>
      <c r="W9" s="2"/>
      <c r="X9" s="2"/>
      <c r="Y9" s="2"/>
      <c r="Z9" s="2"/>
      <c r="AA9" s="2"/>
      <c r="AB9" s="2"/>
      <c r="AC9" s="2"/>
      <c r="AD9" s="2"/>
      <c r="AE9" s="2"/>
    </row>
    <row r="10" spans="2:31" ht="8.25" customHeight="1" x14ac:dyDescent="0.25">
      <c r="B10" s="9"/>
      <c r="C10" s="9">
        <v>154</v>
      </c>
      <c r="D10" s="10" t="e">
        <f t="array" ref="D10">VLOOKUP([1]!Datenbereich_A3[[#This Row],[AGS]],[1]AGS_Namen!$A$1:$B$68,2,FALSE)</f>
        <v>#VALUE!</v>
      </c>
      <c r="E10" s="11">
        <v>2019</v>
      </c>
      <c r="F10" s="12">
        <v>6535</v>
      </c>
      <c r="G10" s="13">
        <v>7.345065034429993</v>
      </c>
      <c r="H10" s="13">
        <v>20.657995409334355</v>
      </c>
      <c r="I10" s="13">
        <v>20.88752869166029</v>
      </c>
      <c r="J10" s="13">
        <v>7.345065034429993</v>
      </c>
      <c r="K10" s="13">
        <v>3.2899770466717673</v>
      </c>
      <c r="L10" s="14">
        <v>40.474368783473601</v>
      </c>
      <c r="M10" s="2"/>
      <c r="O10" s="2"/>
      <c r="P10" s="2"/>
      <c r="Q10" s="2"/>
      <c r="R10" s="2"/>
      <c r="S10" s="2"/>
      <c r="T10" s="2"/>
      <c r="U10" s="2"/>
      <c r="W10" s="2"/>
      <c r="X10" s="2"/>
      <c r="Y10" s="2"/>
      <c r="Z10" s="2"/>
      <c r="AA10" s="2"/>
      <c r="AB10" s="2"/>
      <c r="AC10" s="2"/>
      <c r="AD10" s="2"/>
      <c r="AE10" s="2"/>
    </row>
    <row r="11" spans="2:31" ht="8.25" customHeight="1" x14ac:dyDescent="0.25">
      <c r="B11" s="9"/>
      <c r="C11" s="9">
        <v>155</v>
      </c>
      <c r="D11" s="10" t="e">
        <f t="array" ref="D11">VLOOKUP([1]!Datenbereich_A3[[#This Row],[AGS]],[1]AGS_Namen!$A$1:$B$68,2,FALSE)</f>
        <v>#VALUE!</v>
      </c>
      <c r="E11" s="11">
        <v>2019</v>
      </c>
      <c r="F11" s="12">
        <v>9225</v>
      </c>
      <c r="G11" s="13">
        <v>6.3414634146341466</v>
      </c>
      <c r="H11" s="13">
        <v>22.601626016260163</v>
      </c>
      <c r="I11" s="13">
        <v>21.463414634146343</v>
      </c>
      <c r="J11" s="13">
        <v>6.5040650406504072</v>
      </c>
      <c r="K11" s="13">
        <v>3.4688346883468837</v>
      </c>
      <c r="L11" s="14">
        <v>39.566395663956641</v>
      </c>
      <c r="M11" s="2"/>
      <c r="O11" s="2"/>
      <c r="P11" s="2"/>
      <c r="Q11" s="2"/>
      <c r="R11" s="2"/>
      <c r="S11" s="2"/>
      <c r="T11" s="2"/>
      <c r="U11" s="2"/>
      <c r="W11" s="2"/>
      <c r="X11" s="2"/>
      <c r="Y11" s="2"/>
      <c r="Z11" s="2"/>
      <c r="AA11" s="2"/>
      <c r="AB11" s="2"/>
      <c r="AC11" s="2"/>
      <c r="AD11" s="2"/>
      <c r="AE11" s="2"/>
    </row>
    <row r="12" spans="2:31" ht="8.25" customHeight="1" x14ac:dyDescent="0.25">
      <c r="B12" s="9"/>
      <c r="C12" s="9">
        <v>157</v>
      </c>
      <c r="D12" s="10" t="e">
        <f t="array" ref="D12">VLOOKUP([1]!Datenbereich_A3[[#This Row],[AGS]],[1]AGS_Namen!$A$1:$B$68,2,FALSE)</f>
        <v>#VALUE!</v>
      </c>
      <c r="E12" s="11">
        <v>2019</v>
      </c>
      <c r="F12" s="12">
        <v>11340</v>
      </c>
      <c r="G12" s="13">
        <v>6.8342151675485008</v>
      </c>
      <c r="H12" s="13">
        <v>21.781305114638446</v>
      </c>
      <c r="I12" s="13">
        <v>19.797178130511465</v>
      </c>
      <c r="J12" s="13">
        <v>6.3051146384479715</v>
      </c>
      <c r="K12" s="13">
        <v>3.7918871252204585</v>
      </c>
      <c r="L12" s="14">
        <v>41.490299823633158</v>
      </c>
      <c r="M12" s="2"/>
      <c r="O12" s="2"/>
      <c r="P12" s="2"/>
      <c r="Q12" s="2"/>
      <c r="R12" s="2"/>
      <c r="S12" s="2"/>
      <c r="T12" s="2"/>
      <c r="U12" s="2"/>
      <c r="W12" s="2"/>
      <c r="X12" s="2"/>
      <c r="Y12" s="2"/>
      <c r="Z12" s="2"/>
      <c r="AA12" s="2"/>
      <c r="AB12" s="2"/>
      <c r="AC12" s="2"/>
      <c r="AD12" s="2"/>
      <c r="AE12" s="2"/>
    </row>
    <row r="13" spans="2:31" ht="8.25" customHeight="1" x14ac:dyDescent="0.25">
      <c r="B13" s="9"/>
      <c r="C13" s="9">
        <v>158</v>
      </c>
      <c r="D13" s="10" t="e">
        <f t="array" ref="D13">VLOOKUP([1]!Datenbereich_A3[[#This Row],[AGS]],[1]AGS_Namen!$A$1:$B$68,2,FALSE)</f>
        <v>#VALUE!</v>
      </c>
      <c r="E13" s="11">
        <v>2019</v>
      </c>
      <c r="F13" s="12">
        <v>7675</v>
      </c>
      <c r="G13" s="13">
        <v>5.2117263843648214</v>
      </c>
      <c r="H13" s="13">
        <v>22.410423452768729</v>
      </c>
      <c r="I13" s="13">
        <v>21.758957654723126</v>
      </c>
      <c r="J13" s="13">
        <v>6.7752442996742674</v>
      </c>
      <c r="K13" s="13">
        <v>3.3876221498371337</v>
      </c>
      <c r="L13" s="14">
        <v>40.45602605863192</v>
      </c>
      <c r="M13" s="2"/>
      <c r="O13" s="2"/>
      <c r="P13" s="2"/>
      <c r="Q13" s="2"/>
      <c r="R13" s="2"/>
      <c r="S13" s="2"/>
      <c r="T13" s="2"/>
      <c r="U13" s="2"/>
      <c r="W13" s="2"/>
      <c r="X13" s="2"/>
      <c r="Y13" s="2"/>
      <c r="Z13" s="2"/>
      <c r="AA13" s="2"/>
      <c r="AB13" s="2"/>
      <c r="AC13" s="2"/>
      <c r="AD13" s="2"/>
      <c r="AE13" s="2"/>
    </row>
    <row r="14" spans="2:31" ht="8.25" customHeight="1" x14ac:dyDescent="0.25">
      <c r="B14" s="9"/>
      <c r="C14" s="9">
        <v>159</v>
      </c>
      <c r="D14" s="10" t="e">
        <f t="array" ref="D14">VLOOKUP([1]!Datenbereich_A3[[#This Row],[AGS]],[1]AGS_Namen!$A$1:$B$68,2,FALSE)</f>
        <v>#VALUE!</v>
      </c>
      <c r="E14" s="11">
        <v>2019</v>
      </c>
      <c r="F14" s="12">
        <v>32090</v>
      </c>
      <c r="G14" s="13">
        <v>9.1305702711124965</v>
      </c>
      <c r="H14" s="13">
        <v>24.914303521346216</v>
      </c>
      <c r="I14" s="13">
        <v>18.152072296665629</v>
      </c>
      <c r="J14" s="13">
        <v>7.0115300716734188</v>
      </c>
      <c r="K14" s="13">
        <v>3.3655344344032412</v>
      </c>
      <c r="L14" s="14">
        <v>37.441570582736055</v>
      </c>
      <c r="M14" s="2"/>
      <c r="O14" s="2"/>
      <c r="P14" s="2"/>
      <c r="Q14" s="2"/>
      <c r="R14" s="2"/>
      <c r="S14" s="2"/>
      <c r="T14" s="2"/>
      <c r="U14" s="2"/>
      <c r="W14" s="2"/>
      <c r="X14" s="2"/>
      <c r="Y14" s="2"/>
      <c r="Z14" s="2"/>
      <c r="AA14" s="2"/>
      <c r="AB14" s="2"/>
      <c r="AC14" s="2"/>
      <c r="AD14" s="2"/>
      <c r="AE14" s="2"/>
    </row>
    <row r="15" spans="2:31" ht="8.25" customHeight="1" x14ac:dyDescent="0.25">
      <c r="B15" s="9"/>
      <c r="C15" s="9">
        <v>159016</v>
      </c>
      <c r="D15" s="10" t="str">
        <f t="array" ref="D15">VLOOKUP([1]!Datenbereich_A3[[#This Row],[AGS]],[1]AGS_Namen!$A$1:$B$68,2,FALSE)</f>
        <v>Braunschweig, Stadt</v>
      </c>
      <c r="E15" s="11">
        <v>2019</v>
      </c>
      <c r="F15" s="12">
        <v>18815</v>
      </c>
      <c r="G15" s="13">
        <v>8.5304278501195867</v>
      </c>
      <c r="H15" s="13">
        <v>27.55779962795642</v>
      </c>
      <c r="I15" s="13">
        <v>17.990964655859688</v>
      </c>
      <c r="J15" s="13">
        <v>8.1849588094605359</v>
      </c>
      <c r="K15" s="13">
        <v>3.6141376561254317</v>
      </c>
      <c r="L15" s="14">
        <v>34.121711400478347</v>
      </c>
      <c r="M15" s="2"/>
      <c r="O15" s="2"/>
      <c r="P15" s="2"/>
      <c r="Q15" s="2"/>
      <c r="R15" s="2"/>
      <c r="S15" s="2"/>
      <c r="T15" s="2"/>
      <c r="U15" s="2"/>
      <c r="W15" s="2"/>
      <c r="X15" s="2"/>
      <c r="Y15" s="2"/>
      <c r="Z15" s="2"/>
      <c r="AA15" s="2"/>
      <c r="AB15" s="2"/>
      <c r="AC15" s="2"/>
      <c r="AD15" s="2"/>
      <c r="AE15" s="2"/>
    </row>
    <row r="16" spans="2:31" ht="8.25" customHeight="1" x14ac:dyDescent="0.25">
      <c r="B16" s="9"/>
      <c r="C16" s="9">
        <v>159999</v>
      </c>
      <c r="D16" s="10" t="str">
        <f t="array" ref="D16">VLOOKUP([1]!Datenbereich_A3[[#This Row],[AGS]],[1]AGS_Namen!$A$1:$B$68,2,FALSE)</f>
        <v>Salzgitter, Stadt</v>
      </c>
      <c r="E16" s="11">
        <v>2019</v>
      </c>
      <c r="F16" s="12">
        <v>13275</v>
      </c>
      <c r="G16" s="13">
        <v>9.9811676082862526</v>
      </c>
      <c r="H16" s="13">
        <v>21.167608286252353</v>
      </c>
      <c r="I16" s="13">
        <v>18.380414312617702</v>
      </c>
      <c r="J16" s="13">
        <v>5.3483992467043313</v>
      </c>
      <c r="K16" s="13">
        <v>3.0131826741996233</v>
      </c>
      <c r="L16" s="14">
        <v>42.146892655367232</v>
      </c>
      <c r="M16" s="2"/>
      <c r="O16" s="2"/>
      <c r="P16" s="2"/>
      <c r="Q16" s="2"/>
      <c r="R16" s="2"/>
      <c r="S16" s="2"/>
      <c r="T16" s="2"/>
      <c r="U16" s="2"/>
      <c r="W16" s="2"/>
      <c r="X16" s="2"/>
      <c r="Y16" s="2"/>
      <c r="Z16" s="2"/>
      <c r="AA16" s="2"/>
      <c r="AB16" s="2"/>
      <c r="AC16" s="2"/>
      <c r="AD16" s="2"/>
      <c r="AE16" s="2"/>
    </row>
    <row r="17" spans="2:31" s="15" customFormat="1" ht="16.5" customHeight="1" x14ac:dyDescent="0.15">
      <c r="B17" s="16"/>
      <c r="C17" s="16">
        <v>1</v>
      </c>
      <c r="D17" s="17" t="str">
        <f t="array" ref="D17">VLOOKUP([1]!Datenbereich_A3[[#This Row],[AGS]],[1]AGS_Namen!$A$1:$B$68,2,FALSE)</f>
        <v>Wolfsburg, Stadt</v>
      </c>
      <c r="E17" s="18">
        <v>2019</v>
      </c>
      <c r="F17" s="19">
        <v>165000</v>
      </c>
      <c r="G17" s="20">
        <v>8.2787878787878793</v>
      </c>
      <c r="H17" s="20">
        <v>23.018181818181819</v>
      </c>
      <c r="I17" s="20">
        <v>18.59090909090909</v>
      </c>
      <c r="J17" s="20">
        <v>6.745454545454546</v>
      </c>
      <c r="K17" s="20">
        <v>3.4969696969696971</v>
      </c>
      <c r="L17" s="21">
        <v>39.872727272727268</v>
      </c>
      <c r="M17" s="22"/>
      <c r="O17" s="22"/>
      <c r="P17" s="22"/>
      <c r="Q17" s="22"/>
      <c r="R17" s="22"/>
      <c r="S17" s="22"/>
      <c r="T17" s="22"/>
      <c r="U17" s="22"/>
      <c r="W17" s="22"/>
      <c r="X17" s="22"/>
      <c r="Y17" s="22"/>
      <c r="Z17" s="22"/>
      <c r="AA17" s="22"/>
      <c r="AB17" s="22"/>
      <c r="AC17" s="22"/>
      <c r="AD17" s="22"/>
      <c r="AE17" s="22"/>
    </row>
    <row r="18" spans="2:31" ht="8.25" customHeight="1" x14ac:dyDescent="0.25">
      <c r="B18" s="9"/>
      <c r="C18" s="9">
        <v>241</v>
      </c>
      <c r="D18" s="10" t="str">
        <f t="array" ref="D18">VLOOKUP([1]!Datenbereich_A3[[#This Row],[AGS]],[1]AGS_Namen!$A$1:$B$68,2,FALSE)</f>
        <v>Gifhorn</v>
      </c>
      <c r="E18" s="11">
        <v>2019</v>
      </c>
      <c r="F18" s="12">
        <v>185310</v>
      </c>
      <c r="G18" s="13">
        <v>4.5248502509308723</v>
      </c>
      <c r="H18" s="13">
        <v>19.408018995197239</v>
      </c>
      <c r="I18" s="13">
        <v>17.87275376396309</v>
      </c>
      <c r="J18" s="13">
        <v>7.9866170201284339</v>
      </c>
      <c r="K18" s="13">
        <v>4.6516647779396685</v>
      </c>
      <c r="L18" s="14">
        <v>45.556095191840704</v>
      </c>
      <c r="M18" s="2"/>
      <c r="O18" s="2"/>
      <c r="P18" s="2"/>
      <c r="Q18" s="2"/>
      <c r="R18" s="2"/>
      <c r="S18" s="2"/>
      <c r="T18" s="2"/>
      <c r="U18" s="2"/>
      <c r="W18" s="2"/>
      <c r="X18" s="2"/>
      <c r="Y18" s="2"/>
      <c r="Z18" s="2"/>
      <c r="AA18" s="2"/>
      <c r="AB18" s="2"/>
      <c r="AC18" s="2"/>
      <c r="AD18" s="2"/>
      <c r="AE18" s="2"/>
    </row>
    <row r="19" spans="2:31" ht="8.25" customHeight="1" x14ac:dyDescent="0.25">
      <c r="B19" s="9"/>
      <c r="C19" s="9">
        <v>241001</v>
      </c>
      <c r="D19" s="10" t="str">
        <f t="array" ref="D19">VLOOKUP([1]!Datenbereich_A3[[#This Row],[AGS]],[1]AGS_Namen!$A$1:$B$68,2,FALSE)</f>
        <v>Goslar</v>
      </c>
      <c r="E19" s="11">
        <v>2019</v>
      </c>
      <c r="F19" s="12">
        <v>113440</v>
      </c>
      <c r="G19" s="13">
        <v>4.0329689703808178</v>
      </c>
      <c r="H19" s="13">
        <v>18.935119887165023</v>
      </c>
      <c r="I19" s="13">
        <v>16.67842031029619</v>
      </c>
      <c r="J19" s="13">
        <v>8.5772214386459815</v>
      </c>
      <c r="K19" s="13">
        <v>5.2582863187588158</v>
      </c>
      <c r="L19" s="14">
        <v>46.517983074753175</v>
      </c>
      <c r="M19" s="2"/>
      <c r="O19" s="2"/>
      <c r="P19" s="2"/>
      <c r="Q19" s="2"/>
      <c r="R19" s="2"/>
      <c r="S19" s="2"/>
      <c r="T19" s="2"/>
      <c r="U19" s="2"/>
      <c r="W19" s="2"/>
      <c r="X19" s="2"/>
      <c r="Y19" s="2"/>
      <c r="Z19" s="2"/>
      <c r="AA19" s="2"/>
      <c r="AB19" s="2"/>
      <c r="AC19" s="2"/>
      <c r="AD19" s="2"/>
      <c r="AE19" s="2"/>
    </row>
    <row r="20" spans="2:31" ht="8.25" customHeight="1" x14ac:dyDescent="0.25">
      <c r="B20" s="9"/>
      <c r="C20" s="9">
        <v>241999</v>
      </c>
      <c r="D20" s="10" t="str">
        <f t="array" ref="D20">VLOOKUP([1]!Datenbereich_A3[[#This Row],[AGS]],[1]AGS_Namen!$A$1:$B$68,2,FALSE)</f>
        <v>Helmstedt</v>
      </c>
      <c r="E20" s="11">
        <v>2019</v>
      </c>
      <c r="F20" s="12">
        <v>71870</v>
      </c>
      <c r="G20" s="13">
        <v>5.3012383470154445</v>
      </c>
      <c r="H20" s="13">
        <v>20.154445526645333</v>
      </c>
      <c r="I20" s="13">
        <v>19.757896201474885</v>
      </c>
      <c r="J20" s="13">
        <v>7.054403784611103</v>
      </c>
      <c r="K20" s="13">
        <v>3.6941700292194244</v>
      </c>
      <c r="L20" s="14">
        <v>44.037846111033815</v>
      </c>
      <c r="M20" s="2"/>
      <c r="O20" s="2"/>
      <c r="P20" s="2"/>
      <c r="Q20" s="2"/>
      <c r="R20" s="2"/>
      <c r="S20" s="2"/>
      <c r="T20" s="2"/>
      <c r="U20" s="2"/>
      <c r="W20" s="2"/>
      <c r="X20" s="2"/>
      <c r="Y20" s="2"/>
      <c r="Z20" s="2"/>
      <c r="AA20" s="2"/>
      <c r="AB20" s="2"/>
      <c r="AC20" s="2"/>
      <c r="AD20" s="2"/>
      <c r="AE20" s="2"/>
    </row>
    <row r="21" spans="2:31" ht="8.25" customHeight="1" x14ac:dyDescent="0.25">
      <c r="B21" s="9"/>
      <c r="C21" s="9">
        <v>251</v>
      </c>
      <c r="D21" s="10" t="str">
        <f t="array" ref="D21">VLOOKUP([1]!Datenbereich_A3[[#This Row],[AGS]],[1]AGS_Namen!$A$1:$B$68,2,FALSE)</f>
        <v>Northeim</v>
      </c>
      <c r="E21" s="11">
        <v>2019</v>
      </c>
      <c r="F21" s="12">
        <v>18545</v>
      </c>
      <c r="G21" s="13">
        <v>6.255055270962524</v>
      </c>
      <c r="H21" s="13">
        <v>25.667295767053115</v>
      </c>
      <c r="I21" s="13">
        <v>20.221083850094367</v>
      </c>
      <c r="J21" s="13">
        <v>10.19142626044756</v>
      </c>
      <c r="K21" s="13">
        <v>4.6373685629549746</v>
      </c>
      <c r="L21" s="14">
        <v>33.02777028848746</v>
      </c>
      <c r="M21" s="2"/>
      <c r="O21" s="2"/>
      <c r="P21" s="2"/>
      <c r="Q21" s="2"/>
      <c r="R21" s="2"/>
      <c r="S21" s="2"/>
      <c r="T21" s="2"/>
      <c r="U21" s="2"/>
      <c r="W21" s="2"/>
      <c r="X21" s="2"/>
      <c r="Y21" s="2"/>
      <c r="Z21" s="2"/>
      <c r="AA21" s="2"/>
      <c r="AB21" s="2"/>
      <c r="AC21" s="2"/>
      <c r="AD21" s="2"/>
      <c r="AE21" s="2"/>
    </row>
    <row r="22" spans="2:31" ht="8.25" customHeight="1" x14ac:dyDescent="0.25">
      <c r="B22" s="9"/>
      <c r="C22" s="9">
        <v>252</v>
      </c>
      <c r="D22" s="10" t="str">
        <f t="array" ref="D22">VLOOKUP([1]!Datenbereich_A3[[#This Row],[AGS]],[1]AGS_Namen!$A$1:$B$68,2,FALSE)</f>
        <v>Peine</v>
      </c>
      <c r="E22" s="11">
        <v>2019</v>
      </c>
      <c r="F22" s="12">
        <v>16910</v>
      </c>
      <c r="G22" s="13">
        <v>5.3814311058545243</v>
      </c>
      <c r="H22" s="13">
        <v>19.574216439976343</v>
      </c>
      <c r="I22" s="13">
        <v>20.934358367829688</v>
      </c>
      <c r="J22" s="13">
        <v>5.7066824364281485</v>
      </c>
      <c r="K22" s="13">
        <v>3.6073329390892965</v>
      </c>
      <c r="L22" s="14">
        <v>44.795978710821998</v>
      </c>
      <c r="M22" s="2"/>
      <c r="O22" s="2"/>
      <c r="P22" s="2"/>
      <c r="Q22" s="2"/>
      <c r="R22" s="2"/>
      <c r="S22" s="2"/>
      <c r="T22" s="2"/>
      <c r="U22" s="2"/>
      <c r="W22" s="2"/>
      <c r="X22" s="2"/>
      <c r="Y22" s="2"/>
      <c r="Z22" s="2"/>
      <c r="AA22" s="2"/>
      <c r="AB22" s="2"/>
      <c r="AC22" s="2"/>
      <c r="AD22" s="2"/>
      <c r="AE22" s="2"/>
    </row>
    <row r="23" spans="2:31" ht="8.25" customHeight="1" x14ac:dyDescent="0.25">
      <c r="B23" s="9"/>
      <c r="C23" s="9">
        <v>254</v>
      </c>
      <c r="D23" s="10" t="str">
        <f t="array" ref="D23">VLOOKUP([1]!Datenbereich_A3[[#This Row],[AGS]],[1]AGS_Namen!$A$1:$B$68,2,FALSE)</f>
        <v>Wolfenbüttel</v>
      </c>
      <c r="E23" s="11">
        <v>2019</v>
      </c>
      <c r="F23" s="12">
        <v>24995</v>
      </c>
      <c r="G23" s="13">
        <v>7.1814362872574522</v>
      </c>
      <c r="H23" s="13">
        <v>21.444288857771554</v>
      </c>
      <c r="I23" s="13">
        <v>20.064012802560512</v>
      </c>
      <c r="J23" s="13">
        <v>6.7813562712542508</v>
      </c>
      <c r="K23" s="13">
        <v>4.2608521704340863</v>
      </c>
      <c r="L23" s="14">
        <v>40.268053610722141</v>
      </c>
      <c r="M23" s="2"/>
      <c r="O23" s="2"/>
      <c r="P23" s="2"/>
      <c r="Q23" s="2"/>
      <c r="R23" s="2"/>
      <c r="S23" s="2"/>
      <c r="T23" s="2"/>
      <c r="U23" s="2"/>
      <c r="W23" s="2"/>
      <c r="X23" s="2"/>
      <c r="Y23" s="2"/>
      <c r="Z23" s="2"/>
      <c r="AA23" s="2"/>
      <c r="AB23" s="2"/>
      <c r="AC23" s="2"/>
      <c r="AD23" s="2"/>
      <c r="AE23" s="2"/>
    </row>
    <row r="24" spans="2:31" ht="8.25" customHeight="1" x14ac:dyDescent="0.25">
      <c r="B24" s="9"/>
      <c r="C24" s="9">
        <v>254021</v>
      </c>
      <c r="D24" s="10" t="str">
        <f t="array" ref="D24">VLOOKUP([1]!Datenbereich_A3[[#This Row],[AGS]],[1]AGS_Namen!$A$1:$B$68,2,FALSE)</f>
        <v>Göttingen</v>
      </c>
      <c r="E24" s="11">
        <v>2019</v>
      </c>
      <c r="F24" s="12">
        <v>14830</v>
      </c>
      <c r="G24" s="13">
        <v>6.9790964261631823</v>
      </c>
      <c r="H24" s="13">
        <v>20.600134861766691</v>
      </c>
      <c r="I24" s="13">
        <v>20.43155765340526</v>
      </c>
      <c r="J24" s="13">
        <v>6.9116655428186107</v>
      </c>
      <c r="K24" s="13">
        <v>4.4504383007417392</v>
      </c>
      <c r="L24" s="14">
        <v>40.660822656776801</v>
      </c>
      <c r="M24" s="2"/>
      <c r="O24" s="2"/>
      <c r="P24" s="2"/>
      <c r="Q24" s="2"/>
      <c r="R24" s="2"/>
      <c r="S24" s="2"/>
      <c r="T24" s="2"/>
      <c r="U24" s="2"/>
      <c r="W24" s="2"/>
      <c r="X24" s="2"/>
      <c r="Y24" s="2"/>
      <c r="Z24" s="2"/>
      <c r="AA24" s="2"/>
      <c r="AB24" s="2"/>
      <c r="AC24" s="2"/>
      <c r="AD24" s="2"/>
      <c r="AE24" s="2"/>
    </row>
    <row r="25" spans="2:31" ht="8.25" customHeight="1" x14ac:dyDescent="0.25">
      <c r="B25" s="9"/>
      <c r="C25" s="9">
        <v>254999</v>
      </c>
      <c r="D25" s="10" t="str">
        <f t="array" ref="D25">VLOOKUP([1]!Datenbereich_A3[[#This Row],[AGS]],[1]AGS_Namen!$A$1:$B$68,2,FALSE)</f>
        <v xml:space="preserve">   dav. Göttingen, Stadt</v>
      </c>
      <c r="E25" s="11">
        <v>2019</v>
      </c>
      <c r="F25" s="12">
        <v>10165</v>
      </c>
      <c r="G25" s="13">
        <v>7.4766355140186906</v>
      </c>
      <c r="H25" s="13">
        <v>22.675848499754061</v>
      </c>
      <c r="I25" s="13">
        <v>19.527791441219872</v>
      </c>
      <c r="J25" s="13">
        <v>6.5912444663059526</v>
      </c>
      <c r="K25" s="13">
        <v>3.9842597147073291</v>
      </c>
      <c r="L25" s="14">
        <v>39.695031972454501</v>
      </c>
      <c r="M25" s="2"/>
      <c r="O25" s="2"/>
      <c r="P25" s="2"/>
      <c r="Q25" s="2"/>
      <c r="R25" s="2"/>
      <c r="S25" s="2"/>
      <c r="T25" s="2"/>
      <c r="U25" s="2"/>
      <c r="W25" s="2"/>
      <c r="X25" s="2"/>
      <c r="Y25" s="2"/>
      <c r="Z25" s="2"/>
      <c r="AA25" s="2"/>
      <c r="AB25" s="2"/>
      <c r="AC25" s="2"/>
      <c r="AD25" s="2"/>
      <c r="AE25" s="2"/>
    </row>
    <row r="26" spans="2:31" ht="8.25" customHeight="1" x14ac:dyDescent="0.25">
      <c r="B26" s="9"/>
      <c r="C26" s="9">
        <v>255</v>
      </c>
      <c r="D26" s="10" t="str">
        <f t="array" ref="D26">VLOOKUP([1]!Datenbereich_A3[[#This Row],[AGS]],[1]AGS_Namen!$A$1:$B$68,2,FALSE)</f>
        <v xml:space="preserve">   dav. Göttingen, Umland</v>
      </c>
      <c r="E26" s="11">
        <v>2019</v>
      </c>
      <c r="F26" s="12">
        <v>4275</v>
      </c>
      <c r="G26" s="13">
        <v>4.4444444444444446</v>
      </c>
      <c r="H26" s="13">
        <v>19.415204678362574</v>
      </c>
      <c r="I26" s="13">
        <v>20</v>
      </c>
      <c r="J26" s="13">
        <v>3.8596491228070176</v>
      </c>
      <c r="K26" s="13">
        <v>3.3918128654970756</v>
      </c>
      <c r="L26" s="14">
        <v>49.005847953216374</v>
      </c>
      <c r="M26" s="2"/>
      <c r="O26" s="2"/>
      <c r="P26" s="2"/>
      <c r="Q26" s="2"/>
      <c r="R26" s="2"/>
      <c r="S26" s="2"/>
      <c r="T26" s="2"/>
      <c r="U26" s="2"/>
      <c r="W26" s="2"/>
      <c r="X26" s="2"/>
      <c r="Y26" s="2"/>
      <c r="Z26" s="2"/>
      <c r="AA26" s="2"/>
      <c r="AB26" s="2"/>
      <c r="AC26" s="2"/>
      <c r="AD26" s="2"/>
      <c r="AE26" s="2"/>
    </row>
    <row r="27" spans="2:31" ht="8.25" customHeight="1" x14ac:dyDescent="0.25">
      <c r="B27" s="9"/>
      <c r="C27" s="9">
        <v>256</v>
      </c>
      <c r="D27" s="10" t="str">
        <f t="array" ref="D27">VLOOKUP([1]!Datenbereich_A3[[#This Row],[AGS]],[1]AGS_Namen!$A$1:$B$68,2,FALSE)</f>
        <v>Stat. Region Braunschweig</v>
      </c>
      <c r="E27" s="11">
        <v>2019</v>
      </c>
      <c r="F27" s="12">
        <v>10345</v>
      </c>
      <c r="G27" s="13">
        <v>7.249879168680522</v>
      </c>
      <c r="H27" s="13">
        <v>23.537941034316095</v>
      </c>
      <c r="I27" s="13">
        <v>24.359594006766557</v>
      </c>
      <c r="J27" s="13">
        <v>6.6698888351860806</v>
      </c>
      <c r="K27" s="13">
        <v>4.0599323344610925</v>
      </c>
      <c r="L27" s="14">
        <v>34.171097148380859</v>
      </c>
      <c r="M27" s="2"/>
      <c r="O27" s="2"/>
      <c r="P27" s="2"/>
      <c r="Q27" s="2"/>
      <c r="R27" s="2"/>
      <c r="S27" s="2"/>
      <c r="T27" s="2"/>
      <c r="U27" s="2"/>
      <c r="W27" s="2"/>
      <c r="X27" s="2"/>
      <c r="Y27" s="2"/>
      <c r="Z27" s="2"/>
      <c r="AA27" s="2"/>
      <c r="AB27" s="2"/>
      <c r="AC27" s="2"/>
      <c r="AD27" s="2"/>
      <c r="AE27" s="2"/>
    </row>
    <row r="28" spans="2:31" ht="8.25" customHeight="1" x14ac:dyDescent="0.25">
      <c r="B28" s="9"/>
      <c r="C28" s="9">
        <v>257</v>
      </c>
      <c r="D28" s="10" t="str">
        <f t="array" ref="D28">VLOOKUP([1]!Datenbereich_A3[[#This Row],[AGS]],[1]AGS_Namen!$A$1:$B$68,2,FALSE)</f>
        <v>Hannover, Region</v>
      </c>
      <c r="E28" s="11">
        <v>2019</v>
      </c>
      <c r="F28" s="12">
        <v>14255</v>
      </c>
      <c r="G28" s="13">
        <v>5.7874430024552792</v>
      </c>
      <c r="H28" s="13">
        <v>23.184847421957208</v>
      </c>
      <c r="I28" s="13">
        <v>18.835496317081727</v>
      </c>
      <c r="J28" s="13">
        <v>5.4366888810943532</v>
      </c>
      <c r="K28" s="13">
        <v>3.402314977200982</v>
      </c>
      <c r="L28" s="14">
        <v>43.388284812346548</v>
      </c>
      <c r="M28" s="2"/>
      <c r="O28" s="2"/>
      <c r="P28" s="2"/>
      <c r="Q28" s="2"/>
      <c r="R28" s="2"/>
      <c r="S28" s="2"/>
      <c r="T28" s="2"/>
      <c r="U28" s="2"/>
      <c r="W28" s="2"/>
      <c r="X28" s="2"/>
      <c r="Y28" s="2"/>
      <c r="Z28" s="2"/>
      <c r="AA28" s="2"/>
      <c r="AB28" s="2"/>
      <c r="AC28" s="2"/>
      <c r="AD28" s="2"/>
      <c r="AE28" s="2"/>
    </row>
    <row r="29" spans="2:31" s="15" customFormat="1" ht="16.5" customHeight="1" x14ac:dyDescent="0.15">
      <c r="B29" s="16"/>
      <c r="C29" s="16">
        <v>2</v>
      </c>
      <c r="D29" s="17" t="str">
        <f t="array" ref="D29">VLOOKUP([1]!Datenbereich_A3[[#This Row],[AGS]],[1]AGS_Namen!$A$1:$B$68,2,FALSE)</f>
        <v xml:space="preserve">   dav. Hannover, Lhst.</v>
      </c>
      <c r="E29" s="18">
        <v>2019</v>
      </c>
      <c r="F29" s="19">
        <v>274635</v>
      </c>
      <c r="G29" s="20">
        <v>5.1013162925337268</v>
      </c>
      <c r="H29" s="20">
        <v>20.377956196406139</v>
      </c>
      <c r="I29" s="20">
        <v>18.744879567425858</v>
      </c>
      <c r="J29" s="20">
        <v>7.6392302510604981</v>
      </c>
      <c r="K29" s="20">
        <v>4.4440803247947276</v>
      </c>
      <c r="L29" s="21">
        <v>43.692537367779053</v>
      </c>
      <c r="M29" s="22"/>
      <c r="O29" s="22"/>
      <c r="P29" s="22"/>
      <c r="Q29" s="22"/>
      <c r="R29" s="22"/>
      <c r="S29" s="22"/>
      <c r="T29" s="22"/>
      <c r="U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2:31" ht="8.25" customHeight="1" x14ac:dyDescent="0.25">
      <c r="B30" s="9"/>
      <c r="C30" s="9">
        <v>351</v>
      </c>
      <c r="D30" s="10" t="str">
        <f t="array" ref="D30">VLOOKUP([1]!Datenbereich_A3[[#This Row],[AGS]],[1]AGS_Namen!$A$1:$B$68,2,FALSE)</f>
        <v xml:space="preserve">   dav. Hannover, Umland</v>
      </c>
      <c r="E30" s="11">
        <v>2019</v>
      </c>
      <c r="F30" s="12">
        <v>14330</v>
      </c>
      <c r="G30" s="13">
        <v>7.2923935799023027</v>
      </c>
      <c r="H30" s="13">
        <v>22.64480111653873</v>
      </c>
      <c r="I30" s="13">
        <v>23.307745987438938</v>
      </c>
      <c r="J30" s="13">
        <v>6.94347522679693</v>
      </c>
      <c r="K30" s="13">
        <v>3.6636427076064204</v>
      </c>
      <c r="L30" s="14">
        <v>36.147941381716677</v>
      </c>
      <c r="M30" s="2"/>
      <c r="O30" s="2"/>
      <c r="P30" s="2"/>
      <c r="Q30" s="2"/>
      <c r="R30" s="2"/>
      <c r="S30" s="2"/>
      <c r="T30" s="2"/>
      <c r="U30" s="2"/>
      <c r="W30" s="2"/>
      <c r="X30" s="2"/>
      <c r="Y30" s="2"/>
      <c r="Z30" s="2"/>
      <c r="AA30" s="2"/>
      <c r="AB30" s="2"/>
      <c r="AC30" s="2"/>
      <c r="AD30" s="2"/>
      <c r="AE30" s="2"/>
    </row>
    <row r="31" spans="2:31" ht="8.25" customHeight="1" x14ac:dyDescent="0.25">
      <c r="B31" s="9"/>
      <c r="C31" s="9">
        <v>352</v>
      </c>
      <c r="D31" s="10" t="str">
        <f t="array" ref="D31">VLOOKUP([1]!Datenbereich_A3[[#This Row],[AGS]],[1]AGS_Namen!$A$1:$B$68,2,FALSE)</f>
        <v>Diepholz</v>
      </c>
      <c r="E31" s="11">
        <v>2019</v>
      </c>
      <c r="F31" s="12">
        <v>13345</v>
      </c>
      <c r="G31" s="13">
        <v>5.9572873735481453</v>
      </c>
      <c r="H31" s="13">
        <v>20.157362307980517</v>
      </c>
      <c r="I31" s="13">
        <v>20.044960659423005</v>
      </c>
      <c r="J31" s="13">
        <v>6.8190333458224046</v>
      </c>
      <c r="K31" s="13">
        <v>3.8216560509554141</v>
      </c>
      <c r="L31" s="14">
        <v>43.199700262270511</v>
      </c>
      <c r="M31" s="2"/>
      <c r="O31" s="2"/>
      <c r="P31" s="2"/>
      <c r="Q31" s="2"/>
      <c r="R31" s="2"/>
      <c r="S31" s="2"/>
      <c r="T31" s="2"/>
      <c r="U31" s="2"/>
      <c r="W31" s="2"/>
      <c r="X31" s="2"/>
      <c r="Y31" s="2"/>
      <c r="Z31" s="2"/>
      <c r="AA31" s="2"/>
      <c r="AB31" s="2"/>
      <c r="AC31" s="2"/>
      <c r="AD31" s="2"/>
      <c r="AE31" s="2"/>
    </row>
    <row r="32" spans="2:31" ht="8.25" customHeight="1" x14ac:dyDescent="0.25">
      <c r="B32" s="9"/>
      <c r="C32" s="9">
        <v>353</v>
      </c>
      <c r="D32" s="10" t="str">
        <f t="array" ref="D32">VLOOKUP([1]!Datenbereich_A3[[#This Row],[AGS]],[1]AGS_Namen!$A$1:$B$68,2,FALSE)</f>
        <v>Hameln-Pyrmont</v>
      </c>
      <c r="E32" s="11">
        <v>2019</v>
      </c>
      <c r="F32" s="12">
        <v>21285</v>
      </c>
      <c r="G32" s="13">
        <v>9.4667606295513274</v>
      </c>
      <c r="H32" s="13">
        <v>20.178529480855062</v>
      </c>
      <c r="I32" s="13">
        <v>17.594550152689685</v>
      </c>
      <c r="J32" s="13">
        <v>6.6713648108996955</v>
      </c>
      <c r="K32" s="13">
        <v>4.6511627906976747</v>
      </c>
      <c r="L32" s="14">
        <v>41.414141414141412</v>
      </c>
      <c r="M32" s="2"/>
      <c r="O32" s="2"/>
      <c r="P32" s="2"/>
      <c r="Q32" s="2"/>
      <c r="R32" s="2"/>
      <c r="S32" s="2"/>
      <c r="T32" s="2"/>
      <c r="U32" s="2"/>
      <c r="W32" s="2"/>
      <c r="X32" s="2"/>
      <c r="Y32" s="2"/>
      <c r="Z32" s="2"/>
      <c r="AA32" s="2"/>
      <c r="AB32" s="2"/>
      <c r="AC32" s="2"/>
      <c r="AD32" s="2"/>
      <c r="AE32" s="2"/>
    </row>
    <row r="33" spans="2:31" ht="8.25" customHeight="1" x14ac:dyDescent="0.25">
      <c r="B33" s="9"/>
      <c r="C33" s="9">
        <v>354</v>
      </c>
      <c r="D33" s="10" t="str">
        <f t="array" ref="D33">VLOOKUP([1]!Datenbereich_A3[[#This Row],[AGS]],[1]AGS_Namen!$A$1:$B$68,2,FALSE)</f>
        <v>Hildesheim</v>
      </c>
      <c r="E33" s="11">
        <v>2019</v>
      </c>
      <c r="F33" s="12">
        <v>2785</v>
      </c>
      <c r="G33" s="13">
        <v>9.5152603231597848</v>
      </c>
      <c r="H33" s="13">
        <v>21.723518850987432</v>
      </c>
      <c r="I33" s="13">
        <v>25.134649910233392</v>
      </c>
      <c r="J33" s="13">
        <v>8.9766606822262123</v>
      </c>
      <c r="K33" s="13">
        <v>3.4111310592459607</v>
      </c>
      <c r="L33" s="14">
        <v>31.41831238779174</v>
      </c>
      <c r="M33" s="2"/>
      <c r="O33" s="2"/>
      <c r="P33" s="2"/>
      <c r="Q33" s="2"/>
      <c r="R33" s="2"/>
      <c r="S33" s="2"/>
      <c r="T33" s="2"/>
      <c r="U33" s="2"/>
      <c r="W33" s="2"/>
      <c r="X33" s="2"/>
      <c r="Y33" s="2"/>
      <c r="Z33" s="2"/>
      <c r="AA33" s="2"/>
      <c r="AB33" s="2"/>
      <c r="AC33" s="2"/>
      <c r="AD33" s="2"/>
      <c r="AE33" s="2"/>
    </row>
    <row r="34" spans="2:31" ht="8.25" customHeight="1" x14ac:dyDescent="0.25">
      <c r="B34" s="9"/>
      <c r="C34" s="9">
        <v>355</v>
      </c>
      <c r="D34" s="10" t="str">
        <f t="array" ref="D34">VLOOKUP([1]!Datenbereich_A3[[#This Row],[AGS]],[1]AGS_Namen!$A$1:$B$68,2,FALSE)</f>
        <v xml:space="preserve">   dav. Hildesheim, Stadt</v>
      </c>
      <c r="E34" s="11">
        <v>2019</v>
      </c>
      <c r="F34" s="12">
        <v>13120</v>
      </c>
      <c r="G34" s="13">
        <v>7.3170731707317067</v>
      </c>
      <c r="H34" s="13">
        <v>23.475609756097558</v>
      </c>
      <c r="I34" s="13">
        <v>25.495426829268293</v>
      </c>
      <c r="J34" s="13">
        <v>7.3932926829268286</v>
      </c>
      <c r="K34" s="13">
        <v>3.6585365853658534</v>
      </c>
      <c r="L34" s="14">
        <v>32.660060975609753</v>
      </c>
      <c r="M34" s="2"/>
      <c r="O34" s="2"/>
      <c r="P34" s="2"/>
      <c r="Q34" s="2"/>
      <c r="R34" s="2"/>
      <c r="S34" s="2"/>
      <c r="T34" s="2"/>
      <c r="U34" s="2"/>
      <c r="W34" s="2"/>
      <c r="X34" s="2"/>
      <c r="Y34" s="2"/>
      <c r="Z34" s="2"/>
      <c r="AA34" s="2"/>
      <c r="AB34" s="2"/>
      <c r="AC34" s="2"/>
      <c r="AD34" s="2"/>
      <c r="AE34" s="2"/>
    </row>
    <row r="35" spans="2:31" ht="8.25" customHeight="1" x14ac:dyDescent="0.25">
      <c r="B35" s="9"/>
      <c r="C35" s="9">
        <v>356</v>
      </c>
      <c r="D35" s="10" t="str">
        <f t="array" ref="D35">VLOOKUP([1]!Datenbereich_A3[[#This Row],[AGS]],[1]AGS_Namen!$A$1:$B$68,2,FALSE)</f>
        <v xml:space="preserve">   dav. Hildesheim, Umland</v>
      </c>
      <c r="E35" s="11">
        <v>2019</v>
      </c>
      <c r="F35" s="12">
        <v>6715</v>
      </c>
      <c r="G35" s="13">
        <v>5.6589724497393892</v>
      </c>
      <c r="H35" s="13">
        <v>17.274758004467611</v>
      </c>
      <c r="I35" s="13">
        <v>22.710349962769918</v>
      </c>
      <c r="J35" s="13">
        <v>6.7014147431124353</v>
      </c>
      <c r="K35" s="13">
        <v>4.0953090096798217</v>
      </c>
      <c r="L35" s="14">
        <v>43.559195830230827</v>
      </c>
      <c r="M35" s="2"/>
      <c r="O35" s="2"/>
      <c r="P35" s="2"/>
      <c r="Q35" s="2"/>
      <c r="R35" s="2"/>
      <c r="S35" s="2"/>
      <c r="T35" s="2"/>
      <c r="U35" s="2"/>
      <c r="W35" s="2"/>
      <c r="X35" s="2"/>
      <c r="Y35" s="2"/>
      <c r="Z35" s="2"/>
      <c r="AA35" s="2"/>
      <c r="AB35" s="2"/>
      <c r="AC35" s="2"/>
      <c r="AD35" s="2"/>
      <c r="AE35" s="2"/>
    </row>
    <row r="36" spans="2:31" ht="8.25" customHeight="1" x14ac:dyDescent="0.25">
      <c r="B36" s="9"/>
      <c r="C36" s="9">
        <v>357</v>
      </c>
      <c r="D36" s="10" t="str">
        <f t="array" ref="D36">VLOOKUP([1]!Datenbereich_A3[[#This Row],[AGS]],[1]AGS_Namen!$A$1:$B$68,2,FALSE)</f>
        <v>Holzminden</v>
      </c>
      <c r="E36" s="11">
        <v>2019</v>
      </c>
      <c r="F36" s="12">
        <v>11585</v>
      </c>
      <c r="G36" s="13">
        <v>8.8908070781182573</v>
      </c>
      <c r="H36" s="13">
        <v>22.658610271903324</v>
      </c>
      <c r="I36" s="13">
        <v>20.241691842900302</v>
      </c>
      <c r="J36" s="13">
        <v>6.7328441950798439</v>
      </c>
      <c r="K36" s="13">
        <v>3.7116961588260682</v>
      </c>
      <c r="L36" s="14">
        <v>37.807509710832974</v>
      </c>
      <c r="M36" s="2"/>
      <c r="O36" s="2"/>
      <c r="P36" s="2"/>
      <c r="Q36" s="2"/>
      <c r="R36" s="2"/>
      <c r="S36" s="2"/>
      <c r="T36" s="2"/>
      <c r="U36" s="2"/>
      <c r="W36" s="2"/>
      <c r="X36" s="2"/>
      <c r="Y36" s="2"/>
      <c r="Z36" s="2"/>
      <c r="AA36" s="2"/>
      <c r="AB36" s="2"/>
      <c r="AC36" s="2"/>
      <c r="AD36" s="2"/>
      <c r="AE36" s="2"/>
    </row>
    <row r="37" spans="2:31" ht="8.25" customHeight="1" x14ac:dyDescent="0.25">
      <c r="B37" s="9"/>
      <c r="C37" s="9">
        <v>358</v>
      </c>
      <c r="D37" s="10" t="str">
        <f t="array" ref="D37">VLOOKUP([1]!Datenbereich_A3[[#This Row],[AGS]],[1]AGS_Namen!$A$1:$B$68,2,FALSE)</f>
        <v>Nienburg (Weser)</v>
      </c>
      <c r="E37" s="11">
        <v>2019</v>
      </c>
      <c r="F37" s="12">
        <v>12525</v>
      </c>
      <c r="G37" s="13">
        <v>10.778443113772456</v>
      </c>
      <c r="H37" s="13">
        <v>23.512974051896208</v>
      </c>
      <c r="I37" s="13">
        <v>18.882235528942115</v>
      </c>
      <c r="J37" s="13">
        <v>7.8243512974051894</v>
      </c>
      <c r="K37" s="13">
        <v>4.7504990019960083</v>
      </c>
      <c r="L37" s="14">
        <v>34.211576846307388</v>
      </c>
      <c r="M37" s="2"/>
      <c r="O37" s="2"/>
      <c r="P37" s="2"/>
      <c r="Q37" s="2"/>
      <c r="R37" s="2"/>
      <c r="S37" s="2"/>
      <c r="T37" s="2"/>
      <c r="U37" s="2"/>
      <c r="W37" s="2"/>
      <c r="X37" s="2"/>
      <c r="Y37" s="2"/>
      <c r="Z37" s="2"/>
      <c r="AA37" s="2"/>
      <c r="AB37" s="2"/>
      <c r="AC37" s="2"/>
      <c r="AD37" s="2"/>
      <c r="AE37" s="2"/>
    </row>
    <row r="38" spans="2:31" ht="8.25" customHeight="1" x14ac:dyDescent="0.25">
      <c r="B38" s="9"/>
      <c r="C38" s="9">
        <v>359</v>
      </c>
      <c r="D38" s="10" t="str">
        <f t="array" ref="D38">VLOOKUP([1]!Datenbereich_A3[[#This Row],[AGS]],[1]AGS_Namen!$A$1:$B$68,2,FALSE)</f>
        <v>Schaumburg</v>
      </c>
      <c r="E38" s="11">
        <v>2019</v>
      </c>
      <c r="F38" s="12">
        <v>19385</v>
      </c>
      <c r="G38" s="13">
        <v>8.3311839050812484</v>
      </c>
      <c r="H38" s="13">
        <v>25.664173329894247</v>
      </c>
      <c r="I38" s="13">
        <v>22.775341759092083</v>
      </c>
      <c r="J38" s="13">
        <v>7.5058034562806295</v>
      </c>
      <c r="K38" s="13">
        <v>4.8749032757286566</v>
      </c>
      <c r="L38" s="14">
        <v>30.874387412948156</v>
      </c>
      <c r="M38" s="2"/>
      <c r="O38" s="2"/>
      <c r="P38" s="2"/>
      <c r="Q38" s="2"/>
      <c r="R38" s="2"/>
      <c r="S38" s="2"/>
      <c r="T38" s="2"/>
      <c r="U38" s="2"/>
      <c r="W38" s="2"/>
      <c r="X38" s="2"/>
      <c r="Y38" s="2"/>
      <c r="Z38" s="2"/>
      <c r="AA38" s="2"/>
      <c r="AB38" s="2"/>
      <c r="AC38" s="2"/>
      <c r="AD38" s="2"/>
      <c r="AE38" s="2"/>
    </row>
    <row r="39" spans="2:31" ht="8.25" customHeight="1" x14ac:dyDescent="0.25">
      <c r="B39" s="9"/>
      <c r="C39" s="9">
        <v>360</v>
      </c>
      <c r="D39" s="10" t="str">
        <f t="array" ref="D39">VLOOKUP([1]!Datenbereich_A3[[#This Row],[AGS]],[1]AGS_Namen!$A$1:$B$68,2,FALSE)</f>
        <v>Stat. Region Hannover</v>
      </c>
      <c r="E39" s="11">
        <v>2019</v>
      </c>
      <c r="F39" s="12">
        <v>5765</v>
      </c>
      <c r="G39" s="13">
        <v>8.4995663486556801</v>
      </c>
      <c r="H39" s="13">
        <v>22.63660017346054</v>
      </c>
      <c r="I39" s="13">
        <v>24.978317432784042</v>
      </c>
      <c r="J39" s="13">
        <v>7.6322636600173466</v>
      </c>
      <c r="K39" s="13">
        <v>3.9895923677363401</v>
      </c>
      <c r="L39" s="14">
        <v>32.263660017346055</v>
      </c>
      <c r="M39" s="2"/>
      <c r="O39" s="2"/>
      <c r="P39" s="2"/>
      <c r="Q39" s="2"/>
      <c r="R39" s="2"/>
      <c r="S39" s="2"/>
      <c r="T39" s="2"/>
      <c r="U39" s="2"/>
      <c r="W39" s="2"/>
      <c r="X39" s="2"/>
      <c r="Y39" s="2"/>
      <c r="Z39" s="2"/>
      <c r="AA39" s="2"/>
      <c r="AB39" s="2"/>
      <c r="AC39" s="2"/>
      <c r="AD39" s="2"/>
      <c r="AE39" s="2"/>
    </row>
    <row r="40" spans="2:31" ht="8.25" customHeight="1" x14ac:dyDescent="0.25">
      <c r="B40" s="9"/>
      <c r="C40" s="9">
        <v>361</v>
      </c>
      <c r="D40" s="10" t="str">
        <f t="array" ref="D40">VLOOKUP([1]!Datenbereich_A3[[#This Row],[AGS]],[1]AGS_Namen!$A$1:$B$68,2,FALSE)</f>
        <v>Celle</v>
      </c>
      <c r="E40" s="11">
        <v>2019</v>
      </c>
      <c r="F40" s="12">
        <v>11175</v>
      </c>
      <c r="G40" s="13">
        <v>6.2639821029082778</v>
      </c>
      <c r="H40" s="13">
        <v>20.223713646532438</v>
      </c>
      <c r="I40" s="13">
        <v>21.476510067114095</v>
      </c>
      <c r="J40" s="13">
        <v>6.0402684563758395</v>
      </c>
      <c r="K40" s="13">
        <v>3.7583892617449663</v>
      </c>
      <c r="L40" s="14">
        <v>42.23713646532439</v>
      </c>
      <c r="M40" s="2"/>
      <c r="O40" s="2"/>
      <c r="P40" s="2"/>
      <c r="Q40" s="2"/>
      <c r="R40" s="2"/>
      <c r="S40" s="2"/>
      <c r="T40" s="2"/>
      <c r="U40" s="2"/>
      <c r="W40" s="2"/>
      <c r="X40" s="2"/>
      <c r="Y40" s="2"/>
      <c r="Z40" s="2"/>
      <c r="AA40" s="2"/>
      <c r="AB40" s="2"/>
      <c r="AC40" s="2"/>
      <c r="AD40" s="2"/>
      <c r="AE40" s="2"/>
    </row>
    <row r="41" spans="2:31" s="15" customFormat="1" ht="16.5" customHeight="1" x14ac:dyDescent="0.15">
      <c r="B41" s="16"/>
      <c r="C41" s="16">
        <v>3</v>
      </c>
      <c r="D41" s="17" t="str">
        <f t="array" ref="D41">VLOOKUP([1]!Datenbereich_A3[[#This Row],[AGS]],[1]AGS_Namen!$A$1:$B$68,2,FALSE)</f>
        <v>Cuxhaven</v>
      </c>
      <c r="E41" s="18">
        <v>2019</v>
      </c>
      <c r="F41" s="19">
        <v>132025</v>
      </c>
      <c r="G41" s="20">
        <v>8.0704412043173637</v>
      </c>
      <c r="H41" s="20">
        <v>22.105661806476046</v>
      </c>
      <c r="I41" s="20">
        <v>21.431547055481918</v>
      </c>
      <c r="J41" s="20">
        <v>7.0592690778261691</v>
      </c>
      <c r="K41" s="20">
        <v>4.1620905131603863</v>
      </c>
      <c r="L41" s="21">
        <v>37.170990342738122</v>
      </c>
      <c r="M41" s="22"/>
      <c r="O41" s="22"/>
      <c r="P41" s="22"/>
      <c r="Q41" s="22"/>
      <c r="R41" s="22"/>
      <c r="S41" s="22"/>
      <c r="T41" s="22"/>
      <c r="U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ht="8.25" customHeight="1" x14ac:dyDescent="0.25">
      <c r="B42" s="9"/>
      <c r="C42" s="9">
        <v>401</v>
      </c>
      <c r="D42" s="10" t="str">
        <f t="array" ref="D42">VLOOKUP([1]!Datenbereich_A3[[#This Row],[AGS]],[1]AGS_Namen!$A$1:$B$68,2,FALSE)</f>
        <v>Harburg</v>
      </c>
      <c r="E42" s="11">
        <v>2019</v>
      </c>
      <c r="F42" s="12">
        <v>13220</v>
      </c>
      <c r="G42" s="13">
        <v>5.3328290468986381</v>
      </c>
      <c r="H42" s="13">
        <v>25.037821482602119</v>
      </c>
      <c r="I42" s="13">
        <v>22.617246596066565</v>
      </c>
      <c r="J42" s="13">
        <v>6.9591527987897122</v>
      </c>
      <c r="K42" s="13">
        <v>4.0090771558245084</v>
      </c>
      <c r="L42" s="14">
        <v>36.006051437216342</v>
      </c>
      <c r="M42" s="2"/>
      <c r="O42" s="2"/>
      <c r="P42" s="2"/>
      <c r="Q42" s="2"/>
      <c r="R42" s="2"/>
      <c r="S42" s="2"/>
      <c r="T42" s="2"/>
      <c r="U42" s="2"/>
      <c r="W42" s="2"/>
      <c r="X42" s="2"/>
      <c r="Y42" s="2"/>
      <c r="Z42" s="2"/>
      <c r="AA42" s="2"/>
      <c r="AB42" s="2"/>
      <c r="AC42" s="2"/>
      <c r="AD42" s="2"/>
      <c r="AE42" s="2"/>
    </row>
    <row r="43" spans="2:31" ht="8.25" customHeight="1" x14ac:dyDescent="0.25">
      <c r="B43" s="9"/>
      <c r="C43" s="9">
        <v>402</v>
      </c>
      <c r="D43" s="10" t="str">
        <f t="array" ref="D43">VLOOKUP([1]!Datenbereich_A3[[#This Row],[AGS]],[1]AGS_Namen!$A$1:$B$68,2,FALSE)</f>
        <v>Lüchow-Dannenberg</v>
      </c>
      <c r="E43" s="11">
        <v>2019</v>
      </c>
      <c r="F43" s="12">
        <v>5675</v>
      </c>
      <c r="G43" s="13">
        <v>8.2819383259911898</v>
      </c>
      <c r="H43" s="13">
        <v>26.607929515418505</v>
      </c>
      <c r="I43" s="13">
        <v>26.079295154185022</v>
      </c>
      <c r="J43" s="13">
        <v>10.484581497797357</v>
      </c>
      <c r="K43" s="13">
        <v>3.6123348017621146</v>
      </c>
      <c r="L43" s="14">
        <v>24.933920704845818</v>
      </c>
      <c r="M43" s="2"/>
      <c r="O43" s="2"/>
      <c r="P43" s="2"/>
      <c r="Q43" s="2"/>
      <c r="R43" s="2"/>
      <c r="S43" s="2"/>
      <c r="T43" s="2"/>
      <c r="U43" s="2"/>
      <c r="W43" s="2"/>
      <c r="X43" s="2"/>
      <c r="Y43" s="2"/>
      <c r="Z43" s="2"/>
      <c r="AA43" s="2"/>
      <c r="AB43" s="2"/>
      <c r="AC43" s="2"/>
      <c r="AD43" s="2"/>
      <c r="AE43" s="2"/>
    </row>
    <row r="44" spans="2:31" ht="8.25" customHeight="1" x14ac:dyDescent="0.25">
      <c r="B44" s="9"/>
      <c r="C44" s="9">
        <v>403</v>
      </c>
      <c r="D44" s="10" t="str">
        <f t="array" ref="D44">VLOOKUP([1]!Datenbereich_A3[[#This Row],[AGS]],[1]AGS_Namen!$A$1:$B$68,2,FALSE)</f>
        <v>Lüneburg</v>
      </c>
      <c r="E44" s="11">
        <v>2019</v>
      </c>
      <c r="F44" s="12">
        <v>18285</v>
      </c>
      <c r="G44" s="13">
        <v>8.5315832649712871</v>
      </c>
      <c r="H44" s="13">
        <v>25.676784249384742</v>
      </c>
      <c r="I44" s="13">
        <v>22.996992070002733</v>
      </c>
      <c r="J44" s="13">
        <v>7.7112387202625099</v>
      </c>
      <c r="K44" s="13">
        <v>4.3478260869565215</v>
      </c>
      <c r="L44" s="14">
        <v>30.735575608422206</v>
      </c>
      <c r="M44" s="2"/>
      <c r="O44" s="2"/>
      <c r="P44" s="2"/>
      <c r="Q44" s="2"/>
      <c r="R44" s="2"/>
      <c r="S44" s="2"/>
      <c r="T44" s="2"/>
      <c r="U44" s="2"/>
      <c r="W44" s="2"/>
      <c r="X44" s="2"/>
      <c r="Y44" s="2"/>
      <c r="Z44" s="2"/>
      <c r="AA44" s="2"/>
      <c r="AB44" s="2"/>
      <c r="AC44" s="2"/>
      <c r="AD44" s="2"/>
      <c r="AE44" s="2"/>
    </row>
    <row r="45" spans="2:31" ht="8.25" customHeight="1" x14ac:dyDescent="0.25">
      <c r="B45" s="9"/>
      <c r="C45" s="9">
        <v>404</v>
      </c>
      <c r="D45" s="10" t="str">
        <f t="array" ref="D45">VLOOKUP([1]!Datenbereich_A3[[#This Row],[AGS]],[1]AGS_Namen!$A$1:$B$68,2,FALSE)</f>
        <v>Osterholz</v>
      </c>
      <c r="E45" s="11">
        <v>2019</v>
      </c>
      <c r="F45" s="12">
        <v>25290</v>
      </c>
      <c r="G45" s="13">
        <v>8.5409252669039155</v>
      </c>
      <c r="H45" s="13">
        <v>22.815342032423882</v>
      </c>
      <c r="I45" s="13">
        <v>18.940292605773031</v>
      </c>
      <c r="J45" s="13">
        <v>7.0185844207196517</v>
      </c>
      <c r="K45" s="13">
        <v>4.1122973507315139</v>
      </c>
      <c r="L45" s="14">
        <v>38.552787663107949</v>
      </c>
      <c r="M45" s="2"/>
      <c r="O45" s="2"/>
      <c r="P45" s="2"/>
      <c r="Q45" s="2"/>
      <c r="R45" s="2"/>
      <c r="S45" s="2"/>
      <c r="T45" s="2"/>
      <c r="U45" s="2"/>
      <c r="W45" s="2"/>
      <c r="X45" s="2"/>
      <c r="Y45" s="2"/>
      <c r="Z45" s="2"/>
      <c r="AA45" s="2"/>
      <c r="AB45" s="2"/>
      <c r="AC45" s="2"/>
      <c r="AD45" s="2"/>
      <c r="AE45" s="2"/>
    </row>
    <row r="46" spans="2:31" ht="8.25" customHeight="1" x14ac:dyDescent="0.25">
      <c r="B46" s="9"/>
      <c r="C46" s="9">
        <v>405</v>
      </c>
      <c r="D46" s="10" t="str">
        <f t="array" ref="D46">VLOOKUP([1]!Datenbereich_A3[[#This Row],[AGS]],[1]AGS_Namen!$A$1:$B$68,2,FALSE)</f>
        <v>Rotenburg (Wümme)</v>
      </c>
      <c r="E46" s="11">
        <v>2019</v>
      </c>
      <c r="F46" s="12">
        <v>8785</v>
      </c>
      <c r="G46" s="13">
        <v>8.9926010244735348</v>
      </c>
      <c r="H46" s="13">
        <v>27.376209447922594</v>
      </c>
      <c r="I46" s="13">
        <v>29.368241320432553</v>
      </c>
      <c r="J46" s="13">
        <v>6.2037564029595904</v>
      </c>
      <c r="K46" s="13">
        <v>2.788844621513944</v>
      </c>
      <c r="L46" s="14">
        <v>25.270347182697776</v>
      </c>
      <c r="M46" s="2"/>
      <c r="O46" s="2"/>
      <c r="P46" s="2"/>
      <c r="Q46" s="2"/>
      <c r="R46" s="2"/>
      <c r="S46" s="2"/>
      <c r="T46" s="2"/>
      <c r="U46" s="2"/>
      <c r="W46" s="2"/>
      <c r="X46" s="2"/>
      <c r="Y46" s="2"/>
      <c r="Z46" s="2"/>
      <c r="AA46" s="2"/>
      <c r="AB46" s="2"/>
      <c r="AC46" s="2"/>
      <c r="AD46" s="2"/>
      <c r="AE46" s="2"/>
    </row>
    <row r="47" spans="2:31" ht="8.25" customHeight="1" x14ac:dyDescent="0.25">
      <c r="B47" s="9"/>
      <c r="C47" s="9">
        <v>451</v>
      </c>
      <c r="D47" s="10" t="str">
        <f t="array" ref="D47">VLOOKUP([1]!Datenbereich_A3[[#This Row],[AGS]],[1]AGS_Namen!$A$1:$B$68,2,FALSE)</f>
        <v>Heidekreis</v>
      </c>
      <c r="E47" s="11">
        <v>2019</v>
      </c>
      <c r="F47" s="12">
        <v>8525</v>
      </c>
      <c r="G47" s="13">
        <v>8.6803519061583589</v>
      </c>
      <c r="H47" s="13">
        <v>25.86510263929619</v>
      </c>
      <c r="I47" s="13">
        <v>23.870967741935484</v>
      </c>
      <c r="J47" s="13">
        <v>8.3284457478005862</v>
      </c>
      <c r="K47" s="13">
        <v>5.0439882697947214</v>
      </c>
      <c r="L47" s="14">
        <v>28.152492668621704</v>
      </c>
      <c r="M47" s="2"/>
      <c r="O47" s="2"/>
      <c r="P47" s="2"/>
      <c r="Q47" s="2"/>
      <c r="R47" s="2"/>
      <c r="S47" s="2"/>
      <c r="T47" s="2"/>
      <c r="U47" s="2"/>
      <c r="W47" s="2"/>
      <c r="X47" s="2"/>
      <c r="Y47" s="2"/>
      <c r="Z47" s="2"/>
      <c r="AA47" s="2"/>
      <c r="AB47" s="2"/>
      <c r="AC47" s="2"/>
      <c r="AD47" s="2"/>
      <c r="AE47" s="2"/>
    </row>
    <row r="48" spans="2:31" ht="8.25" customHeight="1" x14ac:dyDescent="0.25">
      <c r="B48" s="9"/>
      <c r="C48" s="9">
        <v>452</v>
      </c>
      <c r="D48" s="10" t="str">
        <f t="array" ref="D48">VLOOKUP([1]!Datenbereich_A3[[#This Row],[AGS]],[1]AGS_Namen!$A$1:$B$68,2,FALSE)</f>
        <v>Stade</v>
      </c>
      <c r="E48" s="11">
        <v>2019</v>
      </c>
      <c r="F48" s="12">
        <v>11480</v>
      </c>
      <c r="G48" s="13">
        <v>9.015679442508711</v>
      </c>
      <c r="H48" s="13">
        <v>26.132404181184672</v>
      </c>
      <c r="I48" s="13">
        <v>22.60452961672474</v>
      </c>
      <c r="J48" s="13">
        <v>8.2752613240418125</v>
      </c>
      <c r="K48" s="13">
        <v>4.3118466898954706</v>
      </c>
      <c r="L48" s="14">
        <v>29.616724738675959</v>
      </c>
      <c r="M48" s="2"/>
      <c r="O48" s="2"/>
      <c r="P48" s="2"/>
      <c r="Q48" s="2"/>
      <c r="R48" s="2"/>
      <c r="S48" s="2"/>
      <c r="T48" s="2"/>
      <c r="U48" s="2"/>
      <c r="W48" s="2"/>
      <c r="X48" s="2"/>
      <c r="Y48" s="2"/>
      <c r="Z48" s="2"/>
      <c r="AA48" s="2"/>
      <c r="AB48" s="2"/>
      <c r="AC48" s="2"/>
      <c r="AD48" s="2"/>
      <c r="AE48" s="2"/>
    </row>
    <row r="49" spans="2:31" ht="8.25" customHeight="1" x14ac:dyDescent="0.25">
      <c r="B49" s="9"/>
      <c r="C49" s="9">
        <v>453</v>
      </c>
      <c r="D49" s="10" t="str">
        <f t="array" ref="D49">VLOOKUP([1]!Datenbereich_A3[[#This Row],[AGS]],[1]AGS_Namen!$A$1:$B$68,2,FALSE)</f>
        <v>Uelzen</v>
      </c>
      <c r="E49" s="11">
        <v>2019</v>
      </c>
      <c r="F49" s="12">
        <v>18890</v>
      </c>
      <c r="G49" s="13">
        <v>6.4584436209634717</v>
      </c>
      <c r="H49" s="13">
        <v>29.777660137638961</v>
      </c>
      <c r="I49" s="13">
        <v>20.963472736897828</v>
      </c>
      <c r="J49" s="13">
        <v>9.7670725251455792</v>
      </c>
      <c r="K49" s="13">
        <v>6.6172578083642142</v>
      </c>
      <c r="L49" s="14">
        <v>26.389624139756485</v>
      </c>
      <c r="M49" s="2"/>
      <c r="O49" s="2"/>
      <c r="P49" s="2"/>
      <c r="Q49" s="2"/>
      <c r="R49" s="2"/>
      <c r="S49" s="2"/>
      <c r="T49" s="2"/>
      <c r="U49" s="2"/>
      <c r="W49" s="2"/>
      <c r="X49" s="2"/>
      <c r="Y49" s="2"/>
      <c r="Z49" s="2"/>
      <c r="AA49" s="2"/>
      <c r="AB49" s="2"/>
      <c r="AC49" s="2"/>
      <c r="AD49" s="2"/>
      <c r="AE49" s="2"/>
    </row>
    <row r="50" spans="2:31" ht="8.25" customHeight="1" x14ac:dyDescent="0.25">
      <c r="B50" s="9"/>
      <c r="C50" s="9">
        <v>454</v>
      </c>
      <c r="D50" s="10" t="str">
        <f t="array" ref="D50">VLOOKUP([1]!Datenbereich_A3[[#This Row],[AGS]],[1]AGS_Namen!$A$1:$B$68,2,FALSE)</f>
        <v>Verden</v>
      </c>
      <c r="E50" s="11">
        <v>2019</v>
      </c>
      <c r="F50" s="12">
        <v>40430</v>
      </c>
      <c r="G50" s="13">
        <v>12.020776651001732</v>
      </c>
      <c r="H50" s="13">
        <v>28.060845906505072</v>
      </c>
      <c r="I50" s="13">
        <v>18.315607222359635</v>
      </c>
      <c r="J50" s="13">
        <v>8.4590650507049219</v>
      </c>
      <c r="K50" s="13">
        <v>5.4167697254513971</v>
      </c>
      <c r="L50" s="14">
        <v>27.739302498144941</v>
      </c>
      <c r="M50" s="2"/>
      <c r="O50" s="2"/>
      <c r="P50" s="2"/>
      <c r="Q50" s="2"/>
      <c r="R50" s="2"/>
      <c r="S50" s="2"/>
      <c r="T50" s="2"/>
      <c r="U50" s="2"/>
      <c r="W50" s="2"/>
      <c r="X50" s="2"/>
      <c r="Y50" s="2"/>
      <c r="Z50" s="2"/>
      <c r="AA50" s="2"/>
      <c r="AB50" s="2"/>
      <c r="AC50" s="2"/>
      <c r="AD50" s="2"/>
      <c r="AE50" s="2"/>
    </row>
    <row r="51" spans="2:31" ht="8.25" customHeight="1" x14ac:dyDescent="0.25">
      <c r="B51" s="9"/>
      <c r="C51" s="9">
        <v>455</v>
      </c>
      <c r="D51" s="10" t="str">
        <f t="array" ref="D51">VLOOKUP([1]!Datenbereich_A3[[#This Row],[AGS]],[1]AGS_Namen!$A$1:$B$68,2,FALSE)</f>
        <v>Stat. Region Lüneburg</v>
      </c>
      <c r="E51" s="11">
        <v>2019</v>
      </c>
      <c r="F51" s="12">
        <v>4840</v>
      </c>
      <c r="G51" s="13">
        <v>6.1983471074380168</v>
      </c>
      <c r="H51" s="13">
        <v>19.731404958677686</v>
      </c>
      <c r="I51" s="13">
        <v>27.169421487603309</v>
      </c>
      <c r="J51" s="13">
        <v>7.7479338842975212</v>
      </c>
      <c r="K51" s="13">
        <v>3.4090909090909087</v>
      </c>
      <c r="L51" s="14">
        <v>35.743801652892557</v>
      </c>
      <c r="M51" s="2"/>
      <c r="O51" s="2"/>
      <c r="P51" s="2"/>
      <c r="Q51" s="2"/>
      <c r="R51" s="2"/>
      <c r="S51" s="2"/>
      <c r="T51" s="2"/>
      <c r="U51" s="2"/>
      <c r="W51" s="2"/>
      <c r="X51" s="2"/>
      <c r="Y51" s="2"/>
      <c r="Z51" s="2"/>
      <c r="AA51" s="2"/>
      <c r="AB51" s="2"/>
      <c r="AC51" s="2"/>
      <c r="AD51" s="2"/>
      <c r="AE51" s="2"/>
    </row>
    <row r="52" spans="2:31" ht="8.25" customHeight="1" x14ac:dyDescent="0.25">
      <c r="B52" s="9"/>
      <c r="C52" s="9">
        <v>456</v>
      </c>
      <c r="D52" s="10" t="str">
        <f t="array" ref="D52">VLOOKUP([1]!Datenbereich_A3[[#This Row],[AGS]],[1]AGS_Namen!$A$1:$B$68,2,FALSE)</f>
        <v>Delmenhorst, Stadt</v>
      </c>
      <c r="E52" s="11">
        <v>2019</v>
      </c>
      <c r="F52" s="12">
        <v>22030</v>
      </c>
      <c r="G52" s="13">
        <v>4.5619609623241031</v>
      </c>
      <c r="H52" s="13">
        <v>17.793917385383569</v>
      </c>
      <c r="I52" s="13">
        <v>14.480254198819791</v>
      </c>
      <c r="J52" s="13">
        <v>8.0344984112573758</v>
      </c>
      <c r="K52" s="13">
        <v>5.6967771221062193</v>
      </c>
      <c r="L52" s="14">
        <v>49.455288243304587</v>
      </c>
      <c r="M52" s="2"/>
      <c r="O52" s="2"/>
      <c r="P52" s="2"/>
      <c r="Q52" s="2"/>
      <c r="R52" s="2"/>
      <c r="S52" s="2"/>
      <c r="T52" s="2"/>
      <c r="U52" s="2"/>
      <c r="W52" s="2"/>
      <c r="X52" s="2"/>
      <c r="Y52" s="2"/>
      <c r="Z52" s="2"/>
      <c r="AA52" s="2"/>
      <c r="AB52" s="2"/>
      <c r="AC52" s="2"/>
      <c r="AD52" s="2"/>
      <c r="AE52" s="2"/>
    </row>
    <row r="53" spans="2:31" ht="8.25" customHeight="1" x14ac:dyDescent="0.25">
      <c r="B53" s="9"/>
      <c r="C53" s="9">
        <v>457</v>
      </c>
      <c r="D53" s="10" t="str">
        <f t="array" ref="D53">VLOOKUP([1]!Datenbereich_A3[[#This Row],[AGS]],[1]AGS_Namen!$A$1:$B$68,2,FALSE)</f>
        <v>Emden, Stadt</v>
      </c>
      <c r="E53" s="11">
        <v>2019</v>
      </c>
      <c r="F53" s="12">
        <v>14855</v>
      </c>
      <c r="G53" s="13">
        <v>10.097610232245035</v>
      </c>
      <c r="H53" s="13">
        <v>24.907438572871087</v>
      </c>
      <c r="I53" s="13">
        <v>20.733759676876474</v>
      </c>
      <c r="J53" s="13">
        <v>7.5395489734096266</v>
      </c>
      <c r="K53" s="13">
        <v>4.981487714574218</v>
      </c>
      <c r="L53" s="14">
        <v>31.74015483002356</v>
      </c>
      <c r="M53" s="2"/>
      <c r="O53" s="2"/>
      <c r="P53" s="2"/>
      <c r="Q53" s="2"/>
      <c r="R53" s="2"/>
      <c r="S53" s="2"/>
      <c r="T53" s="2"/>
      <c r="U53" s="2"/>
      <c r="W53" s="2"/>
      <c r="X53" s="2"/>
      <c r="Y53" s="2"/>
      <c r="Z53" s="2"/>
      <c r="AA53" s="2"/>
      <c r="AB53" s="2"/>
      <c r="AC53" s="2"/>
      <c r="AD53" s="2"/>
      <c r="AE53" s="2"/>
    </row>
    <row r="54" spans="2:31" ht="8.25" customHeight="1" x14ac:dyDescent="0.25">
      <c r="B54" s="9"/>
      <c r="C54" s="9">
        <v>458</v>
      </c>
      <c r="D54" s="10" t="str">
        <f t="array" ref="D54">VLOOKUP([1]!Datenbereich_A3[[#This Row],[AGS]],[1]AGS_Namen!$A$1:$B$68,2,FALSE)</f>
        <v>Oldenburg(Oldb), Stadt</v>
      </c>
      <c r="E54" s="11">
        <v>2019</v>
      </c>
      <c r="F54" s="12">
        <v>12525</v>
      </c>
      <c r="G54" s="13">
        <v>11.297405189620759</v>
      </c>
      <c r="H54" s="13">
        <v>29.221556886227546</v>
      </c>
      <c r="I54" s="13">
        <v>20.758483033932134</v>
      </c>
      <c r="J54" s="13">
        <v>8.6227544910179645</v>
      </c>
      <c r="K54" s="13">
        <v>4.9101796407185629</v>
      </c>
      <c r="L54" s="14">
        <v>25.189620758483034</v>
      </c>
      <c r="M54" s="2"/>
      <c r="O54" s="2"/>
      <c r="P54" s="2"/>
      <c r="Q54" s="2"/>
      <c r="R54" s="2"/>
      <c r="S54" s="2"/>
      <c r="T54" s="2"/>
      <c r="U54" s="2"/>
      <c r="W54" s="2"/>
      <c r="X54" s="2"/>
      <c r="Y54" s="2"/>
      <c r="Z54" s="2"/>
      <c r="AA54" s="2"/>
      <c r="AB54" s="2"/>
      <c r="AC54" s="2"/>
      <c r="AD54" s="2"/>
      <c r="AE54" s="2"/>
    </row>
    <row r="55" spans="2:31" ht="8.25" customHeight="1" x14ac:dyDescent="0.25">
      <c r="B55" s="9"/>
      <c r="C55" s="9">
        <v>459</v>
      </c>
      <c r="D55" s="10" t="str">
        <f t="array" ref="D55">VLOOKUP([1]!Datenbereich_A3[[#This Row],[AGS]],[1]AGS_Namen!$A$1:$B$68,2,FALSE)</f>
        <v>Osnabrück, Stadt</v>
      </c>
      <c r="E55" s="11">
        <v>2019</v>
      </c>
      <c r="F55" s="12">
        <v>33445</v>
      </c>
      <c r="G55" s="13">
        <v>9.657646882942144</v>
      </c>
      <c r="H55" s="13">
        <v>25.205561369412465</v>
      </c>
      <c r="I55" s="13">
        <v>15.159216624308566</v>
      </c>
      <c r="J55" s="13">
        <v>7.5646583943788315</v>
      </c>
      <c r="K55" s="13">
        <v>4.5447750037374792</v>
      </c>
      <c r="L55" s="14">
        <v>37.853191807445057</v>
      </c>
      <c r="M55" s="2"/>
      <c r="O55" s="2"/>
      <c r="P55" s="2"/>
      <c r="Q55" s="2"/>
      <c r="R55" s="2"/>
      <c r="S55" s="2"/>
      <c r="T55" s="2"/>
      <c r="U55" s="2"/>
      <c r="W55" s="2"/>
      <c r="X55" s="2"/>
      <c r="Y55" s="2"/>
      <c r="Z55" s="2"/>
      <c r="AA55" s="2"/>
      <c r="AB55" s="2"/>
      <c r="AC55" s="2"/>
      <c r="AD55" s="2"/>
      <c r="AE55" s="2"/>
    </row>
    <row r="56" spans="2:31" ht="8.25" customHeight="1" x14ac:dyDescent="0.25">
      <c r="B56" s="9"/>
      <c r="C56" s="9">
        <v>460</v>
      </c>
      <c r="D56" s="10" t="str">
        <f t="array" ref="D56">VLOOKUP([1]!Datenbereich_A3[[#This Row],[AGS]],[1]AGS_Namen!$A$1:$B$68,2,FALSE)</f>
        <v>Wilhelmshaven, Stadt</v>
      </c>
      <c r="E56" s="11">
        <v>2019</v>
      </c>
      <c r="F56" s="12">
        <v>20715</v>
      </c>
      <c r="G56" s="13">
        <v>9.5824281921313066</v>
      </c>
      <c r="H56" s="13">
        <v>24.40260680666184</v>
      </c>
      <c r="I56" s="13">
        <v>20.468259715182235</v>
      </c>
      <c r="J56" s="13">
        <v>9.0996862177166307</v>
      </c>
      <c r="K56" s="13">
        <v>5.8170407916968383</v>
      </c>
      <c r="L56" s="14">
        <v>30.581704079169686</v>
      </c>
      <c r="M56" s="2"/>
      <c r="O56" s="2"/>
      <c r="P56" s="2"/>
      <c r="Q56" s="2"/>
      <c r="R56" s="2"/>
      <c r="S56" s="2"/>
      <c r="T56" s="2"/>
      <c r="U56" s="2"/>
      <c r="W56" s="2"/>
      <c r="X56" s="2"/>
      <c r="Y56" s="2"/>
      <c r="Z56" s="2"/>
      <c r="AA56" s="2"/>
      <c r="AB56" s="2"/>
      <c r="AC56" s="2"/>
      <c r="AD56" s="2"/>
      <c r="AE56" s="2"/>
    </row>
    <row r="57" spans="2:31" ht="8.25" customHeight="1" x14ac:dyDescent="0.25">
      <c r="B57" s="9"/>
      <c r="C57" s="9">
        <v>461</v>
      </c>
      <c r="D57" s="10" t="str">
        <f t="array" ref="D57">VLOOKUP([1]!Datenbereich_A3[[#This Row],[AGS]],[1]AGS_Namen!$A$1:$B$68,2,FALSE)</f>
        <v>Ammerland</v>
      </c>
      <c r="E57" s="11">
        <v>2019</v>
      </c>
      <c r="F57" s="12">
        <v>7780</v>
      </c>
      <c r="G57" s="13">
        <v>6.8766066838046269</v>
      </c>
      <c r="H57" s="13">
        <v>22.10796915167095</v>
      </c>
      <c r="I57" s="13">
        <v>20.822622107969153</v>
      </c>
      <c r="J57" s="13">
        <v>5.8483290488431878</v>
      </c>
      <c r="K57" s="13">
        <v>3.4704370179948589</v>
      </c>
      <c r="L57" s="14">
        <v>40.809768637532137</v>
      </c>
      <c r="M57" s="2"/>
      <c r="O57" s="2"/>
      <c r="P57" s="2"/>
      <c r="Q57" s="2"/>
      <c r="R57" s="2"/>
      <c r="S57" s="2"/>
      <c r="T57" s="2"/>
      <c r="U57" s="2"/>
      <c r="W57" s="2"/>
      <c r="X57" s="2"/>
      <c r="Y57" s="2"/>
      <c r="Z57" s="2"/>
      <c r="AA57" s="2"/>
      <c r="AB57" s="2"/>
      <c r="AC57" s="2"/>
      <c r="AD57" s="2"/>
      <c r="AE57" s="2"/>
    </row>
    <row r="58" spans="2:31" ht="8.25" customHeight="1" x14ac:dyDescent="0.25">
      <c r="B58" s="9"/>
      <c r="C58" s="9">
        <v>462</v>
      </c>
      <c r="D58" s="10" t="str">
        <f t="array" ref="D58">VLOOKUP([1]!Datenbereich_A3[[#This Row],[AGS]],[1]AGS_Namen!$A$1:$B$68,2,FALSE)</f>
        <v>Aurich</v>
      </c>
      <c r="E58" s="11">
        <v>2019</v>
      </c>
      <c r="F58" s="12">
        <v>2745</v>
      </c>
      <c r="G58" s="13">
        <v>9.6539162112932608</v>
      </c>
      <c r="H58" s="13">
        <v>25.318761384335154</v>
      </c>
      <c r="I58" s="13">
        <v>22.768670309653917</v>
      </c>
      <c r="J58" s="13">
        <v>6.9216757741347905</v>
      </c>
      <c r="K58" s="13">
        <v>4.3715846994535523</v>
      </c>
      <c r="L58" s="14">
        <v>30.965391621129324</v>
      </c>
      <c r="M58" s="2"/>
      <c r="O58" s="2"/>
      <c r="P58" s="2"/>
      <c r="Q58" s="2"/>
      <c r="R58" s="2"/>
      <c r="S58" s="2"/>
      <c r="T58" s="2"/>
      <c r="U58" s="2"/>
      <c r="W58" s="2"/>
      <c r="X58" s="2"/>
      <c r="Y58" s="2"/>
      <c r="Z58" s="2"/>
      <c r="AA58" s="2"/>
      <c r="AB58" s="2"/>
      <c r="AC58" s="2"/>
      <c r="AD58" s="2"/>
      <c r="AE58" s="2"/>
    </row>
    <row r="59" spans="2:31" s="15" customFormat="1" ht="16.5" customHeight="1" x14ac:dyDescent="0.15">
      <c r="B59" s="16"/>
      <c r="C59" s="16">
        <v>4</v>
      </c>
      <c r="D59" s="17" t="str">
        <f t="array" ref="D59">VLOOKUP([1]!Datenbereich_A3[[#This Row],[AGS]],[1]AGS_Namen!$A$1:$B$68,2,FALSE)</f>
        <v>Cloppenburg</v>
      </c>
      <c r="E59" s="18">
        <v>2019</v>
      </c>
      <c r="F59" s="19">
        <v>269505</v>
      </c>
      <c r="G59" s="20">
        <v>8.8235839780338026</v>
      </c>
      <c r="H59" s="20">
        <v>25.237008589822079</v>
      </c>
      <c r="I59" s="20">
        <v>19.956958126936421</v>
      </c>
      <c r="J59" s="20">
        <v>8.0072725923452257</v>
      </c>
      <c r="K59" s="20">
        <v>4.8477764791005731</v>
      </c>
      <c r="L59" s="21">
        <v>33.129255486911191</v>
      </c>
      <c r="M59" s="22"/>
      <c r="O59" s="22"/>
      <c r="P59" s="22"/>
      <c r="Q59" s="22"/>
      <c r="R59" s="22"/>
      <c r="S59" s="22"/>
      <c r="T59" s="22"/>
      <c r="U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s="16" customFormat="1" ht="16.5" customHeight="1" x14ac:dyDescent="0.25">
      <c r="C60" s="16">
        <v>0</v>
      </c>
      <c r="D60" s="17" t="str">
        <f t="array" ref="D60">VLOOKUP([1]!Datenbereich_A3[[#This Row],[AGS]],[1]AGS_Namen!$A$1:$B$68,2,FALSE)</f>
        <v>Emsland</v>
      </c>
      <c r="E60" s="18">
        <v>2019</v>
      </c>
      <c r="F60" s="19">
        <v>841165</v>
      </c>
      <c r="G60" s="20">
        <v>7.382618154583227</v>
      </c>
      <c r="H60" s="20">
        <v>22.723841339095184</v>
      </c>
      <c r="I60" s="20">
        <v>19.524112391742403</v>
      </c>
      <c r="J60" s="20">
        <v>7.4908014479917737</v>
      </c>
      <c r="K60" s="20">
        <v>4.3427864925430795</v>
      </c>
      <c r="L60" s="21">
        <v>38.535245760344282</v>
      </c>
      <c r="M60" s="23"/>
      <c r="O60" s="23"/>
      <c r="P60" s="23"/>
      <c r="Q60" s="23"/>
      <c r="R60" s="23"/>
      <c r="S60" s="23"/>
      <c r="T60" s="23"/>
      <c r="U60" s="23"/>
      <c r="W60" s="23"/>
      <c r="X60" s="23"/>
      <c r="Y60" s="23"/>
      <c r="Z60" s="23"/>
      <c r="AA60" s="23"/>
      <c r="AB60" s="23"/>
      <c r="AC60" s="23"/>
      <c r="AD60" s="23"/>
      <c r="AE60" s="23"/>
    </row>
    <row r="61" spans="2:31" s="24" customFormat="1" ht="8.25" customHeight="1" x14ac:dyDescent="0.25">
      <c r="B61" s="25">
        <v>1</v>
      </c>
      <c r="C61" s="25">
        <v>101</v>
      </c>
      <c r="D61" s="10" t="str">
        <f t="array" ref="D61">VLOOKUP([1]!Datenbereich_A3[[#This Row],[AGS]],[1]AGS_Namen!$A$1:$B$68,2,FALSE)</f>
        <v>Friesland</v>
      </c>
      <c r="E61" s="26">
        <v>2018</v>
      </c>
      <c r="F61" s="27">
        <v>29730</v>
      </c>
      <c r="G61" s="28">
        <v>8.7790110998990922</v>
      </c>
      <c r="H61" s="28">
        <v>25.36158762193071</v>
      </c>
      <c r="I61" s="28">
        <v>11.116717120753448</v>
      </c>
      <c r="J61" s="28">
        <v>6.8617558022199789</v>
      </c>
      <c r="K61" s="28">
        <v>3.6663303060881267</v>
      </c>
      <c r="L61" s="29">
        <v>44.231416078035657</v>
      </c>
      <c r="M61" s="30"/>
      <c r="O61" s="30"/>
      <c r="P61" s="30"/>
      <c r="Q61" s="30"/>
      <c r="R61" s="30"/>
      <c r="S61" s="30"/>
      <c r="T61" s="30"/>
      <c r="U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2:31" ht="8.25" customHeight="1" x14ac:dyDescent="0.25">
      <c r="B62" s="9">
        <v>2</v>
      </c>
      <c r="C62" s="9">
        <v>102</v>
      </c>
      <c r="D62" s="10" t="str">
        <f t="array" ref="D62">VLOOKUP([1]!Datenbereich_A3[[#This Row],[AGS]],[1]AGS_Namen!$A$1:$B$68,2,FALSE)</f>
        <v>Grafschaft Bentheim</v>
      </c>
      <c r="E62" s="11">
        <v>2018</v>
      </c>
      <c r="F62" s="12">
        <v>19850</v>
      </c>
      <c r="G62" s="13">
        <v>8.1612090680100753</v>
      </c>
      <c r="H62" s="13">
        <v>37.128463476070529</v>
      </c>
      <c r="I62" s="13">
        <v>9.1687657430730489</v>
      </c>
      <c r="J62" s="13">
        <v>3.7531486146095716</v>
      </c>
      <c r="K62" s="13">
        <v>2.065491183879093</v>
      </c>
      <c r="L62" s="14">
        <v>39.697732997481111</v>
      </c>
      <c r="M62" s="2"/>
      <c r="O62" s="2"/>
      <c r="P62" s="2"/>
      <c r="Q62" s="2"/>
      <c r="R62" s="2"/>
      <c r="S62" s="2"/>
      <c r="T62" s="2"/>
      <c r="U62" s="2"/>
      <c r="W62" s="2"/>
      <c r="X62" s="2"/>
      <c r="Y62" s="2"/>
      <c r="Z62" s="2"/>
      <c r="AA62" s="2"/>
      <c r="AB62" s="2"/>
      <c r="AC62" s="2"/>
      <c r="AD62" s="2"/>
      <c r="AE62" s="2"/>
    </row>
    <row r="63" spans="2:31" ht="8.25" customHeight="1" x14ac:dyDescent="0.25">
      <c r="B63" s="9">
        <v>3</v>
      </c>
      <c r="C63" s="9">
        <v>103</v>
      </c>
      <c r="D63" s="10" t="str">
        <f t="array" ref="D63">VLOOKUP([1]!Datenbereich_A3[[#This Row],[AGS]],[1]AGS_Namen!$A$1:$B$68,2,FALSE)</f>
        <v>Leer</v>
      </c>
      <c r="E63" s="11">
        <v>2018</v>
      </c>
      <c r="F63" s="12">
        <v>19325</v>
      </c>
      <c r="G63" s="13">
        <v>8.1500646830530403</v>
      </c>
      <c r="H63" s="13">
        <v>25.329883570504531</v>
      </c>
      <c r="I63" s="13">
        <v>11.927554980595085</v>
      </c>
      <c r="J63" s="13">
        <v>5.8990944372574381</v>
      </c>
      <c r="K63" s="13">
        <v>2.949547218628719</v>
      </c>
      <c r="L63" s="14">
        <v>45.717981888745143</v>
      </c>
      <c r="M63" s="2"/>
      <c r="O63" s="2"/>
      <c r="P63" s="2"/>
      <c r="Q63" s="2"/>
      <c r="R63" s="2"/>
      <c r="S63" s="2"/>
      <c r="T63" s="2"/>
      <c r="U63" s="2"/>
      <c r="W63" s="2"/>
      <c r="X63" s="2"/>
      <c r="Y63" s="2"/>
      <c r="Z63" s="2"/>
      <c r="AA63" s="2"/>
      <c r="AB63" s="2"/>
      <c r="AC63" s="2"/>
      <c r="AD63" s="2"/>
      <c r="AE63" s="2"/>
    </row>
    <row r="64" spans="2:31" ht="8.25" customHeight="1" x14ac:dyDescent="0.25">
      <c r="B64" s="9">
        <v>4</v>
      </c>
      <c r="C64" s="9">
        <v>151</v>
      </c>
      <c r="D64" s="10" t="str">
        <f t="array" ref="D64">VLOOKUP([1]!Datenbereich_A3[[#This Row],[AGS]],[1]AGS_Namen!$A$1:$B$68,2,FALSE)</f>
        <v>Oldenburg</v>
      </c>
      <c r="E64" s="11">
        <v>2018</v>
      </c>
      <c r="F64" s="12">
        <v>11810</v>
      </c>
      <c r="G64" s="13">
        <v>6.477561388653684</v>
      </c>
      <c r="H64" s="13">
        <v>28.746824724809482</v>
      </c>
      <c r="I64" s="13">
        <v>8.9331075359864531</v>
      </c>
      <c r="J64" s="13">
        <v>5.4614733276883998</v>
      </c>
      <c r="K64" s="13">
        <v>3.2176121930567314</v>
      </c>
      <c r="L64" s="14">
        <v>47.163420829805247</v>
      </c>
      <c r="M64" s="2"/>
      <c r="O64" s="2"/>
      <c r="P64" s="2"/>
      <c r="Q64" s="2"/>
      <c r="R64" s="2"/>
      <c r="S64" s="2"/>
      <c r="T64" s="2"/>
      <c r="U64" s="2"/>
      <c r="W64" s="2"/>
      <c r="X64" s="2"/>
      <c r="Y64" s="2"/>
      <c r="Z64" s="2"/>
      <c r="AA64" s="2"/>
      <c r="AB64" s="2"/>
      <c r="AC64" s="2"/>
      <c r="AD64" s="2"/>
      <c r="AE64" s="2"/>
    </row>
    <row r="65" spans="2:31" ht="8.25" customHeight="1" x14ac:dyDescent="0.25">
      <c r="B65" s="25">
        <v>5</v>
      </c>
      <c r="C65" s="9">
        <v>153</v>
      </c>
      <c r="D65" s="10" t="str">
        <f t="array" ref="D65">VLOOKUP([1]!Datenbereich_A3[[#This Row],[AGS]],[1]AGS_Namen!$A$1:$B$68,2,FALSE)</f>
        <v>Osnabrück</v>
      </c>
      <c r="E65" s="11">
        <v>2018</v>
      </c>
      <c r="F65" s="12">
        <v>13455</v>
      </c>
      <c r="G65" s="13">
        <v>13.89817911557042</v>
      </c>
      <c r="H65" s="13">
        <v>36.603493125232255</v>
      </c>
      <c r="I65" s="13">
        <v>9.2902266815310295</v>
      </c>
      <c r="J65" s="13">
        <v>4.4593088071348941</v>
      </c>
      <c r="K65" s="13">
        <v>2.787068004459309</v>
      </c>
      <c r="L65" s="14">
        <v>32.924563359345967</v>
      </c>
      <c r="M65" s="2"/>
      <c r="O65" s="2"/>
      <c r="P65" s="2"/>
      <c r="Q65" s="2"/>
      <c r="R65" s="2"/>
      <c r="S65" s="2"/>
      <c r="T65" s="2"/>
      <c r="U65" s="2"/>
      <c r="W65" s="2"/>
      <c r="X65" s="2"/>
      <c r="Y65" s="2"/>
      <c r="Z65" s="2"/>
      <c r="AA65" s="2"/>
      <c r="AB65" s="2"/>
      <c r="AC65" s="2"/>
      <c r="AD65" s="2"/>
      <c r="AE65" s="2"/>
    </row>
    <row r="66" spans="2:31" ht="8.25" customHeight="1" x14ac:dyDescent="0.25">
      <c r="B66" s="9">
        <v>6</v>
      </c>
      <c r="C66" s="9">
        <v>154</v>
      </c>
      <c r="D66" s="10" t="str">
        <f t="array" ref="D66">VLOOKUP([1]!Datenbereich_A3[[#This Row],[AGS]],[1]AGS_Namen!$A$1:$B$68,2,FALSE)</f>
        <v>Vechta</v>
      </c>
      <c r="E66" s="11">
        <v>2018</v>
      </c>
      <c r="F66" s="12">
        <v>6485</v>
      </c>
      <c r="G66" s="13">
        <v>6.6306861989205865</v>
      </c>
      <c r="H66" s="13">
        <v>33.384734001542022</v>
      </c>
      <c r="I66" s="13">
        <v>11.102544333076329</v>
      </c>
      <c r="J66" s="13">
        <v>4.8573631457208943</v>
      </c>
      <c r="K66" s="13">
        <v>2.7756360832690823</v>
      </c>
      <c r="L66" s="14">
        <v>41.17193523515806</v>
      </c>
      <c r="M66" s="2"/>
      <c r="O66" s="2"/>
      <c r="P66" s="2"/>
      <c r="Q66" s="2"/>
      <c r="R66" s="2"/>
      <c r="S66" s="2"/>
      <c r="T66" s="2"/>
      <c r="U66" s="2"/>
      <c r="W66" s="2"/>
      <c r="X66" s="2"/>
      <c r="Y66" s="2"/>
      <c r="Z66" s="2"/>
      <c r="AA66" s="2"/>
      <c r="AB66" s="2"/>
      <c r="AC66" s="2"/>
      <c r="AD66" s="2"/>
      <c r="AE66" s="2"/>
    </row>
    <row r="67" spans="2:31" ht="8.25" customHeight="1" x14ac:dyDescent="0.25">
      <c r="B67" s="9">
        <v>7</v>
      </c>
      <c r="C67" s="9">
        <v>155</v>
      </c>
      <c r="D67" s="10" t="str">
        <f t="array" ref="D67">VLOOKUP([1]!Datenbereich_A3[[#This Row],[AGS]],[1]AGS_Namen!$A$1:$B$68,2,FALSE)</f>
        <v>Wesermarsch</v>
      </c>
      <c r="E67" s="11">
        <v>2018</v>
      </c>
      <c r="F67" s="12">
        <v>8805</v>
      </c>
      <c r="G67" s="13">
        <v>5.9625212947189095</v>
      </c>
      <c r="H67" s="13">
        <v>34.639409426462237</v>
      </c>
      <c r="I67" s="13">
        <v>9.9943214082907428</v>
      </c>
      <c r="J67" s="13">
        <v>5.0539466212379329</v>
      </c>
      <c r="K67" s="13">
        <v>2.668938103350369</v>
      </c>
      <c r="L67" s="14">
        <v>41.737649063032364</v>
      </c>
      <c r="M67" s="2"/>
      <c r="O67" s="2"/>
      <c r="P67" s="2"/>
      <c r="Q67" s="2"/>
      <c r="R67" s="2"/>
      <c r="S67" s="2"/>
      <c r="T67" s="2"/>
      <c r="U67" s="2"/>
      <c r="W67" s="2"/>
      <c r="X67" s="2"/>
      <c r="Y67" s="2"/>
      <c r="Z67" s="2"/>
      <c r="AA67" s="2"/>
      <c r="AB67" s="2"/>
      <c r="AC67" s="2"/>
      <c r="AD67" s="2"/>
      <c r="AE67" s="2"/>
    </row>
    <row r="68" spans="2:31" ht="8.25" customHeight="1" x14ac:dyDescent="0.25">
      <c r="B68" s="9">
        <v>8</v>
      </c>
      <c r="C68" s="9">
        <v>157</v>
      </c>
      <c r="D68" s="10" t="str">
        <f t="array" ref="D68">VLOOKUP([1]!Datenbereich_A3[[#This Row],[AGS]],[1]AGS_Namen!$A$1:$B$68,2,FALSE)</f>
        <v>Wittmund</v>
      </c>
      <c r="E68" s="11">
        <v>2018</v>
      </c>
      <c r="F68" s="12">
        <v>11035</v>
      </c>
      <c r="G68" s="13">
        <v>7.8840054372451283</v>
      </c>
      <c r="H68" s="13">
        <v>31.128228364295424</v>
      </c>
      <c r="I68" s="13">
        <v>9.6964204802899872</v>
      </c>
      <c r="J68" s="13">
        <v>5.210693248753965</v>
      </c>
      <c r="K68" s="13">
        <v>2.8545536927956503</v>
      </c>
      <c r="L68" s="14">
        <v>43.180788400543726</v>
      </c>
      <c r="M68" s="2"/>
      <c r="O68" s="2"/>
      <c r="P68" s="2"/>
      <c r="Q68" s="2"/>
      <c r="R68" s="2"/>
      <c r="S68" s="2"/>
      <c r="T68" s="2"/>
      <c r="U68" s="2"/>
      <c r="W68" s="2"/>
      <c r="X68" s="2"/>
      <c r="Y68" s="2"/>
      <c r="Z68" s="2"/>
      <c r="AA68" s="2"/>
      <c r="AB68" s="2"/>
      <c r="AC68" s="2"/>
      <c r="AD68" s="2"/>
      <c r="AE68" s="2"/>
    </row>
    <row r="69" spans="2:31" ht="8.25" customHeight="1" x14ac:dyDescent="0.25">
      <c r="B69" s="25">
        <v>9</v>
      </c>
      <c r="C69" s="9">
        <v>158</v>
      </c>
      <c r="D69" s="10" t="str">
        <f t="array" ref="D69">VLOOKUP([1]!Datenbereich_A3[[#This Row],[AGS]],[1]AGS_Namen!$A$1:$B$68,2,FALSE)</f>
        <v>Stat. Region Weser-Ems</v>
      </c>
      <c r="E69" s="11">
        <v>2018</v>
      </c>
      <c r="F69" s="12">
        <v>7515</v>
      </c>
      <c r="G69" s="13">
        <v>7.1190951430472378</v>
      </c>
      <c r="H69" s="13">
        <v>33.333333333333329</v>
      </c>
      <c r="I69" s="13">
        <v>10.578842315369261</v>
      </c>
      <c r="J69" s="13">
        <v>4.8569527611443775</v>
      </c>
      <c r="K69" s="13">
        <v>2.7944111776447107</v>
      </c>
      <c r="L69" s="14">
        <v>41.317365269461078</v>
      </c>
      <c r="M69" s="2"/>
      <c r="O69" s="2"/>
      <c r="P69" s="2"/>
      <c r="Q69" s="2"/>
      <c r="R69" s="2"/>
      <c r="S69" s="2"/>
      <c r="T69" s="2"/>
      <c r="U69" s="2"/>
      <c r="W69" s="2"/>
      <c r="X69" s="2"/>
      <c r="Y69" s="2"/>
      <c r="Z69" s="2"/>
      <c r="AA69" s="2"/>
      <c r="AB69" s="2"/>
      <c r="AC69" s="2"/>
      <c r="AD69" s="2"/>
      <c r="AE69" s="2"/>
    </row>
    <row r="70" spans="2:31" ht="8.25" customHeight="1" x14ac:dyDescent="0.25">
      <c r="B70" s="9">
        <v>10</v>
      </c>
      <c r="C70" s="9">
        <v>159</v>
      </c>
      <c r="D70" s="10" t="str">
        <f t="array" ref="D70">VLOOKUP([1]!Datenbereich_A3[[#This Row],[AGS]],[1]AGS_Namen!$A$1:$B$68,2,FALSE)</f>
        <v>Niedersachsen</v>
      </c>
      <c r="E70" s="11">
        <v>2018</v>
      </c>
      <c r="F70" s="12">
        <v>30170</v>
      </c>
      <c r="G70" s="13">
        <v>8.7504143188597947</v>
      </c>
      <c r="H70" s="13">
        <v>32.084852502485909</v>
      </c>
      <c r="I70" s="13">
        <v>10.971163407358302</v>
      </c>
      <c r="J70" s="13">
        <v>5.4192906861120322</v>
      </c>
      <c r="K70" s="13">
        <v>3.115677825654624</v>
      </c>
      <c r="L70" s="14">
        <v>39.675174013921115</v>
      </c>
      <c r="M70" s="2"/>
      <c r="O70" s="2"/>
      <c r="P70" s="2"/>
      <c r="Q70" s="2"/>
      <c r="R70" s="2"/>
      <c r="S70" s="2"/>
      <c r="T70" s="2"/>
      <c r="U70" s="2"/>
      <c r="W70" s="2"/>
      <c r="X70" s="2"/>
      <c r="Y70" s="2"/>
      <c r="Z70" s="2"/>
      <c r="AA70" s="2"/>
      <c r="AB70" s="2"/>
      <c r="AC70" s="2"/>
      <c r="AD70" s="2"/>
      <c r="AE70" s="2"/>
    </row>
    <row r="71" spans="2:31" ht="8.25" customHeight="1" x14ac:dyDescent="0.25">
      <c r="B71" s="9">
        <v>11</v>
      </c>
      <c r="C71" s="9">
        <v>159016</v>
      </c>
      <c r="D71" s="10" t="str">
        <f t="array" ref="D71">VLOOKUP([1]!Datenbereich_A3[[#This Row],[AGS]],[1]AGS_Namen!$A$1:$B$68,2,FALSE)</f>
        <v>Braunschweig, Stadt</v>
      </c>
      <c r="E71" s="11">
        <v>2018</v>
      </c>
      <c r="F71" s="12">
        <v>17265</v>
      </c>
      <c r="G71" s="13">
        <v>7.5296843324645231</v>
      </c>
      <c r="H71" s="13">
        <v>33.043730089777007</v>
      </c>
      <c r="I71" s="13">
        <v>12.597741094700259</v>
      </c>
      <c r="J71" s="13">
        <v>6.3712713582392126</v>
      </c>
      <c r="K71" s="13">
        <v>3.4173182739646686</v>
      </c>
      <c r="L71" s="14">
        <v>37.040254850854332</v>
      </c>
      <c r="M71" s="2"/>
      <c r="O71" s="2"/>
      <c r="P71" s="2"/>
      <c r="Q71" s="2"/>
      <c r="R71" s="2"/>
      <c r="S71" s="2"/>
      <c r="T71" s="2"/>
      <c r="U71" s="2"/>
      <c r="W71" s="2"/>
      <c r="X71" s="2"/>
      <c r="Y71" s="2"/>
      <c r="Z71" s="2"/>
      <c r="AA71" s="2"/>
      <c r="AB71" s="2"/>
      <c r="AC71" s="2"/>
      <c r="AD71" s="2"/>
      <c r="AE71" s="2"/>
    </row>
    <row r="72" spans="2:31" ht="8.25" customHeight="1" x14ac:dyDescent="0.25">
      <c r="B72" s="9">
        <v>12</v>
      </c>
      <c r="C72" s="9">
        <v>159999</v>
      </c>
      <c r="D72" s="10" t="str">
        <f t="array" ref="D72">VLOOKUP([1]!Datenbereich_A3[[#This Row],[AGS]],[1]AGS_Namen!$A$1:$B$68,2,FALSE)</f>
        <v>Salzgitter, Stadt</v>
      </c>
      <c r="E72" s="11">
        <v>2018</v>
      </c>
      <c r="F72" s="12">
        <v>12905</v>
      </c>
      <c r="G72" s="13">
        <v>10.383572258814414</v>
      </c>
      <c r="H72" s="13">
        <v>30.802014722975592</v>
      </c>
      <c r="I72" s="13">
        <v>8.7950406819062383</v>
      </c>
      <c r="J72" s="13">
        <v>4.1456799690042612</v>
      </c>
      <c r="K72" s="13">
        <v>2.7121270825261523</v>
      </c>
      <c r="L72" s="14">
        <v>43.20030995738086</v>
      </c>
      <c r="M72" s="2"/>
      <c r="O72" s="2"/>
      <c r="P72" s="2"/>
      <c r="Q72" s="2"/>
      <c r="R72" s="2"/>
      <c r="S72" s="2"/>
      <c r="T72" s="2"/>
      <c r="U72" s="2"/>
      <c r="W72" s="2"/>
      <c r="X72" s="2"/>
      <c r="Y72" s="2"/>
      <c r="Z72" s="2"/>
      <c r="AA72" s="2"/>
      <c r="AB72" s="2"/>
      <c r="AC72" s="2"/>
      <c r="AD72" s="2"/>
      <c r="AE72" s="2"/>
    </row>
    <row r="73" spans="2:31" s="16" customFormat="1" ht="16.5" customHeight="1" x14ac:dyDescent="0.25">
      <c r="B73" s="16">
        <v>13</v>
      </c>
      <c r="C73" s="16">
        <v>1</v>
      </c>
      <c r="D73" s="17" t="str">
        <f t="array" ref="D73">VLOOKUP([1]!Datenbereich_A3[[#This Row],[AGS]],[1]AGS_Namen!$A$1:$B$68,2,FALSE)</f>
        <v>Wolfsburg, Stadt</v>
      </c>
      <c r="E73" s="31">
        <v>2018</v>
      </c>
      <c r="F73" s="32">
        <v>158180</v>
      </c>
      <c r="G73" s="33">
        <v>8.4966493867745605</v>
      </c>
      <c r="H73" s="33">
        <v>30.948918953091415</v>
      </c>
      <c r="I73" s="33">
        <v>10.440637248704009</v>
      </c>
      <c r="J73" s="33">
        <v>5.379946895941333</v>
      </c>
      <c r="K73" s="33">
        <v>2.9776204324187634</v>
      </c>
      <c r="L73" s="34">
        <v>41.753066127196867</v>
      </c>
      <c r="M73" s="23"/>
      <c r="O73" s="23"/>
      <c r="P73" s="23"/>
      <c r="Q73" s="23"/>
      <c r="R73" s="23"/>
      <c r="S73" s="23"/>
      <c r="T73" s="23"/>
      <c r="U73" s="23"/>
      <c r="W73" s="23"/>
      <c r="X73" s="23"/>
      <c r="Y73" s="23"/>
      <c r="Z73" s="23"/>
      <c r="AA73" s="23"/>
      <c r="AB73" s="23"/>
      <c r="AC73" s="23"/>
      <c r="AD73" s="23"/>
      <c r="AE73" s="23"/>
    </row>
    <row r="74" spans="2:31" ht="8.25" customHeight="1" x14ac:dyDescent="0.25">
      <c r="B74" s="9">
        <v>14</v>
      </c>
      <c r="C74" s="25">
        <v>241</v>
      </c>
      <c r="D74" s="10" t="str">
        <f t="array" ref="D74">VLOOKUP([1]!Datenbereich_A3[[#This Row],[AGS]],[1]AGS_Namen!$A$1:$B$68,2,FALSE)</f>
        <v>Gifhorn</v>
      </c>
      <c r="E74" s="11">
        <v>2018</v>
      </c>
      <c r="F74" s="12">
        <v>181570</v>
      </c>
      <c r="G74" s="13">
        <v>5.7663710965467869</v>
      </c>
      <c r="H74" s="13">
        <v>26.364487525472271</v>
      </c>
      <c r="I74" s="13">
        <v>11.17199977969929</v>
      </c>
      <c r="J74" s="13">
        <v>6.6585889739494402</v>
      </c>
      <c r="K74" s="13">
        <v>3.6542380349176624</v>
      </c>
      <c r="L74" s="14">
        <v>46.384314589414551</v>
      </c>
      <c r="M74" s="2"/>
      <c r="O74" s="2"/>
      <c r="P74" s="2"/>
      <c r="Q74" s="2"/>
      <c r="R74" s="2"/>
      <c r="S74" s="2"/>
      <c r="T74" s="2"/>
      <c r="U74" s="2"/>
      <c r="W74" s="2"/>
      <c r="X74" s="2"/>
      <c r="Y74" s="2"/>
      <c r="Z74" s="2"/>
      <c r="AA74" s="2"/>
      <c r="AB74" s="2"/>
      <c r="AC74" s="2"/>
      <c r="AD74" s="2"/>
      <c r="AE74" s="2"/>
    </row>
    <row r="75" spans="2:31" ht="8.25" customHeight="1" x14ac:dyDescent="0.25">
      <c r="B75" s="9">
        <v>15</v>
      </c>
      <c r="C75" s="25">
        <v>241001</v>
      </c>
      <c r="D75" s="10" t="str">
        <f t="array" ref="D75">VLOOKUP([1]!Datenbereich_A3[[#This Row],[AGS]],[1]AGS_Namen!$A$1:$B$68,2,FALSE)</f>
        <v>Goslar</v>
      </c>
      <c r="E75" s="11">
        <v>2018</v>
      </c>
      <c r="F75" s="12">
        <v>111255</v>
      </c>
      <c r="G75" s="13">
        <v>5.4873938249966292</v>
      </c>
      <c r="H75" s="13">
        <v>24.093299177565054</v>
      </c>
      <c r="I75" s="13">
        <v>11.810705136847782</v>
      </c>
      <c r="J75" s="13">
        <v>7.3614669003640287</v>
      </c>
      <c r="K75" s="13">
        <v>4.1121747337198329</v>
      </c>
      <c r="L75" s="14">
        <v>47.134960226506671</v>
      </c>
      <c r="M75" s="2"/>
      <c r="O75" s="2"/>
      <c r="P75" s="2"/>
      <c r="Q75" s="2"/>
      <c r="R75" s="2"/>
      <c r="S75" s="2"/>
      <c r="T75" s="2"/>
      <c r="U75" s="2"/>
      <c r="W75" s="2"/>
      <c r="X75" s="2"/>
      <c r="Y75" s="2"/>
      <c r="Z75" s="2"/>
      <c r="AA75" s="2"/>
      <c r="AB75" s="2"/>
      <c r="AC75" s="2"/>
      <c r="AD75" s="2"/>
      <c r="AE75" s="2"/>
    </row>
    <row r="76" spans="2:31" ht="8.25" customHeight="1" x14ac:dyDescent="0.25">
      <c r="B76" s="9">
        <v>16</v>
      </c>
      <c r="C76" s="25">
        <v>241999</v>
      </c>
      <c r="D76" s="10" t="str">
        <f t="array" ref="D76">VLOOKUP([1]!Datenbereich_A3[[#This Row],[AGS]],[1]AGS_Namen!$A$1:$B$68,2,FALSE)</f>
        <v>Helmstedt</v>
      </c>
      <c r="E76" s="11">
        <v>2018</v>
      </c>
      <c r="F76" s="12">
        <v>70315</v>
      </c>
      <c r="G76" s="13">
        <v>6.207779278958971</v>
      </c>
      <c r="H76" s="13">
        <v>29.958045936144494</v>
      </c>
      <c r="I76" s="13">
        <v>10.161416482969495</v>
      </c>
      <c r="J76" s="13">
        <v>5.5464694588636849</v>
      </c>
      <c r="K76" s="13">
        <v>2.9296736116049207</v>
      </c>
      <c r="L76" s="14">
        <v>45.196615231458438</v>
      </c>
      <c r="M76" s="2"/>
      <c r="O76" s="2"/>
      <c r="P76" s="2"/>
      <c r="Q76" s="2"/>
      <c r="R76" s="2"/>
      <c r="S76" s="2"/>
      <c r="T76" s="2"/>
      <c r="U76" s="2"/>
      <c r="W76" s="2"/>
      <c r="X76" s="2"/>
      <c r="Y76" s="2"/>
      <c r="Z76" s="2"/>
      <c r="AA76" s="2"/>
      <c r="AB76" s="2"/>
      <c r="AC76" s="2"/>
      <c r="AD76" s="2"/>
      <c r="AE76" s="2"/>
    </row>
    <row r="77" spans="2:31" ht="8.25" customHeight="1" x14ac:dyDescent="0.25">
      <c r="B77" s="25">
        <v>17</v>
      </c>
      <c r="C77" s="25">
        <v>251</v>
      </c>
      <c r="D77" s="10" t="str">
        <f t="array" ref="D77">VLOOKUP([1]!Datenbereich_A3[[#This Row],[AGS]],[1]AGS_Namen!$A$1:$B$68,2,FALSE)</f>
        <v>Northeim</v>
      </c>
      <c r="E77" s="11">
        <v>2018</v>
      </c>
      <c r="F77" s="12">
        <v>17565</v>
      </c>
      <c r="G77" s="13">
        <v>6.3763165385710225</v>
      </c>
      <c r="H77" s="13">
        <v>34.272701394819244</v>
      </c>
      <c r="I77" s="13">
        <v>13.891261030458299</v>
      </c>
      <c r="J77" s="13">
        <v>7.4580130942214637</v>
      </c>
      <c r="K77" s="13">
        <v>3.4443495587816684</v>
      </c>
      <c r="L77" s="14">
        <v>34.585824081981215</v>
      </c>
      <c r="M77" s="2"/>
      <c r="O77" s="2"/>
      <c r="P77" s="2"/>
      <c r="Q77" s="2"/>
      <c r="R77" s="2"/>
      <c r="S77" s="2"/>
      <c r="T77" s="2"/>
      <c r="U77" s="2"/>
      <c r="W77" s="2"/>
      <c r="X77" s="2"/>
      <c r="Y77" s="2"/>
      <c r="Z77" s="2"/>
      <c r="AA77" s="2"/>
      <c r="AB77" s="2"/>
      <c r="AC77" s="2"/>
      <c r="AD77" s="2"/>
      <c r="AE77" s="2"/>
    </row>
    <row r="78" spans="2:31" ht="8.25" customHeight="1" x14ac:dyDescent="0.25">
      <c r="B78" s="9">
        <v>18</v>
      </c>
      <c r="C78" s="25">
        <v>252</v>
      </c>
      <c r="D78" s="10" t="str">
        <f t="array" ref="D78">VLOOKUP([1]!Datenbereich_A3[[#This Row],[AGS]],[1]AGS_Namen!$A$1:$B$68,2,FALSE)</f>
        <v>Peine</v>
      </c>
      <c r="E78" s="11">
        <v>2018</v>
      </c>
      <c r="F78" s="12">
        <v>16535</v>
      </c>
      <c r="G78" s="13">
        <v>6.5920774115512542</v>
      </c>
      <c r="H78" s="13">
        <v>30.359842757786517</v>
      </c>
      <c r="I78" s="13">
        <v>9.1321439371031143</v>
      </c>
      <c r="J78" s="13">
        <v>4.4753553069247056</v>
      </c>
      <c r="K78" s="13">
        <v>3.0238887208950711</v>
      </c>
      <c r="L78" s="14">
        <v>46.416691865739338</v>
      </c>
      <c r="M78" s="2"/>
      <c r="O78" s="2"/>
      <c r="P78" s="2"/>
      <c r="Q78" s="2"/>
      <c r="R78" s="2"/>
      <c r="S78" s="2"/>
      <c r="T78" s="2"/>
      <c r="U78" s="2"/>
      <c r="W78" s="2"/>
      <c r="X78" s="2"/>
      <c r="Y78" s="2"/>
      <c r="Z78" s="2"/>
      <c r="AA78" s="2"/>
      <c r="AB78" s="2"/>
      <c r="AC78" s="2"/>
      <c r="AD78" s="2"/>
      <c r="AE78" s="2"/>
    </row>
    <row r="79" spans="2:31" ht="8.25" customHeight="1" x14ac:dyDescent="0.25">
      <c r="B79" s="9">
        <v>19</v>
      </c>
      <c r="C79" s="25">
        <v>254</v>
      </c>
      <c r="D79" s="10" t="str">
        <f t="array" ref="D79">VLOOKUP([1]!Datenbereich_A3[[#This Row],[AGS]],[1]AGS_Namen!$A$1:$B$68,2,FALSE)</f>
        <v>Wolfenbüttel</v>
      </c>
      <c r="E79" s="11">
        <v>2018</v>
      </c>
      <c r="F79" s="12">
        <v>24090</v>
      </c>
      <c r="G79" s="13">
        <v>7.8248235782482354</v>
      </c>
      <c r="H79" s="13">
        <v>30.987961809879614</v>
      </c>
      <c r="I79" s="13">
        <v>10.294728102947282</v>
      </c>
      <c r="J79" s="13">
        <v>5.6870070568700708</v>
      </c>
      <c r="K79" s="13">
        <v>3.4661685346616853</v>
      </c>
      <c r="L79" s="14">
        <v>41.739310917393105</v>
      </c>
      <c r="M79" s="2"/>
      <c r="O79" s="2"/>
      <c r="P79" s="2"/>
      <c r="Q79" s="2"/>
      <c r="R79" s="2"/>
      <c r="S79" s="2"/>
      <c r="T79" s="2"/>
      <c r="U79" s="2"/>
      <c r="W79" s="2"/>
      <c r="X79" s="2"/>
      <c r="Y79" s="2"/>
      <c r="Z79" s="2"/>
      <c r="AA79" s="2"/>
      <c r="AB79" s="2"/>
      <c r="AC79" s="2"/>
      <c r="AD79" s="2"/>
      <c r="AE79" s="2"/>
    </row>
    <row r="80" spans="2:31" ht="8.25" customHeight="1" x14ac:dyDescent="0.25">
      <c r="B80" s="9">
        <v>20</v>
      </c>
      <c r="C80" s="25">
        <v>254021</v>
      </c>
      <c r="D80" s="10" t="str">
        <f t="array" ref="D80">VLOOKUP([1]!Datenbereich_A3[[#This Row],[AGS]],[1]AGS_Namen!$A$1:$B$68,2,FALSE)</f>
        <v>Göttingen</v>
      </c>
      <c r="E80" s="11">
        <v>2018</v>
      </c>
      <c r="F80" s="12">
        <v>14425</v>
      </c>
      <c r="G80" s="13">
        <v>8.2495667244367432</v>
      </c>
      <c r="H80" s="13">
        <v>29.844020797227039</v>
      </c>
      <c r="I80" s="13">
        <v>10.467937608318891</v>
      </c>
      <c r="J80" s="13">
        <v>5.9618717504332759</v>
      </c>
      <c r="K80" s="13">
        <v>3.8128249566724435</v>
      </c>
      <c r="L80" s="14">
        <v>41.663778162911612</v>
      </c>
      <c r="M80" s="2"/>
      <c r="O80" s="2"/>
      <c r="P80" s="2"/>
      <c r="Q80" s="2"/>
      <c r="R80" s="2"/>
      <c r="S80" s="2"/>
      <c r="T80" s="2"/>
      <c r="U80" s="2"/>
      <c r="W80" s="2"/>
      <c r="X80" s="2"/>
      <c r="Y80" s="2"/>
      <c r="Z80" s="2"/>
      <c r="AA80" s="2"/>
      <c r="AB80" s="2"/>
      <c r="AC80" s="2"/>
      <c r="AD80" s="2"/>
      <c r="AE80" s="2"/>
    </row>
    <row r="81" spans="2:31" ht="8.25" customHeight="1" x14ac:dyDescent="0.25">
      <c r="B81" s="25">
        <v>21</v>
      </c>
      <c r="C81" s="25">
        <v>241999</v>
      </c>
      <c r="D81" s="10" t="str">
        <f t="array" ref="D81">VLOOKUP([1]!Datenbereich_A3[[#This Row],[AGS]],[1]AGS_Namen!$A$1:$B$68,2,FALSE)</f>
        <v xml:space="preserve">   dav. Göttingen, Stadt</v>
      </c>
      <c r="E81" s="11">
        <v>2018</v>
      </c>
      <c r="F81" s="12">
        <v>9665</v>
      </c>
      <c r="G81" s="13">
        <v>7.1908949818934298</v>
      </c>
      <c r="H81" s="13">
        <v>32.695292291774443</v>
      </c>
      <c r="I81" s="13">
        <v>10.036213140196585</v>
      </c>
      <c r="J81" s="13">
        <v>5.2767718572167617</v>
      </c>
      <c r="K81" s="13">
        <v>2.9487842731505434</v>
      </c>
      <c r="L81" s="14">
        <v>41.852043455768232</v>
      </c>
      <c r="M81" s="2"/>
      <c r="O81" s="2"/>
      <c r="P81" s="2"/>
      <c r="Q81" s="2"/>
      <c r="R81" s="2"/>
      <c r="S81" s="2"/>
      <c r="T81" s="2"/>
      <c r="U81" s="2"/>
      <c r="W81" s="2"/>
      <c r="X81" s="2"/>
      <c r="Y81" s="2"/>
      <c r="Z81" s="2"/>
      <c r="AA81" s="2"/>
      <c r="AB81" s="2"/>
      <c r="AC81" s="2"/>
      <c r="AD81" s="2"/>
      <c r="AE81" s="2"/>
    </row>
    <row r="82" spans="2:31" ht="8.25" customHeight="1" x14ac:dyDescent="0.25">
      <c r="B82" s="9">
        <v>22</v>
      </c>
      <c r="C82" s="25">
        <v>255</v>
      </c>
      <c r="D82" s="10" t="str">
        <f t="array" ref="D82">VLOOKUP([1]!Datenbereich_A3[[#This Row],[AGS]],[1]AGS_Namen!$A$1:$B$68,2,FALSE)</f>
        <v xml:space="preserve">   dav. Göttingen, Umland</v>
      </c>
      <c r="E82" s="11">
        <v>2018</v>
      </c>
      <c r="F82" s="12">
        <v>4330</v>
      </c>
      <c r="G82" s="13">
        <v>6.2355658198614323</v>
      </c>
      <c r="H82" s="13">
        <v>32.10161662817552</v>
      </c>
      <c r="I82" s="13">
        <v>5.8891454965357966</v>
      </c>
      <c r="J82" s="13">
        <v>4.2725173210161662</v>
      </c>
      <c r="K82" s="13">
        <v>1.8475750577367205</v>
      </c>
      <c r="L82" s="14">
        <v>49.76905311778291</v>
      </c>
      <c r="M82" s="2"/>
      <c r="O82" s="2"/>
      <c r="P82" s="2"/>
      <c r="Q82" s="2"/>
      <c r="R82" s="2"/>
      <c r="S82" s="2"/>
      <c r="T82" s="2"/>
      <c r="U82" s="2"/>
      <c r="W82" s="2"/>
      <c r="X82" s="2"/>
      <c r="Y82" s="2"/>
      <c r="Z82" s="2"/>
      <c r="AA82" s="2"/>
      <c r="AB82" s="2"/>
      <c r="AC82" s="2"/>
      <c r="AD82" s="2"/>
      <c r="AE82" s="2"/>
    </row>
    <row r="83" spans="2:31" ht="8.25" customHeight="1" x14ac:dyDescent="0.25">
      <c r="B83" s="9">
        <v>23</v>
      </c>
      <c r="C83" s="25">
        <v>256</v>
      </c>
      <c r="D83" s="10" t="str">
        <f t="array" ref="D83">VLOOKUP([1]!Datenbereich_A3[[#This Row],[AGS]],[1]AGS_Namen!$A$1:$B$68,2,FALSE)</f>
        <v>Stat. Region Braunschweig</v>
      </c>
      <c r="E83" s="11">
        <v>2018</v>
      </c>
      <c r="F83" s="12">
        <v>10430</v>
      </c>
      <c r="G83" s="13">
        <v>8.4851390220517739</v>
      </c>
      <c r="H83" s="13">
        <v>38.398849472674982</v>
      </c>
      <c r="I83" s="13">
        <v>9.8274209012464038</v>
      </c>
      <c r="J83" s="13">
        <v>5.7526366251198464</v>
      </c>
      <c r="K83" s="13">
        <v>2.828379674017258</v>
      </c>
      <c r="L83" s="14">
        <v>34.659635666347079</v>
      </c>
      <c r="M83" s="2"/>
      <c r="O83" s="2"/>
      <c r="P83" s="2"/>
      <c r="Q83" s="2"/>
      <c r="R83" s="2"/>
      <c r="S83" s="2"/>
      <c r="T83" s="2"/>
      <c r="U83" s="2"/>
      <c r="W83" s="2"/>
      <c r="X83" s="2"/>
      <c r="Y83" s="2"/>
      <c r="Z83" s="2"/>
      <c r="AA83" s="2"/>
      <c r="AB83" s="2"/>
      <c r="AC83" s="2"/>
      <c r="AD83" s="2"/>
      <c r="AE83" s="2"/>
    </row>
    <row r="84" spans="2:31" ht="8.25" customHeight="1" x14ac:dyDescent="0.25">
      <c r="B84" s="9">
        <v>24</v>
      </c>
      <c r="C84" s="25">
        <v>257</v>
      </c>
      <c r="D84" s="10" t="str">
        <f t="array" ref="D84">VLOOKUP([1]!Datenbereich_A3[[#This Row],[AGS]],[1]AGS_Namen!$A$1:$B$68,2,FALSE)</f>
        <v>Hannover, Region</v>
      </c>
      <c r="E84" s="11">
        <v>2018</v>
      </c>
      <c r="F84" s="12">
        <v>13985</v>
      </c>
      <c r="G84" s="13">
        <v>7.2577761887736862</v>
      </c>
      <c r="H84" s="13">
        <v>32.67786914551305</v>
      </c>
      <c r="I84" s="13">
        <v>8.4376117268501964</v>
      </c>
      <c r="J84" s="13">
        <v>4.5405791919914193</v>
      </c>
      <c r="K84" s="13">
        <v>2.2524132999642474</v>
      </c>
      <c r="L84" s="14">
        <v>44.833750446907402</v>
      </c>
      <c r="M84" s="2"/>
      <c r="O84" s="2"/>
      <c r="P84" s="2"/>
      <c r="Q84" s="2"/>
      <c r="R84" s="2"/>
      <c r="S84" s="2"/>
      <c r="T84" s="2"/>
      <c r="U84" s="2"/>
      <c r="W84" s="2"/>
      <c r="X84" s="2"/>
      <c r="Y84" s="2"/>
      <c r="Z84" s="2"/>
      <c r="AA84" s="2"/>
      <c r="AB84" s="2"/>
      <c r="AC84" s="2"/>
      <c r="AD84" s="2"/>
      <c r="AE84" s="2"/>
    </row>
    <row r="85" spans="2:31" s="16" customFormat="1" ht="16.5" customHeight="1" x14ac:dyDescent="0.25">
      <c r="B85" s="16">
        <v>25</v>
      </c>
      <c r="C85" s="16">
        <v>2</v>
      </c>
      <c r="D85" s="17" t="str">
        <f t="array" ref="D85">VLOOKUP([1]!Datenbereich_A3[[#This Row],[AGS]],[1]AGS_Namen!$A$1:$B$68,2,FALSE)</f>
        <v xml:space="preserve">   dav. Hannover, Lhst.</v>
      </c>
      <c r="E85" s="18">
        <v>2018</v>
      </c>
      <c r="F85" s="19">
        <v>268505</v>
      </c>
      <c r="G85" s="20">
        <v>6.2289342842777602</v>
      </c>
      <c r="H85" s="20">
        <v>28.429638181784323</v>
      </c>
      <c r="I85" s="20">
        <v>10.863857283849462</v>
      </c>
      <c r="J85" s="20">
        <v>6.3090072810562186</v>
      </c>
      <c r="K85" s="20">
        <v>3.4505875123368277</v>
      </c>
      <c r="L85" s="21">
        <v>44.716113293979625</v>
      </c>
      <c r="M85" s="23"/>
      <c r="O85" s="23"/>
      <c r="P85" s="23"/>
      <c r="Q85" s="23"/>
      <c r="R85" s="23"/>
      <c r="S85" s="23"/>
      <c r="T85" s="23"/>
      <c r="U85" s="23"/>
      <c r="W85" s="23"/>
      <c r="X85" s="23"/>
      <c r="Y85" s="23"/>
      <c r="Z85" s="23"/>
      <c r="AA85" s="23"/>
      <c r="AB85" s="23"/>
      <c r="AC85" s="23"/>
      <c r="AD85" s="23"/>
      <c r="AE85" s="23"/>
    </row>
    <row r="86" spans="2:31" ht="8.25" customHeight="1" x14ac:dyDescent="0.25">
      <c r="B86" s="9">
        <v>26</v>
      </c>
      <c r="C86" s="25">
        <v>351</v>
      </c>
      <c r="D86" s="10" t="str">
        <f t="array" ref="D86">VLOOKUP([1]!Datenbereich_A3[[#This Row],[AGS]],[1]AGS_Namen!$A$1:$B$68,2,FALSE)</f>
        <v xml:space="preserve">   dav. Hannover, Umland</v>
      </c>
      <c r="E86" s="11">
        <v>2018</v>
      </c>
      <c r="F86" s="12">
        <v>14130</v>
      </c>
      <c r="G86" s="13">
        <v>7.6433121019108281</v>
      </c>
      <c r="H86" s="13">
        <v>35.598018400566176</v>
      </c>
      <c r="I86" s="13">
        <v>10.580325548478415</v>
      </c>
      <c r="J86" s="13">
        <v>5.4847841472045289</v>
      </c>
      <c r="K86" s="13">
        <v>3.043170559094126</v>
      </c>
      <c r="L86" s="14">
        <v>37.650389242745931</v>
      </c>
      <c r="M86" s="2"/>
      <c r="O86" s="2"/>
      <c r="P86" s="2"/>
      <c r="Q86" s="2"/>
      <c r="R86" s="2"/>
      <c r="S86" s="2"/>
      <c r="T86" s="2"/>
      <c r="U86" s="2"/>
      <c r="W86" s="2"/>
      <c r="X86" s="2"/>
      <c r="Y86" s="2"/>
      <c r="Z86" s="2"/>
      <c r="AA86" s="2"/>
      <c r="AB86" s="2"/>
      <c r="AC86" s="2"/>
      <c r="AD86" s="2"/>
      <c r="AE86" s="2"/>
    </row>
    <row r="87" spans="2:31" ht="8.25" customHeight="1" x14ac:dyDescent="0.25">
      <c r="B87" s="9">
        <v>27</v>
      </c>
      <c r="C87" s="25">
        <v>352</v>
      </c>
      <c r="D87" s="10" t="str">
        <f t="array" ref="D87">VLOOKUP([1]!Datenbereich_A3[[#This Row],[AGS]],[1]AGS_Namen!$A$1:$B$68,2,FALSE)</f>
        <v>Diepholz</v>
      </c>
      <c r="E87" s="11">
        <v>2018</v>
      </c>
      <c r="F87" s="12">
        <v>13335</v>
      </c>
      <c r="G87" s="13">
        <v>6.7491563554555682</v>
      </c>
      <c r="H87" s="13">
        <v>31.458567679040122</v>
      </c>
      <c r="I87" s="13">
        <v>9.7862767154105725</v>
      </c>
      <c r="J87" s="13">
        <v>5.3618297712785905</v>
      </c>
      <c r="K87" s="13">
        <v>3.1496062992125982</v>
      </c>
      <c r="L87" s="14">
        <v>43.494563179602551</v>
      </c>
      <c r="M87" s="2"/>
      <c r="O87" s="2"/>
      <c r="P87" s="2"/>
      <c r="Q87" s="2"/>
      <c r="R87" s="2"/>
      <c r="S87" s="2"/>
      <c r="T87" s="2"/>
      <c r="U87" s="2"/>
      <c r="W87" s="2"/>
      <c r="X87" s="2"/>
      <c r="Y87" s="2"/>
      <c r="Z87" s="2"/>
      <c r="AA87" s="2"/>
      <c r="AB87" s="2"/>
      <c r="AC87" s="2"/>
      <c r="AD87" s="2"/>
      <c r="AE87" s="2"/>
    </row>
    <row r="88" spans="2:31" ht="8.25" customHeight="1" x14ac:dyDescent="0.25">
      <c r="B88" s="9">
        <v>28</v>
      </c>
      <c r="C88" s="25">
        <v>353</v>
      </c>
      <c r="D88" s="10" t="str">
        <f t="array" ref="D88">VLOOKUP([1]!Datenbereich_A3[[#This Row],[AGS]],[1]AGS_Namen!$A$1:$B$68,2,FALSE)</f>
        <v>Hameln-Pyrmont</v>
      </c>
      <c r="E88" s="11">
        <v>2018</v>
      </c>
      <c r="F88" s="12">
        <v>18930</v>
      </c>
      <c r="G88" s="13">
        <v>7.2636027469624924</v>
      </c>
      <c r="H88" s="13">
        <v>27.469624933967246</v>
      </c>
      <c r="I88" s="13">
        <v>10.538827258320127</v>
      </c>
      <c r="J88" s="13">
        <v>5.6788166930797672</v>
      </c>
      <c r="K88" s="13">
        <v>4.3845747490755409</v>
      </c>
      <c r="L88" s="14">
        <v>44.71737982039091</v>
      </c>
      <c r="M88" s="2"/>
      <c r="O88" s="2"/>
      <c r="P88" s="2"/>
      <c r="Q88" s="2"/>
      <c r="R88" s="2"/>
      <c r="S88" s="2"/>
      <c r="T88" s="2"/>
      <c r="U88" s="2"/>
      <c r="W88" s="2"/>
      <c r="X88" s="2"/>
      <c r="Y88" s="2"/>
      <c r="Z88" s="2"/>
      <c r="AA88" s="2"/>
      <c r="AB88" s="2"/>
      <c r="AC88" s="2"/>
      <c r="AD88" s="2"/>
      <c r="AE88" s="2"/>
    </row>
    <row r="89" spans="2:31" ht="8.25" customHeight="1" x14ac:dyDescent="0.25">
      <c r="B89" s="25">
        <v>29</v>
      </c>
      <c r="C89" s="25">
        <v>354</v>
      </c>
      <c r="D89" s="10" t="str">
        <f t="array" ref="D89">VLOOKUP([1]!Datenbereich_A3[[#This Row],[AGS]],[1]AGS_Namen!$A$1:$B$68,2,FALSE)</f>
        <v>Hildesheim</v>
      </c>
      <c r="E89" s="11">
        <v>2018</v>
      </c>
      <c r="F89" s="12">
        <v>2665</v>
      </c>
      <c r="G89" s="13">
        <v>9.7560975609756095</v>
      </c>
      <c r="H89" s="13">
        <v>32.645403377110696</v>
      </c>
      <c r="I89" s="13">
        <v>15.0093808630394</v>
      </c>
      <c r="J89" s="13">
        <v>6.9418386491557227</v>
      </c>
      <c r="K89" s="13">
        <v>2.8142589118198873</v>
      </c>
      <c r="L89" s="14">
        <v>32.833020637898684</v>
      </c>
      <c r="M89" s="2"/>
      <c r="O89" s="2"/>
      <c r="P89" s="2"/>
      <c r="Q89" s="2"/>
      <c r="R89" s="2"/>
      <c r="S89" s="2"/>
      <c r="T89" s="2"/>
      <c r="U89" s="2"/>
      <c r="W89" s="2"/>
      <c r="X89" s="2"/>
      <c r="Y89" s="2"/>
      <c r="Z89" s="2"/>
      <c r="AA89" s="2"/>
      <c r="AB89" s="2"/>
      <c r="AC89" s="2"/>
      <c r="AD89" s="2"/>
      <c r="AE89" s="2"/>
    </row>
    <row r="90" spans="2:31" ht="8.25" customHeight="1" x14ac:dyDescent="0.25">
      <c r="B90" s="9">
        <v>30</v>
      </c>
      <c r="C90" s="25">
        <v>355</v>
      </c>
      <c r="D90" s="10" t="str">
        <f t="array" ref="D90">VLOOKUP([1]!Datenbereich_A3[[#This Row],[AGS]],[1]AGS_Namen!$A$1:$B$68,2,FALSE)</f>
        <v xml:space="preserve">   dav. Hildesheim, Stadt</v>
      </c>
      <c r="E90" s="11">
        <v>2018</v>
      </c>
      <c r="F90" s="12">
        <v>12760</v>
      </c>
      <c r="G90" s="13">
        <v>7.3275862068965507</v>
      </c>
      <c r="H90" s="13">
        <v>38.126959247648898</v>
      </c>
      <c r="I90" s="13">
        <v>12.264890282131661</v>
      </c>
      <c r="J90" s="13">
        <v>5.407523510971787</v>
      </c>
      <c r="K90" s="13">
        <v>2.8996865203761755</v>
      </c>
      <c r="L90" s="14">
        <v>33.973354231974923</v>
      </c>
      <c r="M90" s="2"/>
      <c r="O90" s="2"/>
      <c r="P90" s="2"/>
      <c r="Q90" s="2"/>
      <c r="R90" s="2"/>
      <c r="S90" s="2"/>
      <c r="T90" s="2"/>
      <c r="U90" s="2"/>
      <c r="W90" s="2"/>
      <c r="X90" s="2"/>
      <c r="Y90" s="2"/>
      <c r="Z90" s="2"/>
      <c r="AA90" s="2"/>
      <c r="AB90" s="2"/>
      <c r="AC90" s="2"/>
      <c r="AD90" s="2"/>
      <c r="AE90" s="2"/>
    </row>
    <row r="91" spans="2:31" ht="8.25" customHeight="1" x14ac:dyDescent="0.25">
      <c r="B91" s="9">
        <v>31</v>
      </c>
      <c r="C91" s="25">
        <v>356</v>
      </c>
      <c r="D91" s="10" t="str">
        <f t="array" ref="D91">VLOOKUP([1]!Datenbereich_A3[[#This Row],[AGS]],[1]AGS_Namen!$A$1:$B$68,2,FALSE)</f>
        <v xml:space="preserve">   dav. Hannover, Umland</v>
      </c>
      <c r="E91" s="11">
        <v>2018</v>
      </c>
      <c r="F91" s="12">
        <v>6560</v>
      </c>
      <c r="G91" s="13">
        <v>5.9451219512195124</v>
      </c>
      <c r="H91" s="13">
        <v>29.801829268292686</v>
      </c>
      <c r="I91" s="13">
        <v>10.594512195121951</v>
      </c>
      <c r="J91" s="13">
        <v>5.7926829268292686</v>
      </c>
      <c r="K91" s="13">
        <v>3.2012195121951219</v>
      </c>
      <c r="L91" s="14">
        <v>44.664634146341463</v>
      </c>
      <c r="M91" s="2"/>
      <c r="O91" s="2"/>
      <c r="P91" s="2"/>
      <c r="Q91" s="2"/>
      <c r="R91" s="2"/>
      <c r="S91" s="2"/>
      <c r="T91" s="2"/>
      <c r="U91" s="2"/>
      <c r="W91" s="2"/>
      <c r="X91" s="2"/>
      <c r="Y91" s="2"/>
      <c r="Z91" s="2"/>
      <c r="AA91" s="2"/>
      <c r="AB91" s="2"/>
      <c r="AC91" s="2"/>
      <c r="AD91" s="2"/>
      <c r="AE91" s="2"/>
    </row>
    <row r="92" spans="2:31" ht="8.25" customHeight="1" x14ac:dyDescent="0.25">
      <c r="B92" s="9">
        <v>32</v>
      </c>
      <c r="C92" s="25">
        <v>357</v>
      </c>
      <c r="D92" s="10" t="str">
        <f t="array" ref="D92">VLOOKUP([1]!Datenbereich_A3[[#This Row],[AGS]],[1]AGS_Namen!$A$1:$B$68,2,FALSE)</f>
        <v>Holzminden</v>
      </c>
      <c r="E92" s="11">
        <v>2018</v>
      </c>
      <c r="F92" s="12">
        <v>11145</v>
      </c>
      <c r="G92" s="13">
        <v>8.4791386271870799</v>
      </c>
      <c r="H92" s="13">
        <v>32.929564827276806</v>
      </c>
      <c r="I92" s="13">
        <v>10.004486316733962</v>
      </c>
      <c r="J92" s="13">
        <v>5.652759084791386</v>
      </c>
      <c r="K92" s="13">
        <v>3.0955585464333781</v>
      </c>
      <c r="L92" s="14">
        <v>39.793629430237779</v>
      </c>
      <c r="M92" s="2"/>
      <c r="O92" s="2"/>
      <c r="P92" s="2"/>
      <c r="Q92" s="2"/>
      <c r="R92" s="2"/>
      <c r="S92" s="2"/>
      <c r="T92" s="2"/>
      <c r="U92" s="2"/>
      <c r="W92" s="2"/>
      <c r="X92" s="2"/>
      <c r="Y92" s="2"/>
      <c r="Z92" s="2"/>
      <c r="AA92" s="2"/>
      <c r="AB92" s="2"/>
      <c r="AC92" s="2"/>
      <c r="AD92" s="2"/>
      <c r="AE92" s="2"/>
    </row>
    <row r="93" spans="2:31" ht="8.25" customHeight="1" x14ac:dyDescent="0.25">
      <c r="B93" s="25">
        <v>33</v>
      </c>
      <c r="C93" s="25">
        <v>358</v>
      </c>
      <c r="D93" s="10" t="str">
        <f t="array" ref="D93">VLOOKUP([1]!Datenbereich_A3[[#This Row],[AGS]],[1]AGS_Namen!$A$1:$B$68,2,FALSE)</f>
        <v>Nienburg (Weser)</v>
      </c>
      <c r="E93" s="11">
        <v>2018</v>
      </c>
      <c r="F93" s="12">
        <v>11545</v>
      </c>
      <c r="G93" s="13">
        <v>8.0987440450411441</v>
      </c>
      <c r="H93" s="13">
        <v>32.178432221741019</v>
      </c>
      <c r="I93" s="13">
        <v>12.083152880034648</v>
      </c>
      <c r="J93" s="13">
        <v>6.8427890861844949</v>
      </c>
      <c r="K93" s="13">
        <v>4.027717626678216</v>
      </c>
      <c r="L93" s="14">
        <v>36.769164140320484</v>
      </c>
      <c r="M93" s="2"/>
      <c r="O93" s="2"/>
      <c r="P93" s="2"/>
      <c r="Q93" s="2"/>
      <c r="R93" s="2"/>
      <c r="S93" s="2"/>
      <c r="T93" s="2"/>
      <c r="U93" s="2"/>
      <c r="W93" s="2"/>
      <c r="X93" s="2"/>
      <c r="Y93" s="2"/>
      <c r="Z93" s="2"/>
      <c r="AA93" s="2"/>
      <c r="AB93" s="2"/>
      <c r="AC93" s="2"/>
      <c r="AD93" s="2"/>
      <c r="AE93" s="2"/>
    </row>
    <row r="94" spans="2:31" ht="8.25" customHeight="1" x14ac:dyDescent="0.25">
      <c r="B94" s="9">
        <v>34</v>
      </c>
      <c r="C94" s="25">
        <v>359</v>
      </c>
      <c r="D94" s="10" t="str">
        <f t="array" ref="D94">VLOOKUP([1]!Datenbereich_A3[[#This Row],[AGS]],[1]AGS_Namen!$A$1:$B$68,2,FALSE)</f>
        <v>Schaumburg</v>
      </c>
      <c r="E94" s="11">
        <v>2018</v>
      </c>
      <c r="F94" s="12">
        <v>18555</v>
      </c>
      <c r="G94" s="13">
        <v>8.8385879816760973</v>
      </c>
      <c r="H94" s="13">
        <v>36.890326057666393</v>
      </c>
      <c r="I94" s="13">
        <v>11.344651037456211</v>
      </c>
      <c r="J94" s="13">
        <v>7.302613850714093</v>
      </c>
      <c r="K94" s="13">
        <v>3.2605766639719751</v>
      </c>
      <c r="L94" s="14">
        <v>32.363244408515222</v>
      </c>
      <c r="M94" s="2"/>
      <c r="O94" s="2"/>
      <c r="P94" s="2"/>
      <c r="Q94" s="2"/>
      <c r="R94" s="2"/>
      <c r="S94" s="2"/>
      <c r="T94" s="2"/>
      <c r="U94" s="2"/>
      <c r="W94" s="2"/>
      <c r="X94" s="2"/>
      <c r="Y94" s="2"/>
      <c r="Z94" s="2"/>
      <c r="AA94" s="2"/>
      <c r="AB94" s="2"/>
      <c r="AC94" s="2"/>
      <c r="AD94" s="2"/>
      <c r="AE94" s="2"/>
    </row>
    <row r="95" spans="2:31" ht="8.25" customHeight="1" x14ac:dyDescent="0.25">
      <c r="B95" s="9">
        <v>35</v>
      </c>
      <c r="C95" s="25">
        <v>360</v>
      </c>
      <c r="D95" s="10" t="str">
        <f t="array" ref="D95">VLOOKUP([1]!Datenbereich_A3[[#This Row],[AGS]],[1]AGS_Namen!$A$1:$B$68,2,FALSE)</f>
        <v>Stat. Region Hannover</v>
      </c>
      <c r="E95" s="11">
        <v>2018</v>
      </c>
      <c r="F95" s="12">
        <v>5605</v>
      </c>
      <c r="G95" s="13">
        <v>9.0990187332738621</v>
      </c>
      <c r="H95" s="13">
        <v>35.057983942908116</v>
      </c>
      <c r="I95" s="13">
        <v>13.380909901873327</v>
      </c>
      <c r="J95" s="13">
        <v>5.8876003568242643</v>
      </c>
      <c r="K95" s="13">
        <v>3.1222123104371096</v>
      </c>
      <c r="L95" s="14">
        <v>33.452274754683323</v>
      </c>
      <c r="M95" s="2"/>
      <c r="O95" s="2"/>
      <c r="P95" s="2"/>
      <c r="Q95" s="2"/>
      <c r="R95" s="2"/>
      <c r="S95" s="2"/>
      <c r="T95" s="2"/>
      <c r="U95" s="2"/>
      <c r="W95" s="2"/>
      <c r="X95" s="2"/>
      <c r="Y95" s="2"/>
      <c r="Z95" s="2"/>
      <c r="AA95" s="2"/>
      <c r="AB95" s="2"/>
      <c r="AC95" s="2"/>
      <c r="AD95" s="2"/>
      <c r="AE95" s="2"/>
    </row>
    <row r="96" spans="2:31" ht="8.25" customHeight="1" x14ac:dyDescent="0.25">
      <c r="B96" s="9">
        <v>36</v>
      </c>
      <c r="C96" s="25">
        <v>361</v>
      </c>
      <c r="D96" s="10" t="str">
        <f t="array" ref="D96">VLOOKUP([1]!Datenbereich_A3[[#This Row],[AGS]],[1]AGS_Namen!$A$1:$B$68,2,FALSE)</f>
        <v>Celle</v>
      </c>
      <c r="E96" s="11">
        <v>2018</v>
      </c>
      <c r="F96" s="12">
        <v>10975</v>
      </c>
      <c r="G96" s="13">
        <v>6.6970387243735763</v>
      </c>
      <c r="H96" s="13">
        <v>32.574031890660592</v>
      </c>
      <c r="I96" s="13">
        <v>8.8382687927107053</v>
      </c>
      <c r="J96" s="13">
        <v>5.239179954441914</v>
      </c>
      <c r="K96" s="13">
        <v>3.2346241457858769</v>
      </c>
      <c r="L96" s="14">
        <v>43.462414578587698</v>
      </c>
      <c r="M96" s="2"/>
      <c r="O96" s="2"/>
      <c r="P96" s="2"/>
      <c r="Q96" s="2"/>
      <c r="R96" s="2"/>
      <c r="S96" s="2"/>
      <c r="T96" s="2"/>
      <c r="U96" s="2"/>
      <c r="W96" s="2"/>
      <c r="X96" s="2"/>
      <c r="Y96" s="2"/>
      <c r="Z96" s="2"/>
      <c r="AA96" s="2"/>
      <c r="AB96" s="2"/>
      <c r="AC96" s="2"/>
      <c r="AD96" s="2"/>
      <c r="AE96" s="2"/>
    </row>
    <row r="97" spans="2:31" s="16" customFormat="1" ht="16.5" customHeight="1" x14ac:dyDescent="0.25">
      <c r="B97" s="16">
        <v>37</v>
      </c>
      <c r="C97" s="16">
        <v>3</v>
      </c>
      <c r="D97" s="17" t="str">
        <f t="array" ref="D97">VLOOKUP([1]!Datenbereich_A3[[#This Row],[AGS]],[1]AGS_Namen!$A$1:$B$68,2,FALSE)</f>
        <v>Cuxhaven</v>
      </c>
      <c r="E97" s="18">
        <v>2018</v>
      </c>
      <c r="F97" s="19">
        <v>126195</v>
      </c>
      <c r="G97" s="20">
        <v>7.6865168984508099</v>
      </c>
      <c r="H97" s="20">
        <v>33.186734815167</v>
      </c>
      <c r="I97" s="20">
        <v>10.927532786560482</v>
      </c>
      <c r="J97" s="20">
        <v>5.9392210467926621</v>
      </c>
      <c r="K97" s="20">
        <v>3.3876144062760014</v>
      </c>
      <c r="L97" s="21">
        <v>38.868417924640433</v>
      </c>
      <c r="M97" s="23"/>
      <c r="O97" s="23"/>
      <c r="P97" s="23"/>
      <c r="Q97" s="23"/>
      <c r="R97" s="23"/>
      <c r="S97" s="23"/>
      <c r="T97" s="23"/>
      <c r="U97" s="23"/>
      <c r="W97" s="23"/>
      <c r="X97" s="23"/>
      <c r="Y97" s="23"/>
      <c r="Z97" s="23"/>
      <c r="AA97" s="23"/>
      <c r="AB97" s="23"/>
      <c r="AC97" s="23"/>
      <c r="AD97" s="23"/>
      <c r="AE97" s="23"/>
    </row>
    <row r="98" spans="2:31" ht="8.25" customHeight="1" x14ac:dyDescent="0.25">
      <c r="B98" s="9">
        <v>38</v>
      </c>
      <c r="C98" s="25">
        <v>401</v>
      </c>
      <c r="D98" s="10" t="str">
        <f t="array" ref="D98">VLOOKUP([1]!Datenbereich_A3[[#This Row],[AGS]],[1]AGS_Namen!$A$1:$B$68,2,FALSE)</f>
        <v>Harburg</v>
      </c>
      <c r="E98" s="11">
        <v>2018</v>
      </c>
      <c r="F98" s="12">
        <v>12970</v>
      </c>
      <c r="G98" s="13">
        <v>7.4016962220508864</v>
      </c>
      <c r="H98" s="13">
        <v>36.353122590593678</v>
      </c>
      <c r="I98" s="13">
        <v>10.71703932151118</v>
      </c>
      <c r="J98" s="13">
        <v>5.6669236700077095</v>
      </c>
      <c r="K98" s="13">
        <v>3.8164996144949885</v>
      </c>
      <c r="L98" s="14">
        <v>36.044718581341556</v>
      </c>
      <c r="M98" s="2"/>
      <c r="O98" s="2"/>
      <c r="P98" s="2"/>
      <c r="Q98" s="2"/>
      <c r="R98" s="2"/>
      <c r="S98" s="2"/>
      <c r="T98" s="2"/>
      <c r="U98" s="2"/>
      <c r="W98" s="2"/>
      <c r="X98" s="2"/>
      <c r="Y98" s="2"/>
      <c r="Z98" s="2"/>
      <c r="AA98" s="2"/>
      <c r="AB98" s="2"/>
      <c r="AC98" s="2"/>
      <c r="AD98" s="2"/>
      <c r="AE98" s="2"/>
    </row>
    <row r="99" spans="2:31" ht="8.25" customHeight="1" x14ac:dyDescent="0.25">
      <c r="B99" s="9">
        <v>39</v>
      </c>
      <c r="C99" s="25">
        <v>402</v>
      </c>
      <c r="D99" s="10" t="str">
        <f t="array" ref="D99">VLOOKUP([1]!Datenbereich_A3[[#This Row],[AGS]],[1]AGS_Namen!$A$1:$B$68,2,FALSE)</f>
        <v>Lüchow-Dannenberg</v>
      </c>
      <c r="E99" s="11">
        <v>2018</v>
      </c>
      <c r="F99" s="12">
        <v>5530</v>
      </c>
      <c r="G99" s="13">
        <v>8.4990958408679926</v>
      </c>
      <c r="H99" s="13">
        <v>39.783001808318261</v>
      </c>
      <c r="I99" s="13">
        <v>15.822784810126583</v>
      </c>
      <c r="J99" s="13">
        <v>7.0524412296564201</v>
      </c>
      <c r="K99" s="13">
        <v>3.0741410488245928</v>
      </c>
      <c r="L99" s="14">
        <v>25.76853526220615</v>
      </c>
      <c r="M99" s="2"/>
      <c r="O99" s="2"/>
      <c r="P99" s="2"/>
      <c r="Q99" s="2"/>
      <c r="R99" s="2"/>
      <c r="S99" s="2"/>
      <c r="T99" s="2"/>
      <c r="U99" s="2"/>
      <c r="W99" s="2"/>
      <c r="X99" s="2"/>
      <c r="Y99" s="2"/>
      <c r="Z99" s="2"/>
      <c r="AA99" s="2"/>
      <c r="AB99" s="2"/>
      <c r="AC99" s="2"/>
      <c r="AD99" s="2"/>
      <c r="AE99" s="2"/>
    </row>
    <row r="100" spans="2:31" ht="8.25" customHeight="1" x14ac:dyDescent="0.25">
      <c r="B100" s="9">
        <v>40</v>
      </c>
      <c r="C100" s="25">
        <v>403</v>
      </c>
      <c r="D100" s="10" t="str">
        <f t="array" ref="D100">VLOOKUP([1]!Datenbereich_A3[[#This Row],[AGS]],[1]AGS_Namen!$A$1:$B$68,2,FALSE)</f>
        <v>Lüneburg</v>
      </c>
      <c r="E100" s="11">
        <v>2018</v>
      </c>
      <c r="F100" s="12">
        <v>17365</v>
      </c>
      <c r="G100" s="13">
        <v>8.8396199251367698</v>
      </c>
      <c r="H100" s="13">
        <v>36.452634609847394</v>
      </c>
      <c r="I100" s="13">
        <v>11.63259429887705</v>
      </c>
      <c r="J100" s="13">
        <v>6.8240714080046079</v>
      </c>
      <c r="K100" s="13">
        <v>4.0598905845090698</v>
      </c>
      <c r="L100" s="14">
        <v>32.191189173625105</v>
      </c>
      <c r="M100" s="2"/>
      <c r="O100" s="2"/>
      <c r="P100" s="2"/>
      <c r="Q100" s="2"/>
      <c r="R100" s="2"/>
      <c r="S100" s="2"/>
      <c r="T100" s="2"/>
      <c r="U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2:31" ht="8.25" customHeight="1" x14ac:dyDescent="0.25">
      <c r="B101" s="25">
        <v>41</v>
      </c>
      <c r="C101" s="25">
        <v>404</v>
      </c>
      <c r="D101" s="10" t="str">
        <f t="array" ref="D101">VLOOKUP([1]!Datenbereich_A3[[#This Row],[AGS]],[1]AGS_Namen!$A$1:$B$68,2,FALSE)</f>
        <v>Osterholz</v>
      </c>
      <c r="E101" s="11">
        <v>2018</v>
      </c>
      <c r="F101" s="12">
        <v>24470</v>
      </c>
      <c r="G101" s="13">
        <v>7.8667756436452798</v>
      </c>
      <c r="H101" s="13">
        <v>31.160604822231303</v>
      </c>
      <c r="I101" s="13">
        <v>11.40171638741316</v>
      </c>
      <c r="J101" s="13">
        <v>5.9664895790764199</v>
      </c>
      <c r="K101" s="13">
        <v>3.2693093583980386</v>
      </c>
      <c r="L101" s="14">
        <v>40.335104209235801</v>
      </c>
      <c r="M101" s="2"/>
      <c r="O101" s="2"/>
      <c r="P101" s="2"/>
      <c r="Q101" s="2"/>
      <c r="R101" s="2"/>
      <c r="S101" s="2"/>
      <c r="T101" s="2"/>
      <c r="U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2:31" ht="8.25" customHeight="1" x14ac:dyDescent="0.25">
      <c r="B102" s="9">
        <v>42</v>
      </c>
      <c r="C102" s="25">
        <v>405</v>
      </c>
      <c r="D102" s="10" t="str">
        <f t="array" ref="D102">VLOOKUP([1]!Datenbereich_A3[[#This Row],[AGS]],[1]AGS_Namen!$A$1:$B$68,2,FALSE)</f>
        <v>Rotenburg (Wümme)</v>
      </c>
      <c r="E102" s="11">
        <v>2018</v>
      </c>
      <c r="F102" s="12">
        <v>8410</v>
      </c>
      <c r="G102" s="13">
        <v>8.7395957193816898</v>
      </c>
      <c r="H102" s="13">
        <v>45.659928656361473</v>
      </c>
      <c r="I102" s="13">
        <v>11.474435196195005</v>
      </c>
      <c r="J102" s="13">
        <v>5.1129607609988108</v>
      </c>
      <c r="K102" s="13">
        <v>2.6159334126040426</v>
      </c>
      <c r="L102" s="14">
        <v>26.397146254458974</v>
      </c>
      <c r="M102" s="2"/>
      <c r="O102" s="2"/>
      <c r="P102" s="2"/>
      <c r="Q102" s="2"/>
      <c r="R102" s="2"/>
      <c r="S102" s="2"/>
      <c r="T102" s="2"/>
      <c r="U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2:31" ht="8.25" customHeight="1" x14ac:dyDescent="0.25">
      <c r="B103" s="9">
        <v>43</v>
      </c>
      <c r="C103" s="25">
        <v>451</v>
      </c>
      <c r="D103" s="10" t="str">
        <f t="array" ref="D103">VLOOKUP([1]!Datenbereich_A3[[#This Row],[AGS]],[1]AGS_Namen!$A$1:$B$68,2,FALSE)</f>
        <v>Heidekreis</v>
      </c>
      <c r="E103" s="11">
        <v>2018</v>
      </c>
      <c r="F103" s="12">
        <v>8075</v>
      </c>
      <c r="G103" s="13">
        <v>9.4736842105263168</v>
      </c>
      <c r="H103" s="13">
        <v>38.82352941176471</v>
      </c>
      <c r="I103" s="13">
        <v>10.773993808049536</v>
      </c>
      <c r="J103" s="13">
        <v>8.1733746130030962</v>
      </c>
      <c r="K103" s="13">
        <v>3.4674922600619196</v>
      </c>
      <c r="L103" s="14">
        <v>29.287925696594424</v>
      </c>
      <c r="M103" s="2"/>
      <c r="O103" s="2"/>
      <c r="P103" s="2"/>
      <c r="Q103" s="2"/>
      <c r="R103" s="2"/>
      <c r="S103" s="2"/>
      <c r="T103" s="2"/>
      <c r="U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2:31" ht="8.25" customHeight="1" x14ac:dyDescent="0.25">
      <c r="B104" s="9">
        <v>44</v>
      </c>
      <c r="C104" s="25">
        <v>452</v>
      </c>
      <c r="D104" s="10" t="str">
        <f t="array" ref="D104">VLOOKUP([1]!Datenbereich_A3[[#This Row],[AGS]],[1]AGS_Namen!$A$1:$B$68,2,FALSE)</f>
        <v>Stade</v>
      </c>
      <c r="E104" s="11">
        <v>2018</v>
      </c>
      <c r="F104" s="12">
        <v>11515</v>
      </c>
      <c r="G104" s="13">
        <v>9.1619626574033877</v>
      </c>
      <c r="H104" s="13">
        <v>37.516283108988276</v>
      </c>
      <c r="I104" s="13">
        <v>14.242292661745548</v>
      </c>
      <c r="J104" s="13">
        <v>5.9487624837168918</v>
      </c>
      <c r="K104" s="13">
        <v>3.560573165436387</v>
      </c>
      <c r="L104" s="14">
        <v>29.526704298740775</v>
      </c>
      <c r="M104" s="2"/>
      <c r="O104" s="2"/>
      <c r="P104" s="2"/>
      <c r="Q104" s="2"/>
      <c r="R104" s="2"/>
      <c r="S104" s="2"/>
      <c r="T104" s="2"/>
      <c r="U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2:31" ht="8.25" customHeight="1" x14ac:dyDescent="0.25">
      <c r="B105" s="25">
        <v>45</v>
      </c>
      <c r="C105" s="25">
        <v>453</v>
      </c>
      <c r="D105" s="10" t="str">
        <f t="array" ref="D105">VLOOKUP([1]!Datenbereich_A3[[#This Row],[AGS]],[1]AGS_Namen!$A$1:$B$68,2,FALSE)</f>
        <v>Uelzen</v>
      </c>
      <c r="E105" s="11">
        <v>2018</v>
      </c>
      <c r="F105" s="12">
        <v>18915</v>
      </c>
      <c r="G105" s="13">
        <v>9.754163362410786</v>
      </c>
      <c r="H105" s="13">
        <v>37.007665873645259</v>
      </c>
      <c r="I105" s="13">
        <v>13.639968279143536</v>
      </c>
      <c r="J105" s="13">
        <v>8.9082738567274653</v>
      </c>
      <c r="K105" s="13">
        <v>5.2075072693629396</v>
      </c>
      <c r="L105" s="14">
        <v>25.482421358710017</v>
      </c>
      <c r="M105" s="2"/>
      <c r="O105" s="2"/>
      <c r="P105" s="2"/>
      <c r="Q105" s="2"/>
      <c r="R105" s="2"/>
      <c r="S105" s="2"/>
      <c r="T105" s="2"/>
      <c r="U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2:31" ht="8.25" customHeight="1" x14ac:dyDescent="0.25">
      <c r="B106" s="9">
        <v>46</v>
      </c>
      <c r="C106" s="25">
        <v>454</v>
      </c>
      <c r="D106" s="10" t="str">
        <f t="array" ref="D106">VLOOKUP([1]!Datenbereich_A3[[#This Row],[AGS]],[1]AGS_Namen!$A$1:$B$68,2,FALSE)</f>
        <v>Verden</v>
      </c>
      <c r="E106" s="11">
        <v>2018</v>
      </c>
      <c r="F106" s="12">
        <v>38825</v>
      </c>
      <c r="G106" s="13">
        <v>13.097231165486157</v>
      </c>
      <c r="H106" s="13">
        <v>34.616870573084348</v>
      </c>
      <c r="I106" s="13">
        <v>11.706374758531874</v>
      </c>
      <c r="J106" s="13">
        <v>7.9845460399227299</v>
      </c>
      <c r="K106" s="13">
        <v>4.7392144236960716</v>
      </c>
      <c r="L106" s="14">
        <v>27.842884739214423</v>
      </c>
      <c r="M106" s="2"/>
      <c r="O106" s="2"/>
      <c r="P106" s="2"/>
      <c r="Q106" s="2"/>
      <c r="R106" s="2"/>
      <c r="S106" s="2"/>
      <c r="T106" s="2"/>
      <c r="U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2:31" ht="8.25" customHeight="1" x14ac:dyDescent="0.25">
      <c r="B107" s="9">
        <v>47</v>
      </c>
      <c r="C107" s="25">
        <v>455</v>
      </c>
      <c r="D107" s="10" t="str">
        <f t="array" ref="D107">VLOOKUP([1]!Datenbereich_A3[[#This Row],[AGS]],[1]AGS_Namen!$A$1:$B$68,2,FALSE)</f>
        <v>Stat. Region Lüneburg</v>
      </c>
      <c r="E107" s="11">
        <v>2018</v>
      </c>
      <c r="F107" s="12">
        <v>4830</v>
      </c>
      <c r="G107" s="13">
        <v>5.7971014492753623</v>
      </c>
      <c r="H107" s="13">
        <v>39.233954451345753</v>
      </c>
      <c r="I107" s="13">
        <v>10.351966873706004</v>
      </c>
      <c r="J107" s="13">
        <v>5.2795031055900621</v>
      </c>
      <c r="K107" s="13">
        <v>2.691511387163561</v>
      </c>
      <c r="L107" s="14">
        <v>36.542443064182194</v>
      </c>
      <c r="M107" s="2"/>
      <c r="O107" s="2"/>
      <c r="P107" s="2"/>
      <c r="Q107" s="2"/>
      <c r="R107" s="2"/>
      <c r="S107" s="2"/>
      <c r="T107" s="2"/>
      <c r="U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2:31" ht="8.25" customHeight="1" x14ac:dyDescent="0.25">
      <c r="B108" s="9">
        <v>48</v>
      </c>
      <c r="C108" s="25">
        <v>456</v>
      </c>
      <c r="D108" s="10" t="str">
        <f t="array" ref="D108">VLOOKUP([1]!Datenbereich_A3[[#This Row],[AGS]],[1]AGS_Namen!$A$1:$B$68,2,FALSE)</f>
        <v>Delmenhorst, Stadt</v>
      </c>
      <c r="E108" s="11">
        <v>2018</v>
      </c>
      <c r="F108" s="12">
        <v>21550</v>
      </c>
      <c r="G108" s="13">
        <v>5.4988399071925755</v>
      </c>
      <c r="H108" s="13">
        <v>22.320185614849191</v>
      </c>
      <c r="I108" s="13">
        <v>9.6287703016241295</v>
      </c>
      <c r="J108" s="13">
        <v>7.6334106728538282</v>
      </c>
      <c r="K108" s="13">
        <v>5.3132250580046403</v>
      </c>
      <c r="L108" s="14">
        <v>49.60556844547564</v>
      </c>
      <c r="M108" s="2"/>
      <c r="O108" s="2"/>
      <c r="P108" s="2"/>
      <c r="Q108" s="2"/>
      <c r="R108" s="2"/>
      <c r="S108" s="2"/>
      <c r="T108" s="2"/>
      <c r="U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2:31" ht="8.25" customHeight="1" x14ac:dyDescent="0.25">
      <c r="B109" s="25">
        <v>49</v>
      </c>
      <c r="C109" s="25">
        <v>457</v>
      </c>
      <c r="D109" s="10" t="str">
        <f t="array" ref="D109">VLOOKUP([1]!Datenbereich_A3[[#This Row],[AGS]],[1]AGS_Namen!$A$1:$B$68,2,FALSE)</f>
        <v>Emden, Stadt</v>
      </c>
      <c r="E109" s="11">
        <v>2018</v>
      </c>
      <c r="F109" s="12">
        <v>13610</v>
      </c>
      <c r="G109" s="13">
        <v>9.221160911094783</v>
      </c>
      <c r="H109" s="13">
        <v>33.725202057310796</v>
      </c>
      <c r="I109" s="13">
        <v>11.792799412196914</v>
      </c>
      <c r="J109" s="13">
        <v>6.9066862601028651</v>
      </c>
      <c r="K109" s="13">
        <v>5.0330639235855994</v>
      </c>
      <c r="L109" s="14">
        <v>33.321087435709032</v>
      </c>
      <c r="M109" s="2"/>
      <c r="O109" s="2"/>
      <c r="P109" s="2"/>
      <c r="Q109" s="2"/>
      <c r="R109" s="2"/>
      <c r="S109" s="2"/>
      <c r="T109" s="2"/>
      <c r="U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2:31" ht="8.25" customHeight="1" x14ac:dyDescent="0.25">
      <c r="B110" s="9">
        <v>50</v>
      </c>
      <c r="C110" s="25">
        <v>458</v>
      </c>
      <c r="D110" s="10" t="str">
        <f t="array" ref="D110">VLOOKUP([1]!Datenbereich_A3[[#This Row],[AGS]],[1]AGS_Namen!$A$1:$B$68,2,FALSE)</f>
        <v>Oldenburg(Oldb), Stadt</v>
      </c>
      <c r="E110" s="11">
        <v>2018</v>
      </c>
      <c r="F110" s="12">
        <v>11595</v>
      </c>
      <c r="G110" s="13">
        <v>10.004312203536008</v>
      </c>
      <c r="H110" s="13">
        <v>37.774902975420439</v>
      </c>
      <c r="I110" s="13">
        <v>12.89348857266063</v>
      </c>
      <c r="J110" s="13">
        <v>7.8482104355325575</v>
      </c>
      <c r="K110" s="13">
        <v>5.3471323846485559</v>
      </c>
      <c r="L110" s="14">
        <v>26.088831392841744</v>
      </c>
      <c r="M110" s="2"/>
      <c r="O110" s="2"/>
      <c r="P110" s="2"/>
      <c r="Q110" s="2"/>
      <c r="R110" s="2"/>
      <c r="S110" s="2"/>
      <c r="T110" s="2"/>
      <c r="U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2:31" ht="8.25" customHeight="1" x14ac:dyDescent="0.25">
      <c r="B111" s="9">
        <v>51</v>
      </c>
      <c r="C111" s="25">
        <v>459</v>
      </c>
      <c r="D111" s="10" t="str">
        <f t="array" ref="D111">VLOOKUP([1]!Datenbereich_A3[[#This Row],[AGS]],[1]AGS_Namen!$A$1:$B$68,2,FALSE)</f>
        <v>Osnabrück, Stadt</v>
      </c>
      <c r="E111" s="11">
        <v>2018</v>
      </c>
      <c r="F111" s="12">
        <v>32625</v>
      </c>
      <c r="G111" s="13">
        <v>11.35632183908046</v>
      </c>
      <c r="H111" s="13">
        <v>28.643678160919539</v>
      </c>
      <c r="I111" s="13">
        <v>10.988505747126437</v>
      </c>
      <c r="J111" s="13">
        <v>6.6053639846743302</v>
      </c>
      <c r="K111" s="13">
        <v>3.4789272030651337</v>
      </c>
      <c r="L111" s="14">
        <v>38.927203065134094</v>
      </c>
      <c r="M111" s="2"/>
      <c r="O111" s="2"/>
      <c r="P111" s="2"/>
      <c r="Q111" s="2"/>
      <c r="R111" s="2"/>
      <c r="S111" s="2"/>
      <c r="T111" s="2"/>
      <c r="U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2:31" ht="8.25" customHeight="1" x14ac:dyDescent="0.25">
      <c r="B112" s="9">
        <v>52</v>
      </c>
      <c r="C112" s="25">
        <v>460</v>
      </c>
      <c r="D112" s="10" t="str">
        <f t="array" ref="D112">VLOOKUP([1]!Datenbereich_A3[[#This Row],[AGS]],[1]AGS_Namen!$A$1:$B$68,2,FALSE)</f>
        <v>Wilhelmshaven, Stadt</v>
      </c>
      <c r="E112" s="11">
        <v>2018</v>
      </c>
      <c r="F112" s="12">
        <v>19790</v>
      </c>
      <c r="G112" s="13">
        <v>10.434562910560889</v>
      </c>
      <c r="H112" s="13">
        <v>32.263769580596261</v>
      </c>
      <c r="I112" s="13">
        <v>12.834765032844873</v>
      </c>
      <c r="J112" s="13">
        <v>8.5144012127337039</v>
      </c>
      <c r="K112" s="13">
        <v>4.9014653865588684</v>
      </c>
      <c r="L112" s="14">
        <v>31.076301162203134</v>
      </c>
      <c r="M112" s="2"/>
      <c r="O112" s="2"/>
      <c r="P112" s="2"/>
      <c r="Q112" s="2"/>
      <c r="R112" s="2"/>
      <c r="S112" s="2"/>
      <c r="T112" s="2"/>
      <c r="U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2:31" ht="8.25" customHeight="1" x14ac:dyDescent="0.25">
      <c r="B113" s="25">
        <v>53</v>
      </c>
      <c r="C113" s="25">
        <v>461</v>
      </c>
      <c r="D113" s="10" t="str">
        <f t="array" ref="D113">VLOOKUP([1]!Datenbereich_A3[[#This Row],[AGS]],[1]AGS_Namen!$A$1:$B$68,2,FALSE)</f>
        <v>Ammerland</v>
      </c>
      <c r="E113" s="11">
        <v>2018</v>
      </c>
      <c r="F113" s="12">
        <v>7455</v>
      </c>
      <c r="G113" s="13">
        <v>7.042253521126761</v>
      </c>
      <c r="H113" s="13">
        <v>32.193158953722332</v>
      </c>
      <c r="I113" s="13">
        <v>9.8591549295774641</v>
      </c>
      <c r="J113" s="13">
        <v>4.8960429242119377</v>
      </c>
      <c r="K113" s="13">
        <v>2.9510395707578807</v>
      </c>
      <c r="L113" s="14">
        <v>43.058350100603619</v>
      </c>
      <c r="M113" s="2"/>
      <c r="O113" s="2"/>
      <c r="P113" s="2"/>
      <c r="Q113" s="2"/>
      <c r="R113" s="2"/>
      <c r="S113" s="2"/>
      <c r="T113" s="2"/>
      <c r="U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2:31" ht="8.25" customHeight="1" x14ac:dyDescent="0.25">
      <c r="B114" s="9">
        <v>54</v>
      </c>
      <c r="C114" s="25">
        <v>462</v>
      </c>
      <c r="D114" s="10" t="str">
        <f t="array" ref="D114">VLOOKUP([1]!Datenbereich_A3[[#This Row],[AGS]],[1]AGS_Namen!$A$1:$B$68,2,FALSE)</f>
        <v>Aurich</v>
      </c>
      <c r="E114" s="11">
        <v>2018</v>
      </c>
      <c r="F114" s="12">
        <v>2675</v>
      </c>
      <c r="G114" s="13">
        <v>10.467289719626169</v>
      </c>
      <c r="H114" s="13">
        <v>35.32710280373832</v>
      </c>
      <c r="I114" s="13">
        <v>10.654205607476635</v>
      </c>
      <c r="J114" s="13">
        <v>7.4766355140186906</v>
      </c>
      <c r="K114" s="13">
        <v>4.1121495327102808</v>
      </c>
      <c r="L114" s="14">
        <v>31.962616822429908</v>
      </c>
      <c r="M114" s="2"/>
      <c r="O114" s="2"/>
      <c r="P114" s="2"/>
      <c r="Q114" s="2"/>
      <c r="R114" s="2"/>
      <c r="S114" s="2"/>
      <c r="T114" s="2"/>
      <c r="U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2:31" s="16" customFormat="1" ht="16.5" customHeight="1" x14ac:dyDescent="0.25">
      <c r="B115" s="16">
        <v>55</v>
      </c>
      <c r="C115" s="16">
        <v>4</v>
      </c>
      <c r="D115" s="17" t="str">
        <f t="array" ref="D115">VLOOKUP([1]!Datenbereich_A3[[#This Row],[AGS]],[1]AGS_Namen!$A$1:$B$68,2,FALSE)</f>
        <v>Cloppenburg</v>
      </c>
      <c r="E115" s="18">
        <v>2018</v>
      </c>
      <c r="F115" s="19">
        <v>260205</v>
      </c>
      <c r="G115" s="20">
        <v>9.5443976864395381</v>
      </c>
      <c r="H115" s="20">
        <v>33.571607002171369</v>
      </c>
      <c r="I115" s="20">
        <v>11.717684133663841</v>
      </c>
      <c r="J115" s="20">
        <v>7.1059357045406504</v>
      </c>
      <c r="K115" s="20">
        <v>4.2005341941930405</v>
      </c>
      <c r="L115" s="21">
        <v>33.861762840837031</v>
      </c>
      <c r="M115" s="23"/>
      <c r="O115" s="23"/>
      <c r="P115" s="23"/>
      <c r="Q115" s="23"/>
      <c r="R115" s="23"/>
      <c r="S115" s="23"/>
      <c r="T115" s="23"/>
      <c r="U115" s="23"/>
      <c r="W115" s="23"/>
      <c r="X115" s="23"/>
      <c r="Y115" s="23"/>
      <c r="Z115" s="23"/>
      <c r="AA115" s="23"/>
      <c r="AB115" s="23"/>
      <c r="AC115" s="23"/>
      <c r="AD115" s="23"/>
      <c r="AE115" s="23"/>
    </row>
    <row r="116" spans="2:31" s="16" customFormat="1" ht="16.5" customHeight="1" x14ac:dyDescent="0.25">
      <c r="B116" s="16">
        <v>56</v>
      </c>
      <c r="C116" s="16">
        <v>0</v>
      </c>
      <c r="D116" s="17" t="str">
        <f t="array" ref="D116">VLOOKUP([1]!Datenbereich_A3[[#This Row],[AGS]],[1]AGS_Namen!$A$1:$B$68,2,FALSE)</f>
        <v>Emsland</v>
      </c>
      <c r="E116" s="18">
        <v>2018</v>
      </c>
      <c r="F116" s="19">
        <v>813080</v>
      </c>
      <c r="G116" s="20">
        <v>7.9573965661435526</v>
      </c>
      <c r="H116" s="20">
        <v>31.30442268903429</v>
      </c>
      <c r="I116" s="20">
        <v>11.064101933389088</v>
      </c>
      <c r="J116" s="20">
        <v>6.3259457863924826</v>
      </c>
      <c r="K116" s="20">
        <v>3.5888227480690702</v>
      </c>
      <c r="L116" s="21">
        <v>39.75869533133271</v>
      </c>
      <c r="M116" s="23"/>
      <c r="O116" s="23"/>
      <c r="P116" s="23"/>
      <c r="Q116" s="23"/>
      <c r="R116" s="23"/>
      <c r="S116" s="23"/>
      <c r="T116" s="23"/>
      <c r="U116" s="23"/>
      <c r="W116" s="23"/>
      <c r="X116" s="23"/>
      <c r="Y116" s="23"/>
      <c r="Z116" s="23"/>
      <c r="AA116" s="23"/>
      <c r="AB116" s="23"/>
      <c r="AC116" s="23"/>
      <c r="AD116" s="23"/>
      <c r="AE116" s="23"/>
    </row>
    <row r="117" spans="2:31" s="35" customFormat="1" ht="8.25" customHeight="1" x14ac:dyDescent="0.15">
      <c r="B117" s="25">
        <v>57</v>
      </c>
      <c r="C117" s="25">
        <v>101</v>
      </c>
      <c r="D117" s="10" t="str">
        <f t="array" ref="D117">VLOOKUP([1]!Datenbereich_A3[[#This Row],[AGS]],[1]AGS_Namen!$A$1:$B$68,2,FALSE)</f>
        <v>Friesland</v>
      </c>
      <c r="E117" s="26">
        <v>2017</v>
      </c>
      <c r="F117" s="27">
        <v>28420</v>
      </c>
      <c r="G117" s="28">
        <v>9.095707248416609</v>
      </c>
      <c r="H117" s="28">
        <v>26.301900070372973</v>
      </c>
      <c r="I117" s="28">
        <v>9.6059113300492598</v>
      </c>
      <c r="J117" s="28">
        <v>5.5066854327938071</v>
      </c>
      <c r="K117" s="28">
        <v>3.6418015482054895</v>
      </c>
      <c r="L117" s="29">
        <v>45.830401125967626</v>
      </c>
      <c r="M117" s="36"/>
      <c r="O117" s="36"/>
      <c r="P117" s="36"/>
      <c r="Q117" s="36"/>
      <c r="R117" s="36"/>
      <c r="S117" s="36"/>
      <c r="T117" s="36"/>
      <c r="U117" s="36"/>
      <c r="W117" s="36"/>
      <c r="X117" s="36"/>
      <c r="Y117" s="36"/>
      <c r="Z117" s="36"/>
      <c r="AA117" s="36"/>
      <c r="AB117" s="36"/>
      <c r="AC117" s="36"/>
      <c r="AD117" s="36"/>
      <c r="AE117" s="36"/>
    </row>
    <row r="118" spans="2:31" ht="8.25" customHeight="1" x14ac:dyDescent="0.25">
      <c r="B118" s="9">
        <v>58</v>
      </c>
      <c r="C118" s="25">
        <v>102</v>
      </c>
      <c r="D118" s="10" t="str">
        <f t="array" ref="D118">VLOOKUP([1]!Datenbereich_A3[[#This Row],[AGS]],[1]AGS_Namen!$A$1:$B$68,2,FALSE)</f>
        <v>Grafschaft Bentheim</v>
      </c>
      <c r="E118" s="11">
        <v>2017</v>
      </c>
      <c r="F118" s="12">
        <v>18835</v>
      </c>
      <c r="G118" s="13">
        <v>9.6894080169896473</v>
      </c>
      <c r="H118" s="13">
        <v>37.217945314573932</v>
      </c>
      <c r="I118" s="13">
        <v>5.7340058401911334</v>
      </c>
      <c r="J118" s="13">
        <v>2.8935492434297849</v>
      </c>
      <c r="K118" s="13">
        <v>1.8582426333952746</v>
      </c>
      <c r="L118" s="14">
        <v>42.606848951420226</v>
      </c>
      <c r="M118" s="2"/>
      <c r="O118" s="2"/>
      <c r="P118" s="2"/>
      <c r="Q118" s="2"/>
      <c r="R118" s="2"/>
      <c r="S118" s="2"/>
      <c r="T118" s="2"/>
      <c r="U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2:31" ht="8.25" customHeight="1" x14ac:dyDescent="0.25">
      <c r="B119" s="9">
        <v>59</v>
      </c>
      <c r="C119" s="25">
        <v>103</v>
      </c>
      <c r="D119" s="10" t="str">
        <f t="array" ref="D119">VLOOKUP([1]!Datenbereich_A3[[#This Row],[AGS]],[1]AGS_Namen!$A$1:$B$68,2,FALSE)</f>
        <v>Leer</v>
      </c>
      <c r="E119" s="11">
        <v>2017</v>
      </c>
      <c r="F119" s="12">
        <v>18420</v>
      </c>
      <c r="G119" s="13">
        <v>7.7361563517915313</v>
      </c>
      <c r="H119" s="13">
        <v>27.47014115092291</v>
      </c>
      <c r="I119" s="13">
        <v>9.0119435396308365</v>
      </c>
      <c r="J119" s="13">
        <v>4.5331161780673179</v>
      </c>
      <c r="K119" s="13">
        <v>2.8773072747014115</v>
      </c>
      <c r="L119" s="14">
        <v>48.398479913137891</v>
      </c>
      <c r="M119" s="2"/>
      <c r="O119" s="2"/>
      <c r="P119" s="2"/>
      <c r="Q119" s="2"/>
      <c r="R119" s="2"/>
      <c r="S119" s="2"/>
      <c r="T119" s="2"/>
      <c r="U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2:31" ht="8.25" customHeight="1" x14ac:dyDescent="0.25">
      <c r="B120" s="9">
        <v>60</v>
      </c>
      <c r="C120" s="25">
        <v>151</v>
      </c>
      <c r="D120" s="10" t="str">
        <f t="array" ref="D120">VLOOKUP([1]!Datenbereich_A3[[#This Row],[AGS]],[1]AGS_Namen!$A$1:$B$68,2,FALSE)</f>
        <v>Oldenburg</v>
      </c>
      <c r="E120" s="11">
        <v>2017</v>
      </c>
      <c r="F120" s="12">
        <v>11140</v>
      </c>
      <c r="G120" s="13">
        <v>6.3285457809694785</v>
      </c>
      <c r="H120" s="13">
        <v>29.578096947935368</v>
      </c>
      <c r="I120" s="13">
        <v>7.3608617594254939</v>
      </c>
      <c r="J120" s="13">
        <v>4.1292639138240581</v>
      </c>
      <c r="K120" s="13">
        <v>3.141831238779174</v>
      </c>
      <c r="L120" s="14">
        <v>49.461400359066424</v>
      </c>
      <c r="M120" s="2"/>
      <c r="O120" s="2"/>
      <c r="P120" s="2"/>
      <c r="Q120" s="2"/>
      <c r="R120" s="2"/>
      <c r="S120" s="2"/>
      <c r="T120" s="2"/>
      <c r="U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2:31" ht="8.25" customHeight="1" x14ac:dyDescent="0.25">
      <c r="B121" s="25">
        <v>61</v>
      </c>
      <c r="C121" s="25">
        <v>153</v>
      </c>
      <c r="D121" s="10" t="str">
        <f t="array" ref="D121">VLOOKUP([1]!Datenbereich_A3[[#This Row],[AGS]],[1]AGS_Namen!$A$1:$B$68,2,FALSE)</f>
        <v>Osnabrück</v>
      </c>
      <c r="E121" s="11">
        <v>2017</v>
      </c>
      <c r="F121" s="12">
        <v>12780</v>
      </c>
      <c r="G121" s="13">
        <v>13.302034428794993</v>
      </c>
      <c r="H121" s="13">
        <v>37.989045383411579</v>
      </c>
      <c r="I121" s="13">
        <v>7.4334898278560253</v>
      </c>
      <c r="J121" s="13">
        <v>4.0688575899843507</v>
      </c>
      <c r="K121" s="13">
        <v>2.3474178403755865</v>
      </c>
      <c r="L121" s="14">
        <v>34.859154929577464</v>
      </c>
      <c r="M121" s="2"/>
      <c r="O121" s="2"/>
      <c r="P121" s="2"/>
      <c r="Q121" s="2"/>
      <c r="R121" s="2"/>
      <c r="S121" s="2"/>
      <c r="T121" s="2"/>
      <c r="U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2:31" ht="8.25" customHeight="1" x14ac:dyDescent="0.25">
      <c r="B122" s="9">
        <v>62</v>
      </c>
      <c r="C122" s="25">
        <v>154</v>
      </c>
      <c r="D122" s="10" t="str">
        <f t="array" ref="D122">VLOOKUP([1]!Datenbereich_A3[[#This Row],[AGS]],[1]AGS_Namen!$A$1:$B$68,2,FALSE)</f>
        <v>Vechta</v>
      </c>
      <c r="E122" s="11">
        <v>2017</v>
      </c>
      <c r="F122" s="12">
        <v>6415</v>
      </c>
      <c r="G122" s="13">
        <v>8.8854247856586142</v>
      </c>
      <c r="H122" s="13">
        <v>35.307872174590806</v>
      </c>
      <c r="I122" s="13">
        <v>8.1060015588464545</v>
      </c>
      <c r="J122" s="13">
        <v>4.1309431021044425</v>
      </c>
      <c r="K122" s="13">
        <v>2.7279812938425563</v>
      </c>
      <c r="L122" s="14">
        <v>40.84177708495713</v>
      </c>
      <c r="M122" s="2"/>
      <c r="O122" s="2"/>
      <c r="P122" s="2"/>
      <c r="Q122" s="2"/>
      <c r="R122" s="2"/>
      <c r="S122" s="2"/>
      <c r="T122" s="2"/>
      <c r="U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2:31" ht="8.25" customHeight="1" x14ac:dyDescent="0.25">
      <c r="B123" s="9">
        <v>63</v>
      </c>
      <c r="C123" s="25">
        <v>155</v>
      </c>
      <c r="D123" s="10" t="str">
        <f t="array" ref="D123">VLOOKUP([1]!Datenbereich_A3[[#This Row],[AGS]],[1]AGS_Namen!$A$1:$B$68,2,FALSE)</f>
        <v>Wesermarsch</v>
      </c>
      <c r="E123" s="11">
        <v>2017</v>
      </c>
      <c r="F123" s="12">
        <v>8440</v>
      </c>
      <c r="G123" s="13">
        <v>7.6421800947867293</v>
      </c>
      <c r="H123" s="13">
        <v>35.130331753554501</v>
      </c>
      <c r="I123" s="13">
        <v>7.6421800947867293</v>
      </c>
      <c r="J123" s="13">
        <v>3.9099526066350712</v>
      </c>
      <c r="K123" s="13">
        <v>2.0734597156398102</v>
      </c>
      <c r="L123" s="14">
        <v>43.661137440758296</v>
      </c>
      <c r="M123" s="2"/>
      <c r="O123" s="2"/>
      <c r="P123" s="2"/>
      <c r="Q123" s="2"/>
      <c r="R123" s="2"/>
      <c r="S123" s="2"/>
      <c r="T123" s="2"/>
      <c r="U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2:31" ht="8.25" customHeight="1" x14ac:dyDescent="0.25">
      <c r="B124" s="9">
        <v>64</v>
      </c>
      <c r="C124" s="25">
        <v>157</v>
      </c>
      <c r="D124" s="10" t="str">
        <f t="array" ref="D124">VLOOKUP([1]!Datenbereich_A3[[#This Row],[AGS]],[1]AGS_Namen!$A$1:$B$68,2,FALSE)</f>
        <v>Wittmund</v>
      </c>
      <c r="E124" s="11">
        <v>2017</v>
      </c>
      <c r="F124" s="12">
        <v>10415</v>
      </c>
      <c r="G124" s="13">
        <v>8.0172827652424399</v>
      </c>
      <c r="H124" s="13">
        <v>32.26116178588574</v>
      </c>
      <c r="I124" s="13">
        <v>7.3931829092654819</v>
      </c>
      <c r="J124" s="13">
        <v>4.3686989918386949</v>
      </c>
      <c r="K124" s="13">
        <v>2.3523763802208353</v>
      </c>
      <c r="L124" s="14">
        <v>45.607297167546804</v>
      </c>
      <c r="M124" s="2"/>
      <c r="O124" s="2"/>
      <c r="P124" s="2"/>
      <c r="Q124" s="2"/>
      <c r="R124" s="2"/>
      <c r="S124" s="2"/>
      <c r="T124" s="2"/>
      <c r="U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2:31" ht="8.25" customHeight="1" x14ac:dyDescent="0.25">
      <c r="B125" s="25">
        <v>65</v>
      </c>
      <c r="C125" s="25">
        <v>158</v>
      </c>
      <c r="D125" s="10" t="str">
        <f t="array" ref="D125">VLOOKUP([1]!Datenbereich_A3[[#This Row],[AGS]],[1]AGS_Namen!$A$1:$B$68,2,FALSE)</f>
        <v>Stat. Region Weser-Ems</v>
      </c>
      <c r="E125" s="11">
        <v>2017</v>
      </c>
      <c r="F125" s="12">
        <v>7345</v>
      </c>
      <c r="G125" s="13">
        <v>6.8754254594962569</v>
      </c>
      <c r="H125" s="13">
        <v>37.168141592920357</v>
      </c>
      <c r="I125" s="13">
        <v>7.9646017699115044</v>
      </c>
      <c r="J125" s="13">
        <v>3.6078965282505107</v>
      </c>
      <c r="K125" s="13">
        <v>2.5187202178352619</v>
      </c>
      <c r="L125" s="14">
        <v>41.933287950987065</v>
      </c>
      <c r="M125" s="2"/>
      <c r="O125" s="2"/>
      <c r="P125" s="2"/>
      <c r="Q125" s="2"/>
      <c r="R125" s="2"/>
      <c r="S125" s="2"/>
      <c r="T125" s="2"/>
      <c r="U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2:31" ht="8.25" customHeight="1" x14ac:dyDescent="0.25">
      <c r="B126" s="9">
        <v>66</v>
      </c>
      <c r="C126" s="25">
        <v>159</v>
      </c>
      <c r="D126" s="10" t="str">
        <f t="array" ref="D126">VLOOKUP([1]!Datenbereich_A3[[#This Row],[AGS]],[1]AGS_Namen!$A$1:$B$68,2,FALSE)</f>
        <v>Niedersachsen</v>
      </c>
      <c r="E126" s="11">
        <v>2017</v>
      </c>
      <c r="F126" s="12">
        <v>28955</v>
      </c>
      <c r="G126" s="13">
        <v>9.4456915903988943</v>
      </c>
      <c r="H126" s="13">
        <v>33.103091003280952</v>
      </c>
      <c r="I126" s="13">
        <v>8.7722327749956843</v>
      </c>
      <c r="J126" s="13">
        <v>4.299775513728199</v>
      </c>
      <c r="K126" s="13">
        <v>3.0564669314453461</v>
      </c>
      <c r="L126" s="14">
        <v>41.340010360904849</v>
      </c>
      <c r="M126" s="2"/>
      <c r="O126" s="2"/>
      <c r="P126" s="2"/>
      <c r="Q126" s="2"/>
      <c r="R126" s="2"/>
      <c r="S126" s="2"/>
      <c r="T126" s="2"/>
      <c r="U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2:31" ht="8.25" customHeight="1" x14ac:dyDescent="0.25">
      <c r="B127" s="9">
        <v>67</v>
      </c>
      <c r="C127" s="25">
        <v>159016</v>
      </c>
      <c r="D127" s="10" t="str">
        <f t="array" ref="D127">VLOOKUP([1]!Datenbereich_A3[[#This Row],[AGS]],[1]AGS_Namen!$A$1:$B$68,2,FALSE)</f>
        <v>Braunschweig, Stadt</v>
      </c>
      <c r="E127" s="11">
        <v>2017</v>
      </c>
      <c r="F127" s="12">
        <v>16270</v>
      </c>
      <c r="G127" s="13">
        <v>8.1438229870928094</v>
      </c>
      <c r="H127" s="13">
        <v>33.866011063306701</v>
      </c>
      <c r="I127" s="13">
        <v>10.817455439459128</v>
      </c>
      <c r="J127" s="13">
        <v>4.8555623847572216</v>
      </c>
      <c r="K127" s="13">
        <v>3.5341118623232943</v>
      </c>
      <c r="L127" s="14">
        <v>38.813767670559315</v>
      </c>
      <c r="M127" s="2"/>
      <c r="O127" s="2"/>
      <c r="P127" s="2"/>
      <c r="Q127" s="2"/>
      <c r="R127" s="2"/>
      <c r="S127" s="2"/>
      <c r="T127" s="2"/>
      <c r="U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2:31" ht="8.25" customHeight="1" x14ac:dyDescent="0.25">
      <c r="B128" s="9">
        <v>68</v>
      </c>
      <c r="C128" s="9">
        <v>159999</v>
      </c>
      <c r="D128" s="10" t="str">
        <f t="array" ref="D128">VLOOKUP([1]!Datenbereich_A3[[#This Row],[AGS]],[1]AGS_Namen!$A$1:$B$68,2,FALSE)</f>
        <v>Salzgitter, Stadt</v>
      </c>
      <c r="E128" s="11">
        <v>2017</v>
      </c>
      <c r="F128" s="12">
        <v>12685</v>
      </c>
      <c r="G128" s="13">
        <v>11.115490737091053</v>
      </c>
      <c r="H128" s="13">
        <v>32.124556562869536</v>
      </c>
      <c r="I128" s="13">
        <v>6.1489948758376034</v>
      </c>
      <c r="J128" s="13">
        <v>3.5869136775719355</v>
      </c>
      <c r="K128" s="13">
        <v>2.4438312968072524</v>
      </c>
      <c r="L128" s="14">
        <v>44.580212849822622</v>
      </c>
      <c r="M128" s="2"/>
      <c r="O128" s="2"/>
      <c r="P128" s="2"/>
      <c r="Q128" s="2"/>
      <c r="R128" s="2"/>
      <c r="S128" s="2"/>
      <c r="T128" s="2"/>
      <c r="U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2:31" s="16" customFormat="1" ht="16.5" customHeight="1" x14ac:dyDescent="0.25">
      <c r="B129" s="16">
        <v>69</v>
      </c>
      <c r="C129" s="16">
        <v>1</v>
      </c>
      <c r="D129" s="17" t="str">
        <f t="array" ref="D129">VLOOKUP([1]!Datenbereich_A3[[#This Row],[AGS]],[1]AGS_Namen!$A$1:$B$68,2,FALSE)</f>
        <v>Wolfsburg, Stadt</v>
      </c>
      <c r="E129" s="31">
        <v>2017</v>
      </c>
      <c r="F129" s="32">
        <v>151170</v>
      </c>
      <c r="G129" s="33">
        <v>8.9501885294701342</v>
      </c>
      <c r="H129" s="33">
        <v>32.142620890388308</v>
      </c>
      <c r="I129" s="33">
        <v>8.1365350267910301</v>
      </c>
      <c r="J129" s="33">
        <v>4.2931798637295762</v>
      </c>
      <c r="K129" s="33">
        <v>2.7915591717933452</v>
      </c>
      <c r="L129" s="34">
        <v>43.682608983263876</v>
      </c>
      <c r="M129" s="23"/>
      <c r="O129" s="23"/>
      <c r="P129" s="23"/>
      <c r="Q129" s="23"/>
      <c r="R129" s="23"/>
      <c r="S129" s="23"/>
      <c r="T129" s="23"/>
      <c r="U129" s="23"/>
      <c r="W129" s="23"/>
      <c r="X129" s="23"/>
      <c r="Y129" s="23"/>
      <c r="Z129" s="23"/>
      <c r="AA129" s="23"/>
      <c r="AB129" s="23"/>
      <c r="AC129" s="23"/>
      <c r="AD129" s="23"/>
      <c r="AE129" s="23"/>
    </row>
    <row r="130" spans="2:31" ht="8.25" customHeight="1" x14ac:dyDescent="0.25">
      <c r="B130" s="9">
        <v>70</v>
      </c>
      <c r="C130" s="25">
        <v>241</v>
      </c>
      <c r="D130" s="10" t="str">
        <f t="array" ref="D130">VLOOKUP([1]!Datenbereich_A3[[#This Row],[AGS]],[1]AGS_Namen!$A$1:$B$68,2,FALSE)</f>
        <v>Gifhorn</v>
      </c>
      <c r="E130" s="11">
        <v>2017</v>
      </c>
      <c r="F130" s="12">
        <v>175170</v>
      </c>
      <c r="G130" s="13">
        <v>6.5878860535479822</v>
      </c>
      <c r="H130" s="13">
        <v>27.516127190729005</v>
      </c>
      <c r="I130" s="13">
        <v>9.2909744819318387</v>
      </c>
      <c r="J130" s="13">
        <v>5.5060798081863327</v>
      </c>
      <c r="K130" s="13">
        <v>3.3310498373009074</v>
      </c>
      <c r="L130" s="14">
        <v>47.765028258263406</v>
      </c>
      <c r="M130" s="2"/>
      <c r="O130" s="2"/>
      <c r="P130" s="2"/>
      <c r="Q130" s="2"/>
      <c r="R130" s="2"/>
      <c r="S130" s="2"/>
      <c r="T130" s="2"/>
      <c r="U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2:31" ht="8.25" customHeight="1" x14ac:dyDescent="0.25">
      <c r="B131" s="9">
        <v>71</v>
      </c>
      <c r="C131" s="25">
        <v>241001</v>
      </c>
      <c r="D131" s="10" t="str">
        <f t="array" ref="D131">VLOOKUP([1]!Datenbereich_A3[[#This Row],[AGS]],[1]AGS_Namen!$A$1:$B$68,2,FALSE)</f>
        <v>Goslar</v>
      </c>
      <c r="E131" s="11">
        <v>2017</v>
      </c>
      <c r="F131" s="12">
        <v>107965</v>
      </c>
      <c r="G131" s="13">
        <v>6.2705506414115684</v>
      </c>
      <c r="H131" s="13">
        <v>25.309127958134582</v>
      </c>
      <c r="I131" s="13">
        <v>10.081971009123327</v>
      </c>
      <c r="J131" s="13">
        <v>6.2844440327884037</v>
      </c>
      <c r="K131" s="13">
        <v>3.7419534108275831</v>
      </c>
      <c r="L131" s="14">
        <v>48.316584078173477</v>
      </c>
      <c r="M131" s="2"/>
      <c r="O131" s="2"/>
      <c r="P131" s="2"/>
      <c r="Q131" s="2"/>
      <c r="R131" s="2"/>
      <c r="S131" s="2"/>
      <c r="T131" s="2"/>
      <c r="U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2:31" ht="8.25" customHeight="1" x14ac:dyDescent="0.25">
      <c r="B132" s="9">
        <v>72</v>
      </c>
      <c r="C132" s="25">
        <v>241999</v>
      </c>
      <c r="D132" s="10" t="str">
        <f t="array" ref="D132">VLOOKUP([1]!Datenbereich_A3[[#This Row],[AGS]],[1]AGS_Namen!$A$1:$B$68,2,FALSE)</f>
        <v>Helmstedt</v>
      </c>
      <c r="E132" s="11">
        <v>2017</v>
      </c>
      <c r="F132" s="12">
        <v>67205</v>
      </c>
      <c r="G132" s="13">
        <v>7.0976861840636856</v>
      </c>
      <c r="H132" s="13">
        <v>31.06167695855963</v>
      </c>
      <c r="I132" s="13">
        <v>8.0202365895394685</v>
      </c>
      <c r="J132" s="13">
        <v>4.2556357413882893</v>
      </c>
      <c r="K132" s="13">
        <v>2.6709322223048879</v>
      </c>
      <c r="L132" s="14">
        <v>46.878952458894432</v>
      </c>
      <c r="M132" s="2"/>
      <c r="O132" s="2"/>
      <c r="P132" s="2"/>
      <c r="Q132" s="2"/>
      <c r="R132" s="2"/>
      <c r="S132" s="2"/>
      <c r="T132" s="2"/>
      <c r="U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2:31" ht="8.25" customHeight="1" x14ac:dyDescent="0.25">
      <c r="B133" s="25">
        <v>73</v>
      </c>
      <c r="C133" s="25">
        <v>251</v>
      </c>
      <c r="D133" s="10" t="str">
        <f t="array" ref="D133">VLOOKUP([1]!Datenbereich_A3[[#This Row],[AGS]],[1]AGS_Namen!$A$1:$B$68,2,FALSE)</f>
        <v>Northeim</v>
      </c>
      <c r="E133" s="11">
        <v>2017</v>
      </c>
      <c r="F133" s="12">
        <v>16065</v>
      </c>
      <c r="G133" s="13">
        <v>5.7578586990351699</v>
      </c>
      <c r="H133" s="13">
        <v>36.290071584189235</v>
      </c>
      <c r="I133" s="13">
        <v>12.262682850918145</v>
      </c>
      <c r="J133" s="13">
        <v>5.4466230936819171</v>
      </c>
      <c r="K133" s="13">
        <v>3.3924680983504514</v>
      </c>
      <c r="L133" s="14">
        <v>36.850295673825087</v>
      </c>
      <c r="M133" s="2"/>
      <c r="O133" s="2"/>
      <c r="P133" s="2"/>
      <c r="Q133" s="2"/>
      <c r="R133" s="2"/>
      <c r="S133" s="2"/>
      <c r="T133" s="2"/>
      <c r="U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2:31" ht="8.25" customHeight="1" x14ac:dyDescent="0.25">
      <c r="B134" s="9">
        <v>74</v>
      </c>
      <c r="C134" s="25">
        <v>252</v>
      </c>
      <c r="D134" s="10" t="str">
        <f t="array" ref="D134">VLOOKUP([1]!Datenbereich_A3[[#This Row],[AGS]],[1]AGS_Namen!$A$1:$B$68,2,FALSE)</f>
        <v>Peine</v>
      </c>
      <c r="E134" s="11">
        <v>2017</v>
      </c>
      <c r="F134" s="12">
        <v>15795</v>
      </c>
      <c r="G134" s="13">
        <v>7.4074074074074066</v>
      </c>
      <c r="H134" s="13">
        <v>30.10446343779677</v>
      </c>
      <c r="I134" s="13">
        <v>6.3627730294396958</v>
      </c>
      <c r="J134" s="13">
        <v>3.9252928141817032</v>
      </c>
      <c r="K134" s="13">
        <v>2.3425134536245649</v>
      </c>
      <c r="L134" s="14">
        <v>49.794238683127574</v>
      </c>
      <c r="M134" s="2"/>
      <c r="O134" s="2"/>
      <c r="P134" s="2"/>
      <c r="Q134" s="2"/>
      <c r="R134" s="2"/>
      <c r="S134" s="2"/>
      <c r="T134" s="2"/>
      <c r="U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2:31" ht="8.25" customHeight="1" x14ac:dyDescent="0.25">
      <c r="B135" s="9">
        <v>75</v>
      </c>
      <c r="C135" s="25">
        <v>254</v>
      </c>
      <c r="D135" s="10" t="str">
        <f t="array" ref="D135">VLOOKUP([1]!Datenbereich_A3[[#This Row],[AGS]],[1]AGS_Namen!$A$1:$B$68,2,FALSE)</f>
        <v>Wolfenbüttel</v>
      </c>
      <c r="E135" s="11">
        <v>2017</v>
      </c>
      <c r="F135" s="12">
        <v>22775</v>
      </c>
      <c r="G135" s="13">
        <v>8.6059275521405052</v>
      </c>
      <c r="H135" s="13">
        <v>31.81119648737651</v>
      </c>
      <c r="I135" s="13">
        <v>8.0131723380900102</v>
      </c>
      <c r="J135" s="13">
        <v>4.8957189901207459</v>
      </c>
      <c r="K135" s="13">
        <v>3.0735455543358947</v>
      </c>
      <c r="L135" s="14">
        <v>43.600439077936329</v>
      </c>
      <c r="M135" s="2"/>
      <c r="O135" s="2"/>
      <c r="P135" s="2"/>
      <c r="Q135" s="2"/>
      <c r="R135" s="2"/>
      <c r="S135" s="2"/>
      <c r="T135" s="2"/>
      <c r="U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2:31" ht="8.25" customHeight="1" x14ac:dyDescent="0.25">
      <c r="B136" s="9">
        <v>76</v>
      </c>
      <c r="C136" s="25">
        <v>254021</v>
      </c>
      <c r="D136" s="10" t="str">
        <f t="array" ref="D136">VLOOKUP([1]!Datenbereich_A3[[#This Row],[AGS]],[1]AGS_Namen!$A$1:$B$68,2,FALSE)</f>
        <v>Göttingen</v>
      </c>
      <c r="E136" s="11">
        <v>2017</v>
      </c>
      <c r="F136" s="12">
        <v>13285</v>
      </c>
      <c r="G136" s="13">
        <v>8.5434700790365063</v>
      </c>
      <c r="H136" s="13">
        <v>29.281144147534814</v>
      </c>
      <c r="I136" s="13">
        <v>8.4305607828377873</v>
      </c>
      <c r="J136" s="13">
        <v>5.2314640572073765</v>
      </c>
      <c r="K136" s="13">
        <v>3.5754610462928111</v>
      </c>
      <c r="L136" s="14">
        <v>44.900263455024465</v>
      </c>
      <c r="M136" s="2"/>
      <c r="O136" s="2"/>
      <c r="P136" s="2"/>
      <c r="Q136" s="2"/>
      <c r="R136" s="2"/>
      <c r="S136" s="2"/>
      <c r="T136" s="2"/>
      <c r="U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2:31" ht="8.25" customHeight="1" x14ac:dyDescent="0.25">
      <c r="B137" s="25">
        <v>77</v>
      </c>
      <c r="C137" s="25">
        <v>241999</v>
      </c>
      <c r="D137" s="10" t="str">
        <f t="array" ref="D137">VLOOKUP([1]!Datenbereich_A3[[#This Row],[AGS]],[1]AGS_Namen!$A$1:$B$68,2,FALSE)</f>
        <v xml:space="preserve">   dav. Göttingen, Stadt</v>
      </c>
      <c r="E137" s="11">
        <v>2017</v>
      </c>
      <c r="F137" s="12">
        <v>9490</v>
      </c>
      <c r="G137" s="13">
        <v>8.6933614330874605</v>
      </c>
      <c r="H137" s="13">
        <v>35.35300316122234</v>
      </c>
      <c r="I137" s="13">
        <v>7.4288724973656475</v>
      </c>
      <c r="J137" s="13">
        <v>4.4257112750263436</v>
      </c>
      <c r="K137" s="13">
        <v>2.3709167544783982</v>
      </c>
      <c r="L137" s="14">
        <v>41.780821917808218</v>
      </c>
      <c r="M137" s="2"/>
      <c r="O137" s="2"/>
      <c r="P137" s="2"/>
      <c r="Q137" s="2"/>
      <c r="R137" s="2"/>
      <c r="S137" s="2"/>
      <c r="T137" s="2"/>
      <c r="U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2:31" ht="8.25" customHeight="1" x14ac:dyDescent="0.25">
      <c r="B138" s="9">
        <v>78</v>
      </c>
      <c r="C138" s="25">
        <v>255</v>
      </c>
      <c r="D138" s="10" t="str">
        <f t="array" ref="D138">VLOOKUP([1]!Datenbereich_A3[[#This Row],[AGS]],[1]AGS_Namen!$A$1:$B$68,2,FALSE)</f>
        <v xml:space="preserve">   dav. Göttingen, Umland</v>
      </c>
      <c r="E138" s="11">
        <v>2017</v>
      </c>
      <c r="F138" s="12">
        <v>4350</v>
      </c>
      <c r="G138" s="13">
        <v>5.1724137931034484</v>
      </c>
      <c r="H138" s="13">
        <v>33.5632183908046</v>
      </c>
      <c r="I138" s="13">
        <v>4.5977011494252871</v>
      </c>
      <c r="J138" s="13">
        <v>3.7931034482758621</v>
      </c>
      <c r="K138" s="13">
        <v>1.7241379310344827</v>
      </c>
      <c r="L138" s="14">
        <v>51.149425287356323</v>
      </c>
      <c r="M138" s="2"/>
      <c r="O138" s="2"/>
      <c r="P138" s="2"/>
      <c r="Q138" s="2"/>
      <c r="R138" s="2"/>
      <c r="S138" s="2"/>
      <c r="T138" s="2"/>
      <c r="U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2:31" ht="8.25" customHeight="1" x14ac:dyDescent="0.25">
      <c r="B139" s="9">
        <v>79</v>
      </c>
      <c r="C139" s="25">
        <v>256</v>
      </c>
      <c r="D139" s="10" t="str">
        <f t="array" ref="D139">VLOOKUP([1]!Datenbereich_A3[[#This Row],[AGS]],[1]AGS_Namen!$A$1:$B$68,2,FALSE)</f>
        <v>Stat. Region Braunschweig</v>
      </c>
      <c r="E139" s="11">
        <v>2017</v>
      </c>
      <c r="F139" s="12">
        <v>10010</v>
      </c>
      <c r="G139" s="13">
        <v>9.79020979020979</v>
      </c>
      <c r="H139" s="13">
        <v>39.310689310689312</v>
      </c>
      <c r="I139" s="13">
        <v>7.7922077922077921</v>
      </c>
      <c r="J139" s="13">
        <v>4.5954045954045952</v>
      </c>
      <c r="K139" s="13">
        <v>2.4975024975024978</v>
      </c>
      <c r="L139" s="14">
        <v>36.013986013986013</v>
      </c>
      <c r="M139" s="2"/>
      <c r="O139" s="2"/>
      <c r="P139" s="2"/>
      <c r="Q139" s="2"/>
      <c r="R139" s="2"/>
      <c r="S139" s="2"/>
      <c r="T139" s="2"/>
      <c r="U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2:31" ht="8.25" customHeight="1" x14ac:dyDescent="0.25">
      <c r="B140" s="9">
        <v>80</v>
      </c>
      <c r="C140" s="25">
        <v>257</v>
      </c>
      <c r="D140" s="10" t="str">
        <f t="array" ref="D140">VLOOKUP([1]!Datenbereich_A3[[#This Row],[AGS]],[1]AGS_Namen!$A$1:$B$68,2,FALSE)</f>
        <v>Hannover, Region</v>
      </c>
      <c r="E140" s="11">
        <v>2017</v>
      </c>
      <c r="F140" s="12">
        <v>13545</v>
      </c>
      <c r="G140" s="13">
        <v>9.8929494278331482</v>
      </c>
      <c r="H140" s="13">
        <v>31.746031746031743</v>
      </c>
      <c r="I140" s="13">
        <v>6.2384643779992617</v>
      </c>
      <c r="J140" s="13">
        <v>3.7652270210409746</v>
      </c>
      <c r="K140" s="13">
        <v>2.1779254337393872</v>
      </c>
      <c r="L140" s="14">
        <v>46.142488002953122</v>
      </c>
      <c r="M140" s="2"/>
      <c r="O140" s="2"/>
      <c r="P140" s="2"/>
      <c r="Q140" s="2"/>
      <c r="R140" s="2"/>
      <c r="S140" s="2"/>
      <c r="T140" s="2"/>
      <c r="U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2:31" s="16" customFormat="1" ht="16.5" customHeight="1" x14ac:dyDescent="0.25">
      <c r="B141" s="16">
        <v>81</v>
      </c>
      <c r="C141" s="16">
        <v>2</v>
      </c>
      <c r="D141" s="17" t="str">
        <f t="array" ref="D141">VLOOKUP([1]!Datenbereich_A3[[#This Row],[AGS]],[1]AGS_Namen!$A$1:$B$68,2,FALSE)</f>
        <v xml:space="preserve">   dav. Hannover, Lhst.</v>
      </c>
      <c r="E141" s="31">
        <v>2017</v>
      </c>
      <c r="F141" s="32">
        <v>257705</v>
      </c>
      <c r="G141" s="33">
        <v>7.0409964882326692</v>
      </c>
      <c r="H141" s="33">
        <v>29.38437360547913</v>
      </c>
      <c r="I141" s="33">
        <v>8.8880696920897915</v>
      </c>
      <c r="J141" s="33">
        <v>5.1958634873207741</v>
      </c>
      <c r="K141" s="33">
        <v>3.1334277565433348</v>
      </c>
      <c r="L141" s="34">
        <v>46.357268970334296</v>
      </c>
      <c r="M141" s="23"/>
      <c r="O141" s="23"/>
      <c r="P141" s="23"/>
      <c r="Q141" s="23"/>
      <c r="R141" s="23"/>
      <c r="S141" s="23"/>
      <c r="T141" s="23"/>
      <c r="U141" s="23"/>
      <c r="W141" s="23"/>
      <c r="X141" s="23"/>
      <c r="Y141" s="23"/>
      <c r="Z141" s="23"/>
      <c r="AA141" s="23"/>
      <c r="AB141" s="23"/>
      <c r="AC141" s="23"/>
      <c r="AD141" s="23"/>
      <c r="AE141" s="23"/>
    </row>
    <row r="142" spans="2:31" ht="8.25" customHeight="1" x14ac:dyDescent="0.25">
      <c r="B142" s="9">
        <v>82</v>
      </c>
      <c r="C142" s="25">
        <v>351</v>
      </c>
      <c r="D142" s="10" t="str">
        <f t="array" ref="D142">VLOOKUP([1]!Datenbereich_A3[[#This Row],[AGS]],[1]AGS_Namen!$A$1:$B$68,2,FALSE)</f>
        <v xml:space="preserve">   dav. Hannover, Umland</v>
      </c>
      <c r="E142" s="11">
        <v>2017</v>
      </c>
      <c r="F142" s="12">
        <v>13430</v>
      </c>
      <c r="G142" s="13">
        <v>8.2278481012658222</v>
      </c>
      <c r="H142" s="13">
        <v>37.192851824274015</v>
      </c>
      <c r="I142" s="13">
        <v>7.9672375279225616</v>
      </c>
      <c r="J142" s="13">
        <v>4.281459419210722</v>
      </c>
      <c r="K142" s="13">
        <v>2.8667163067758747</v>
      </c>
      <c r="L142" s="14">
        <v>39.463886820551004</v>
      </c>
      <c r="M142" s="2"/>
      <c r="O142" s="2"/>
      <c r="P142" s="2"/>
      <c r="Q142" s="2"/>
      <c r="R142" s="2"/>
      <c r="S142" s="2"/>
      <c r="T142" s="2"/>
      <c r="U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2:31" ht="8.25" customHeight="1" x14ac:dyDescent="0.25">
      <c r="B143" s="9">
        <v>83</v>
      </c>
      <c r="C143" s="25">
        <v>352</v>
      </c>
      <c r="D143" s="10" t="str">
        <f t="array" ref="D143">VLOOKUP([1]!Datenbereich_A3[[#This Row],[AGS]],[1]AGS_Namen!$A$1:$B$68,2,FALSE)</f>
        <v>Diepholz</v>
      </c>
      <c r="E143" s="11">
        <v>2017</v>
      </c>
      <c r="F143" s="12">
        <v>13215</v>
      </c>
      <c r="G143" s="13">
        <v>7.4536511539916761</v>
      </c>
      <c r="H143" s="13">
        <v>33.938706015891036</v>
      </c>
      <c r="I143" s="13">
        <v>7.5671585319712449</v>
      </c>
      <c r="J143" s="13">
        <v>4.2754445705637538</v>
      </c>
      <c r="K143" s="13">
        <v>2.7620128641695043</v>
      </c>
      <c r="L143" s="14">
        <v>44.003026863412785</v>
      </c>
      <c r="M143" s="2"/>
      <c r="O143" s="2"/>
      <c r="P143" s="2"/>
      <c r="Q143" s="2"/>
      <c r="R143" s="2"/>
      <c r="S143" s="2"/>
      <c r="T143" s="2"/>
      <c r="U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2:31" ht="8.25" customHeight="1" x14ac:dyDescent="0.25">
      <c r="B144" s="9">
        <v>84</v>
      </c>
      <c r="C144" s="25">
        <v>353</v>
      </c>
      <c r="D144" s="10" t="str">
        <f t="array" ref="D144">VLOOKUP([1]!Datenbereich_A3[[#This Row],[AGS]],[1]AGS_Namen!$A$1:$B$68,2,FALSE)</f>
        <v>Hameln-Pyrmont</v>
      </c>
      <c r="E144" s="11">
        <v>2017</v>
      </c>
      <c r="F144" s="12">
        <v>17475</v>
      </c>
      <c r="G144" s="13">
        <v>6.0371959942775399</v>
      </c>
      <c r="H144" s="13">
        <v>30.042918454935624</v>
      </c>
      <c r="I144" s="13">
        <v>7.4964234620886989</v>
      </c>
      <c r="J144" s="13">
        <v>5.5221745350500715</v>
      </c>
      <c r="K144" s="13">
        <v>4.0629470672389125</v>
      </c>
      <c r="L144" s="14">
        <v>46.838340486409159</v>
      </c>
      <c r="M144" s="2"/>
      <c r="O144" s="2"/>
      <c r="P144" s="2"/>
      <c r="Q144" s="2"/>
      <c r="R144" s="2"/>
      <c r="S144" s="2"/>
      <c r="T144" s="2"/>
      <c r="U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2:31" ht="8.25" customHeight="1" x14ac:dyDescent="0.25">
      <c r="B145" s="25">
        <v>85</v>
      </c>
      <c r="C145" s="25">
        <v>354</v>
      </c>
      <c r="D145" s="10" t="str">
        <f t="array" ref="D145">VLOOKUP([1]!Datenbereich_A3[[#This Row],[AGS]],[1]AGS_Namen!$A$1:$B$68,2,FALSE)</f>
        <v>Hildesheim</v>
      </c>
      <c r="E145" s="11">
        <v>2017</v>
      </c>
      <c r="F145" s="12">
        <v>2585</v>
      </c>
      <c r="G145" s="13">
        <v>9.8646034816247585</v>
      </c>
      <c r="H145" s="13">
        <v>38.878143133462281</v>
      </c>
      <c r="I145" s="13">
        <v>11.02514506769826</v>
      </c>
      <c r="J145" s="13">
        <v>3.8684719535783367</v>
      </c>
      <c r="K145" s="13">
        <v>2.7079303675048356</v>
      </c>
      <c r="L145" s="14">
        <v>33.65570599613153</v>
      </c>
      <c r="M145" s="2"/>
      <c r="O145" s="2"/>
      <c r="P145" s="2"/>
      <c r="Q145" s="2"/>
      <c r="R145" s="2"/>
      <c r="S145" s="2"/>
      <c r="T145" s="2"/>
      <c r="U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2:31" ht="8.25" customHeight="1" x14ac:dyDescent="0.25">
      <c r="B146" s="9">
        <v>86</v>
      </c>
      <c r="C146" s="25">
        <v>355</v>
      </c>
      <c r="D146" s="10" t="str">
        <f t="array" ref="D146">VLOOKUP([1]!Datenbereich_A3[[#This Row],[AGS]],[1]AGS_Namen!$A$1:$B$68,2,FALSE)</f>
        <v xml:space="preserve">   dav. Hildesheim, Stadt</v>
      </c>
      <c r="E146" s="11">
        <v>2017</v>
      </c>
      <c r="F146" s="12">
        <v>12105</v>
      </c>
      <c r="G146" s="13">
        <v>9.5002065262288315</v>
      </c>
      <c r="H146" s="13">
        <v>39.281288723667906</v>
      </c>
      <c r="I146" s="13">
        <v>8.7154068566707981</v>
      </c>
      <c r="J146" s="13">
        <v>4.2957455596860799</v>
      </c>
      <c r="K146" s="13">
        <v>2.9326724494010739</v>
      </c>
      <c r="L146" s="14">
        <v>35.274679884345311</v>
      </c>
      <c r="M146" s="2"/>
      <c r="O146" s="2"/>
      <c r="P146" s="2"/>
      <c r="Q146" s="2"/>
      <c r="R146" s="2"/>
      <c r="S146" s="2"/>
      <c r="T146" s="2"/>
      <c r="U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2:31" ht="8.25" customHeight="1" x14ac:dyDescent="0.25">
      <c r="B147" s="9">
        <v>87</v>
      </c>
      <c r="C147" s="25">
        <v>356</v>
      </c>
      <c r="D147" s="10" t="str">
        <f t="array" ref="D147">VLOOKUP([1]!Datenbereich_A3[[#This Row],[AGS]],[1]AGS_Namen!$A$1:$B$68,2,FALSE)</f>
        <v xml:space="preserve">   dav. Hannover, Umland</v>
      </c>
      <c r="E147" s="11">
        <v>2017</v>
      </c>
      <c r="F147" s="12">
        <v>6360</v>
      </c>
      <c r="G147" s="13">
        <v>5.9748427672955975</v>
      </c>
      <c r="H147" s="13">
        <v>33.254716981132077</v>
      </c>
      <c r="I147" s="13">
        <v>7.5471698113207548</v>
      </c>
      <c r="J147" s="13">
        <v>4.7955974842767297</v>
      </c>
      <c r="K147" s="13">
        <v>2.6729559748427674</v>
      </c>
      <c r="L147" s="14">
        <v>45.833333333333329</v>
      </c>
      <c r="M147" s="2"/>
      <c r="O147" s="2"/>
      <c r="P147" s="2"/>
      <c r="Q147" s="2"/>
      <c r="R147" s="2"/>
      <c r="S147" s="2"/>
      <c r="T147" s="2"/>
      <c r="U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2:31" ht="8.25" customHeight="1" x14ac:dyDescent="0.25">
      <c r="B148" s="9">
        <v>88</v>
      </c>
      <c r="C148" s="25">
        <v>357</v>
      </c>
      <c r="D148" s="10" t="str">
        <f t="array" ref="D148">VLOOKUP([1]!Datenbereich_A3[[#This Row],[AGS]],[1]AGS_Namen!$A$1:$B$68,2,FALSE)</f>
        <v>Holzminden</v>
      </c>
      <c r="E148" s="11">
        <v>2017</v>
      </c>
      <c r="F148" s="12">
        <v>10845</v>
      </c>
      <c r="G148" s="13">
        <v>9.9124020285846015</v>
      </c>
      <c r="H148" s="13">
        <v>34.071000461041955</v>
      </c>
      <c r="I148" s="13">
        <v>7.976025818349469</v>
      </c>
      <c r="J148" s="13">
        <v>4.4721069617335178</v>
      </c>
      <c r="K148" s="13">
        <v>2.9506685108344857</v>
      </c>
      <c r="L148" s="14">
        <v>40.617796219455968</v>
      </c>
      <c r="M148" s="2"/>
      <c r="O148" s="2"/>
      <c r="P148" s="2"/>
      <c r="Q148" s="2"/>
      <c r="R148" s="2"/>
      <c r="S148" s="2"/>
      <c r="T148" s="2"/>
      <c r="U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2:31" ht="8.25" customHeight="1" x14ac:dyDescent="0.25">
      <c r="B149" s="25">
        <v>89</v>
      </c>
      <c r="C149" s="25">
        <v>358</v>
      </c>
      <c r="D149" s="10" t="str">
        <f t="array" ref="D149">VLOOKUP([1]!Datenbereich_A3[[#This Row],[AGS]],[1]AGS_Namen!$A$1:$B$68,2,FALSE)</f>
        <v>Nienburg (Weser)</v>
      </c>
      <c r="E149" s="11">
        <v>2017</v>
      </c>
      <c r="F149" s="12">
        <v>10920</v>
      </c>
      <c r="G149" s="13">
        <v>8.4249084249084252</v>
      </c>
      <c r="H149" s="13">
        <v>34.661172161172161</v>
      </c>
      <c r="I149" s="13">
        <v>9.5695970695970693</v>
      </c>
      <c r="J149" s="13">
        <v>5.5860805860805867</v>
      </c>
      <c r="K149" s="13">
        <v>3.296703296703297</v>
      </c>
      <c r="L149" s="14">
        <v>38.461538461538467</v>
      </c>
      <c r="M149" s="2"/>
      <c r="O149" s="2"/>
      <c r="P149" s="2"/>
      <c r="Q149" s="2"/>
      <c r="R149" s="2"/>
      <c r="S149" s="2"/>
      <c r="T149" s="2"/>
      <c r="U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2:31" ht="8.25" customHeight="1" x14ac:dyDescent="0.25">
      <c r="B150" s="9">
        <v>90</v>
      </c>
      <c r="C150" s="25">
        <v>359</v>
      </c>
      <c r="D150" s="10" t="str">
        <f t="array" ref="D150">VLOOKUP([1]!Datenbereich_A3[[#This Row],[AGS]],[1]AGS_Namen!$A$1:$B$68,2,FALSE)</f>
        <v>Schaumburg</v>
      </c>
      <c r="E150" s="11">
        <v>2017</v>
      </c>
      <c r="F150" s="12">
        <v>17280</v>
      </c>
      <c r="G150" s="13">
        <v>9.4618055555555554</v>
      </c>
      <c r="H150" s="13">
        <v>38.252314814814817</v>
      </c>
      <c r="I150" s="13">
        <v>9.375</v>
      </c>
      <c r="J150" s="13">
        <v>5.9895833333333339</v>
      </c>
      <c r="K150" s="13">
        <v>3.1539351851851851</v>
      </c>
      <c r="L150" s="14">
        <v>33.767361111111107</v>
      </c>
      <c r="M150" s="2"/>
      <c r="O150" s="2"/>
      <c r="P150" s="2"/>
      <c r="Q150" s="2"/>
      <c r="R150" s="2"/>
      <c r="S150" s="2"/>
      <c r="T150" s="2"/>
      <c r="U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2:31" ht="8.25" customHeight="1" x14ac:dyDescent="0.25">
      <c r="B151" s="9">
        <v>91</v>
      </c>
      <c r="C151" s="25">
        <v>360</v>
      </c>
      <c r="D151" s="10" t="str">
        <f t="array" ref="D151">VLOOKUP([1]!Datenbereich_A3[[#This Row],[AGS]],[1]AGS_Namen!$A$1:$B$68,2,FALSE)</f>
        <v>Stat. Region Hannover</v>
      </c>
      <c r="E151" s="11">
        <v>2017</v>
      </c>
      <c r="F151" s="12">
        <v>5335</v>
      </c>
      <c r="G151" s="13">
        <v>10.309278350515463</v>
      </c>
      <c r="H151" s="13">
        <v>38.331771321462043</v>
      </c>
      <c r="I151" s="13">
        <v>8.9034676663542651</v>
      </c>
      <c r="J151" s="13">
        <v>4.6860356138706658</v>
      </c>
      <c r="K151" s="13">
        <v>2.8116213683223994</v>
      </c>
      <c r="L151" s="14">
        <v>35.051546391752574</v>
      </c>
      <c r="M151" s="2"/>
      <c r="O151" s="2"/>
      <c r="P151" s="2"/>
      <c r="Q151" s="2"/>
      <c r="R151" s="2"/>
      <c r="S151" s="2"/>
      <c r="T151" s="2"/>
      <c r="U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2:31" ht="8.25" customHeight="1" x14ac:dyDescent="0.25">
      <c r="B152" s="9">
        <v>92</v>
      </c>
      <c r="C152" s="25">
        <v>361</v>
      </c>
      <c r="D152" s="10" t="str">
        <f t="array" ref="D152">VLOOKUP([1]!Datenbereich_A3[[#This Row],[AGS]],[1]AGS_Namen!$A$1:$B$68,2,FALSE)</f>
        <v>Celle</v>
      </c>
      <c r="E152" s="11">
        <v>2017</v>
      </c>
      <c r="F152" s="12">
        <v>10510</v>
      </c>
      <c r="G152" s="13">
        <v>7.7069457659372027</v>
      </c>
      <c r="H152" s="13">
        <v>33.301617507136058</v>
      </c>
      <c r="I152" s="13">
        <v>6.7554709800190293</v>
      </c>
      <c r="J152" s="13">
        <v>4.2340627973358709</v>
      </c>
      <c r="K152" s="13">
        <v>2.9971455756422452</v>
      </c>
      <c r="L152" s="14">
        <v>45.004757373929593</v>
      </c>
      <c r="M152" s="2"/>
      <c r="O152" s="2"/>
      <c r="P152" s="2"/>
      <c r="Q152" s="2"/>
      <c r="R152" s="2"/>
      <c r="S152" s="2"/>
      <c r="T152" s="2"/>
      <c r="U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2:31" s="16" customFormat="1" ht="16.5" customHeight="1" x14ac:dyDescent="0.25">
      <c r="B153" s="16">
        <v>93</v>
      </c>
      <c r="C153" s="16">
        <v>3</v>
      </c>
      <c r="D153" s="17" t="str">
        <f t="array" ref="D153">VLOOKUP([1]!Datenbereich_A3[[#This Row],[AGS]],[1]AGS_Namen!$A$1:$B$68,2,FALSE)</f>
        <v>Cuxhaven</v>
      </c>
      <c r="E153" s="18">
        <v>2017</v>
      </c>
      <c r="F153" s="19">
        <v>120060</v>
      </c>
      <c r="G153" s="20">
        <v>8.2583708145927037</v>
      </c>
      <c r="H153" s="20">
        <v>35.1824087956022</v>
      </c>
      <c r="I153" s="20">
        <v>8.2583708145927037</v>
      </c>
      <c r="J153" s="20">
        <v>4.8808928868898889</v>
      </c>
      <c r="K153" s="20">
        <v>3.1151091121106114</v>
      </c>
      <c r="L153" s="21">
        <v>40.304847576211891</v>
      </c>
      <c r="M153" s="23"/>
      <c r="O153" s="23"/>
      <c r="P153" s="23"/>
      <c r="Q153" s="23"/>
      <c r="R153" s="23"/>
      <c r="S153" s="23"/>
      <c r="T153" s="23"/>
      <c r="U153" s="23"/>
      <c r="W153" s="23"/>
      <c r="X153" s="23"/>
      <c r="Y153" s="23"/>
      <c r="Z153" s="23"/>
      <c r="AA153" s="23"/>
      <c r="AB153" s="23"/>
      <c r="AC153" s="23"/>
      <c r="AD153" s="23"/>
      <c r="AE153" s="23"/>
    </row>
    <row r="154" spans="2:31" ht="8.25" customHeight="1" x14ac:dyDescent="0.25">
      <c r="B154" s="9">
        <v>94</v>
      </c>
      <c r="C154" s="25">
        <v>401</v>
      </c>
      <c r="D154" s="10" t="str">
        <f t="array" ref="D154">VLOOKUP([1]!Datenbereich_A3[[#This Row],[AGS]],[1]AGS_Namen!$A$1:$B$68,2,FALSE)</f>
        <v>Harburg</v>
      </c>
      <c r="E154" s="11">
        <v>2017</v>
      </c>
      <c r="F154" s="12">
        <v>12410</v>
      </c>
      <c r="G154" s="13">
        <v>9.4681708299758256</v>
      </c>
      <c r="H154" s="13">
        <v>36.663980660757453</v>
      </c>
      <c r="I154" s="13">
        <v>8.0983078162771971</v>
      </c>
      <c r="J154" s="13">
        <v>4.7542304593070108</v>
      </c>
      <c r="K154" s="13">
        <v>3.2232070910555999</v>
      </c>
      <c r="L154" s="14">
        <v>37.792103142626914</v>
      </c>
      <c r="M154" s="2"/>
      <c r="O154" s="2"/>
      <c r="P154" s="2"/>
      <c r="Q154" s="2"/>
      <c r="R154" s="2"/>
      <c r="S154" s="2"/>
      <c r="T154" s="2"/>
      <c r="U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2:31" ht="8.25" customHeight="1" x14ac:dyDescent="0.25">
      <c r="B155" s="9">
        <v>95</v>
      </c>
      <c r="C155" s="25">
        <v>402</v>
      </c>
      <c r="D155" s="10" t="str">
        <f t="array" ref="D155">VLOOKUP([1]!Datenbereich_A3[[#This Row],[AGS]],[1]AGS_Namen!$A$1:$B$68,2,FALSE)</f>
        <v>Lüchow-Dannenberg</v>
      </c>
      <c r="E155" s="11">
        <v>2017</v>
      </c>
      <c r="F155" s="12">
        <v>5420</v>
      </c>
      <c r="G155" s="13">
        <v>11.808118081180812</v>
      </c>
      <c r="H155" s="13">
        <v>41.974169741697416</v>
      </c>
      <c r="I155" s="13">
        <v>12.546125461254611</v>
      </c>
      <c r="J155" s="13">
        <v>4.6125461254612548</v>
      </c>
      <c r="K155" s="13">
        <v>2.5830258302583027</v>
      </c>
      <c r="L155" s="14">
        <v>26.568265682656829</v>
      </c>
      <c r="M155" s="2"/>
      <c r="O155" s="2"/>
      <c r="P155" s="2"/>
      <c r="Q155" s="2"/>
      <c r="R155" s="2"/>
      <c r="S155" s="2"/>
      <c r="T155" s="2"/>
      <c r="U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2:31" ht="8.25" customHeight="1" x14ac:dyDescent="0.25">
      <c r="B156" s="9">
        <v>96</v>
      </c>
      <c r="C156" s="25">
        <v>403</v>
      </c>
      <c r="D156" s="10" t="str">
        <f t="array" ref="D156">VLOOKUP([1]!Datenbereich_A3[[#This Row],[AGS]],[1]AGS_Namen!$A$1:$B$68,2,FALSE)</f>
        <v>Lüneburg</v>
      </c>
      <c r="E156" s="11">
        <v>2017</v>
      </c>
      <c r="F156" s="12">
        <v>16595</v>
      </c>
      <c r="G156" s="13">
        <v>11.449231696294063</v>
      </c>
      <c r="H156" s="13">
        <v>35.884302500753243</v>
      </c>
      <c r="I156" s="13">
        <v>9.5510695992768895</v>
      </c>
      <c r="J156" s="13">
        <v>5.6342271768604997</v>
      </c>
      <c r="K156" s="13">
        <v>4.0373606507984334</v>
      </c>
      <c r="L156" s="14">
        <v>33.443808376016868</v>
      </c>
      <c r="M156" s="2"/>
      <c r="O156" s="2"/>
      <c r="P156" s="2"/>
      <c r="Q156" s="2"/>
      <c r="R156" s="2"/>
      <c r="S156" s="2"/>
      <c r="T156" s="2"/>
      <c r="U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2:31" ht="8.25" customHeight="1" x14ac:dyDescent="0.25">
      <c r="B157" s="25">
        <v>97</v>
      </c>
      <c r="C157" s="25">
        <v>404</v>
      </c>
      <c r="D157" s="10" t="str">
        <f t="array" ref="D157">VLOOKUP([1]!Datenbereich_A3[[#This Row],[AGS]],[1]AGS_Namen!$A$1:$B$68,2,FALSE)</f>
        <v>Osterholz</v>
      </c>
      <c r="E157" s="11">
        <v>2017</v>
      </c>
      <c r="F157" s="12">
        <v>23915</v>
      </c>
      <c r="G157" s="13">
        <v>10.641856575371106</v>
      </c>
      <c r="H157" s="13">
        <v>31.319255697261134</v>
      </c>
      <c r="I157" s="13">
        <v>8.3002299811833566</v>
      </c>
      <c r="J157" s="13">
        <v>4.8505122308174791</v>
      </c>
      <c r="K157" s="13">
        <v>3.3660882291448884</v>
      </c>
      <c r="L157" s="14">
        <v>41.522057286222037</v>
      </c>
      <c r="M157" s="2"/>
      <c r="O157" s="2"/>
      <c r="P157" s="2"/>
      <c r="Q157" s="2"/>
      <c r="R157" s="2"/>
      <c r="S157" s="2"/>
      <c r="T157" s="2"/>
      <c r="U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2:31" ht="8.25" customHeight="1" x14ac:dyDescent="0.25">
      <c r="B158" s="9">
        <v>98</v>
      </c>
      <c r="C158" s="25">
        <v>405</v>
      </c>
      <c r="D158" s="10" t="str">
        <f t="array" ref="D158">VLOOKUP([1]!Datenbereich_A3[[#This Row],[AGS]],[1]AGS_Namen!$A$1:$B$68,2,FALSE)</f>
        <v>Rotenburg (Wümme)</v>
      </c>
      <c r="E158" s="11">
        <v>2017</v>
      </c>
      <c r="F158" s="12">
        <v>7820</v>
      </c>
      <c r="G158" s="13">
        <v>10.230179028132993</v>
      </c>
      <c r="H158" s="13">
        <v>46.163682864450131</v>
      </c>
      <c r="I158" s="13">
        <v>8.3759590792838878</v>
      </c>
      <c r="J158" s="13">
        <v>3.8363171355498724</v>
      </c>
      <c r="K158" s="13">
        <v>2.5575447570332481</v>
      </c>
      <c r="L158" s="14">
        <v>28.836317135549873</v>
      </c>
      <c r="M158" s="2"/>
      <c r="O158" s="2"/>
      <c r="P158" s="2"/>
      <c r="Q158" s="2"/>
      <c r="R158" s="2"/>
      <c r="S158" s="2"/>
      <c r="T158" s="2"/>
      <c r="U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2:31" ht="8.25" customHeight="1" x14ac:dyDescent="0.25">
      <c r="B159" s="9">
        <v>99</v>
      </c>
      <c r="C159" s="25">
        <v>451</v>
      </c>
      <c r="D159" s="10" t="str">
        <f t="array" ref="D159">VLOOKUP([1]!Datenbereich_A3[[#This Row],[AGS]],[1]AGS_Namen!$A$1:$B$68,2,FALSE)</f>
        <v>Heidekreis</v>
      </c>
      <c r="E159" s="11">
        <v>2017</v>
      </c>
      <c r="F159" s="12">
        <v>7600</v>
      </c>
      <c r="G159" s="13">
        <v>9.5394736842105274</v>
      </c>
      <c r="H159" s="13">
        <v>41.44736842105263</v>
      </c>
      <c r="I159" s="13">
        <v>9.8026315789473681</v>
      </c>
      <c r="J159" s="13">
        <v>5.9868421052631575</v>
      </c>
      <c r="K159" s="13">
        <v>2.9605263157894735</v>
      </c>
      <c r="L159" s="14">
        <v>30.263157894736842</v>
      </c>
      <c r="M159" s="2"/>
      <c r="O159" s="2"/>
      <c r="P159" s="2"/>
      <c r="Q159" s="2"/>
      <c r="R159" s="2"/>
      <c r="S159" s="2"/>
      <c r="T159" s="2"/>
      <c r="U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2:31" ht="8.25" customHeight="1" x14ac:dyDescent="0.25">
      <c r="B160" s="9">
        <v>100</v>
      </c>
      <c r="C160" s="25">
        <v>452</v>
      </c>
      <c r="D160" s="10" t="str">
        <f t="array" ref="D160">VLOOKUP([1]!Datenbereich_A3[[#This Row],[AGS]],[1]AGS_Namen!$A$1:$B$68,2,FALSE)</f>
        <v>Stade</v>
      </c>
      <c r="E160" s="11">
        <v>2017</v>
      </c>
      <c r="F160" s="12">
        <v>11200</v>
      </c>
      <c r="G160" s="13">
        <v>10</v>
      </c>
      <c r="H160" s="13">
        <v>41.383928571428569</v>
      </c>
      <c r="I160" s="13">
        <v>10.401785714285715</v>
      </c>
      <c r="J160" s="13">
        <v>5.0446428571428577</v>
      </c>
      <c r="K160" s="13">
        <v>3.3035714285714288</v>
      </c>
      <c r="L160" s="14">
        <v>29.910714285714285</v>
      </c>
      <c r="M160" s="2"/>
      <c r="O160" s="2"/>
      <c r="P160" s="2"/>
      <c r="Q160" s="2"/>
      <c r="R160" s="2"/>
      <c r="S160" s="2"/>
      <c r="T160" s="2"/>
      <c r="U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2:31" ht="8.25" customHeight="1" x14ac:dyDescent="0.25">
      <c r="B161" s="25">
        <v>101</v>
      </c>
      <c r="C161" s="25">
        <v>453</v>
      </c>
      <c r="D161" s="10" t="str">
        <f t="array" ref="D161">VLOOKUP([1]!Datenbereich_A3[[#This Row],[AGS]],[1]AGS_Namen!$A$1:$B$68,2,FALSE)</f>
        <v>Uelzen</v>
      </c>
      <c r="E161" s="11">
        <v>2017</v>
      </c>
      <c r="F161" s="12">
        <v>17050</v>
      </c>
      <c r="G161" s="13">
        <v>8.5337243401759544</v>
      </c>
      <c r="H161" s="13">
        <v>39.677419354838712</v>
      </c>
      <c r="I161" s="13">
        <v>11.759530791788857</v>
      </c>
      <c r="J161" s="13">
        <v>8.0938416422287389</v>
      </c>
      <c r="K161" s="13">
        <v>4.8680351906158359</v>
      </c>
      <c r="L161" s="14">
        <v>27.067448680351909</v>
      </c>
      <c r="M161" s="2"/>
      <c r="O161" s="2"/>
      <c r="P161" s="2"/>
      <c r="Q161" s="2"/>
      <c r="R161" s="2"/>
      <c r="S161" s="2"/>
      <c r="T161" s="2"/>
      <c r="U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2:31" ht="8.25" customHeight="1" x14ac:dyDescent="0.25">
      <c r="B162" s="9">
        <v>102</v>
      </c>
      <c r="C162" s="25">
        <v>454</v>
      </c>
      <c r="D162" s="10" t="str">
        <f t="array" ref="D162">VLOOKUP([1]!Datenbereich_A3[[#This Row],[AGS]],[1]AGS_Namen!$A$1:$B$68,2,FALSE)</f>
        <v>Verden</v>
      </c>
      <c r="E162" s="11">
        <v>2017</v>
      </c>
      <c r="F162" s="12">
        <v>36430</v>
      </c>
      <c r="G162" s="13">
        <v>13.615152346966786</v>
      </c>
      <c r="H162" s="13">
        <v>35.986824046115842</v>
      </c>
      <c r="I162" s="13">
        <v>10.554488059291794</v>
      </c>
      <c r="J162" s="13">
        <v>6.5605270381553673</v>
      </c>
      <c r="K162" s="13">
        <v>5.4076310732912436</v>
      </c>
      <c r="L162" s="14">
        <v>27.875377436178972</v>
      </c>
      <c r="M162" s="2"/>
      <c r="O162" s="2"/>
      <c r="P162" s="2"/>
      <c r="Q162" s="2"/>
      <c r="R162" s="2"/>
      <c r="S162" s="2"/>
      <c r="T162" s="2"/>
      <c r="U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2:31" ht="8.25" customHeight="1" x14ac:dyDescent="0.25">
      <c r="B163" s="9">
        <v>103</v>
      </c>
      <c r="C163" s="25">
        <v>455</v>
      </c>
      <c r="D163" s="10" t="str">
        <f t="array" ref="D163">VLOOKUP([1]!Datenbereich_A3[[#This Row],[AGS]],[1]AGS_Namen!$A$1:$B$68,2,FALSE)</f>
        <v>Stat. Region Lüneburg</v>
      </c>
      <c r="E163" s="11">
        <v>2017</v>
      </c>
      <c r="F163" s="12">
        <v>4770</v>
      </c>
      <c r="G163" s="13">
        <v>6.7085953878406714</v>
      </c>
      <c r="H163" s="13">
        <v>42.662473794549264</v>
      </c>
      <c r="I163" s="13">
        <v>7.8616352201257858</v>
      </c>
      <c r="J163" s="13">
        <v>3.8784067085953882</v>
      </c>
      <c r="K163" s="13">
        <v>2.2012578616352201</v>
      </c>
      <c r="L163" s="14">
        <v>36.79245283018868</v>
      </c>
      <c r="M163" s="2"/>
      <c r="O163" s="2"/>
      <c r="P163" s="2"/>
      <c r="Q163" s="2"/>
      <c r="R163" s="2"/>
      <c r="S163" s="2"/>
      <c r="T163" s="2"/>
      <c r="U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2:31" ht="8.25" customHeight="1" x14ac:dyDescent="0.25">
      <c r="B164" s="9">
        <v>104</v>
      </c>
      <c r="C164" s="25">
        <v>456</v>
      </c>
      <c r="D164" s="10" t="str">
        <f t="array" ref="D164">VLOOKUP([1]!Datenbereich_A3[[#This Row],[AGS]],[1]AGS_Namen!$A$1:$B$68,2,FALSE)</f>
        <v>Delmenhorst, Stadt</v>
      </c>
      <c r="E164" s="11">
        <v>2017</v>
      </c>
      <c r="F164" s="12">
        <v>21140</v>
      </c>
      <c r="G164" s="13">
        <v>6.1731315042573325</v>
      </c>
      <c r="H164" s="13">
        <v>23.249763481551561</v>
      </c>
      <c r="I164" s="13">
        <v>9.0586565752128667</v>
      </c>
      <c r="J164" s="13">
        <v>6.4096499526963102</v>
      </c>
      <c r="K164" s="13">
        <v>6.693472090823084</v>
      </c>
      <c r="L164" s="14">
        <v>48.391674550614951</v>
      </c>
      <c r="M164" s="2"/>
      <c r="O164" s="2"/>
      <c r="P164" s="2"/>
      <c r="Q164" s="2"/>
      <c r="R164" s="2"/>
      <c r="S164" s="2"/>
      <c r="T164" s="2"/>
      <c r="U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2:31" ht="8.25" customHeight="1" x14ac:dyDescent="0.25">
      <c r="B165" s="25">
        <v>105</v>
      </c>
      <c r="C165" s="25">
        <v>457</v>
      </c>
      <c r="D165" s="10" t="str">
        <f t="array" ref="D165">VLOOKUP([1]!Datenbereich_A3[[#This Row],[AGS]],[1]AGS_Namen!$A$1:$B$68,2,FALSE)</f>
        <v>Emden, Stadt</v>
      </c>
      <c r="E165" s="11">
        <v>2017</v>
      </c>
      <c r="F165" s="12">
        <v>12705</v>
      </c>
      <c r="G165" s="13">
        <v>8.4218811491538759</v>
      </c>
      <c r="H165" s="13">
        <v>36.324281778827235</v>
      </c>
      <c r="I165" s="13">
        <v>9.6812278630460451</v>
      </c>
      <c r="J165" s="13">
        <v>6.2180243998425819</v>
      </c>
      <c r="K165" s="13">
        <v>5.8638331365604088</v>
      </c>
      <c r="L165" s="14">
        <v>33.49075167256985</v>
      </c>
      <c r="M165" s="2"/>
      <c r="O165" s="2"/>
      <c r="P165" s="2"/>
      <c r="Q165" s="2"/>
      <c r="R165" s="2"/>
      <c r="S165" s="2"/>
      <c r="T165" s="2"/>
      <c r="U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2:31" ht="8.25" customHeight="1" x14ac:dyDescent="0.25">
      <c r="B166" s="9">
        <v>106</v>
      </c>
      <c r="C166" s="25">
        <v>458</v>
      </c>
      <c r="D166" s="10" t="str">
        <f t="array" ref="D166">VLOOKUP([1]!Datenbereich_A3[[#This Row],[AGS]],[1]AGS_Namen!$A$1:$B$68,2,FALSE)</f>
        <v>Oldenburg(Oldb), Stadt</v>
      </c>
      <c r="E166" s="11">
        <v>2017</v>
      </c>
      <c r="F166" s="12">
        <v>11375</v>
      </c>
      <c r="G166" s="13">
        <v>12</v>
      </c>
      <c r="H166" s="13">
        <v>40.527472527472533</v>
      </c>
      <c r="I166" s="13">
        <v>10.681318681318681</v>
      </c>
      <c r="J166" s="13">
        <v>6.2417582417582418</v>
      </c>
      <c r="K166" s="13">
        <v>4.8791208791208787</v>
      </c>
      <c r="L166" s="14">
        <v>25.670329670329672</v>
      </c>
      <c r="M166" s="2"/>
      <c r="O166" s="2"/>
      <c r="P166" s="2"/>
      <c r="Q166" s="2"/>
      <c r="R166" s="2"/>
      <c r="S166" s="2"/>
      <c r="T166" s="2"/>
      <c r="U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2:31" ht="8.25" customHeight="1" x14ac:dyDescent="0.25">
      <c r="B167" s="9">
        <v>107</v>
      </c>
      <c r="C167" s="25">
        <v>459</v>
      </c>
      <c r="D167" s="10" t="str">
        <f t="array" ref="D167">VLOOKUP([1]!Datenbereich_A3[[#This Row],[AGS]],[1]AGS_Namen!$A$1:$B$68,2,FALSE)</f>
        <v>Osnabrück, Stadt</v>
      </c>
      <c r="E167" s="11">
        <v>2017</v>
      </c>
      <c r="F167" s="12">
        <v>30930</v>
      </c>
      <c r="G167" s="13">
        <v>11.833171677982541</v>
      </c>
      <c r="H167" s="13">
        <v>29.987067571936631</v>
      </c>
      <c r="I167" s="13">
        <v>8.9395408988037506</v>
      </c>
      <c r="J167" s="13">
        <v>5.3992887164565149</v>
      </c>
      <c r="K167" s="13">
        <v>3.249272550921436</v>
      </c>
      <c r="L167" s="14">
        <v>40.607824118978336</v>
      </c>
      <c r="M167" s="2"/>
      <c r="O167" s="2"/>
      <c r="P167" s="2"/>
      <c r="Q167" s="2"/>
      <c r="R167" s="2"/>
      <c r="S167" s="2"/>
      <c r="T167" s="2"/>
      <c r="U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2:31" ht="8.25" customHeight="1" x14ac:dyDescent="0.25">
      <c r="B168" s="9">
        <v>108</v>
      </c>
      <c r="C168" s="25">
        <v>460</v>
      </c>
      <c r="D168" s="10" t="str">
        <f t="array" ref="D168">VLOOKUP([1]!Datenbereich_A3[[#This Row],[AGS]],[1]AGS_Namen!$A$1:$B$68,2,FALSE)</f>
        <v>Wilhelmshaven, Stadt</v>
      </c>
      <c r="E168" s="11">
        <v>2017</v>
      </c>
      <c r="F168" s="12">
        <v>18640</v>
      </c>
      <c r="G168" s="13">
        <v>10.32725321888412</v>
      </c>
      <c r="H168" s="13">
        <v>34.817596566523605</v>
      </c>
      <c r="I168" s="13">
        <v>11.131974248927039</v>
      </c>
      <c r="J168" s="13">
        <v>7.1083690987124468</v>
      </c>
      <c r="K168" s="13">
        <v>4.7210300429184553</v>
      </c>
      <c r="L168" s="14">
        <v>31.893776824034337</v>
      </c>
      <c r="M168" s="2"/>
      <c r="O168" s="2"/>
      <c r="P168" s="2"/>
      <c r="Q168" s="2"/>
      <c r="R168" s="2"/>
      <c r="S168" s="2"/>
      <c r="T168" s="2"/>
      <c r="U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2:31" ht="8.25" customHeight="1" x14ac:dyDescent="0.25">
      <c r="B169" s="25">
        <v>109</v>
      </c>
      <c r="C169" s="25">
        <v>461</v>
      </c>
      <c r="D169" s="10" t="str">
        <f t="array" ref="D169">VLOOKUP([1]!Datenbereich_A3[[#This Row],[AGS]],[1]AGS_Namen!$A$1:$B$68,2,FALSE)</f>
        <v>Ammerland</v>
      </c>
      <c r="E169" s="11">
        <v>2017</v>
      </c>
      <c r="F169" s="12">
        <v>7325</v>
      </c>
      <c r="G169" s="13">
        <v>8.1228668941979532</v>
      </c>
      <c r="H169" s="13">
        <v>34.334470989761087</v>
      </c>
      <c r="I169" s="13">
        <v>6.8941979522184296</v>
      </c>
      <c r="J169" s="13">
        <v>3.8907849829351533</v>
      </c>
      <c r="K169" s="13">
        <v>2.9351535836177476</v>
      </c>
      <c r="L169" s="14">
        <v>43.754266211604097</v>
      </c>
      <c r="M169" s="2"/>
      <c r="O169" s="2"/>
      <c r="P169" s="2"/>
      <c r="Q169" s="2"/>
      <c r="R169" s="2"/>
      <c r="S169" s="2"/>
      <c r="T169" s="2"/>
      <c r="U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2:31" ht="8.25" customHeight="1" x14ac:dyDescent="0.25">
      <c r="B170" s="9">
        <v>110</v>
      </c>
      <c r="C170" s="25">
        <v>462</v>
      </c>
      <c r="D170" s="10" t="str">
        <f t="array" ref="D170">VLOOKUP([1]!Datenbereich_A3[[#This Row],[AGS]],[1]AGS_Namen!$A$1:$B$68,2,FALSE)</f>
        <v>Aurich</v>
      </c>
      <c r="E170" s="11">
        <v>2017</v>
      </c>
      <c r="F170" s="12">
        <v>2595</v>
      </c>
      <c r="G170" s="13">
        <v>9.8265895953757223</v>
      </c>
      <c r="H170" s="13">
        <v>39.884393063583815</v>
      </c>
      <c r="I170" s="13">
        <v>9.2485549132947966</v>
      </c>
      <c r="J170" s="13">
        <v>5.5876685934489405</v>
      </c>
      <c r="K170" s="13">
        <v>3.4682080924855487</v>
      </c>
      <c r="L170" s="14">
        <v>31.79190751445087</v>
      </c>
      <c r="M170" s="2"/>
      <c r="O170" s="2"/>
      <c r="P170" s="2"/>
      <c r="Q170" s="2"/>
      <c r="R170" s="2"/>
      <c r="S170" s="2"/>
      <c r="T170" s="2"/>
      <c r="U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2:31" s="16" customFormat="1" ht="16.5" customHeight="1" x14ac:dyDescent="0.25">
      <c r="B171" s="16">
        <v>111</v>
      </c>
      <c r="C171" s="16">
        <v>4</v>
      </c>
      <c r="D171" s="17" t="str">
        <f t="array" ref="D171">VLOOKUP([1]!Datenbereich_A3[[#This Row],[AGS]],[1]AGS_Namen!$A$1:$B$68,2,FALSE)</f>
        <v>Cloppenburg</v>
      </c>
      <c r="E171" s="18">
        <v>2017</v>
      </c>
      <c r="F171" s="19">
        <v>247925</v>
      </c>
      <c r="G171" s="20">
        <v>10.418473328627609</v>
      </c>
      <c r="H171" s="20">
        <v>35.099324392457397</v>
      </c>
      <c r="I171" s="20">
        <v>9.6763134012302103</v>
      </c>
      <c r="J171" s="20">
        <v>5.8424926893213671</v>
      </c>
      <c r="K171" s="20">
        <v>4.2815367550670569</v>
      </c>
      <c r="L171" s="21">
        <v>34.68185943329636</v>
      </c>
      <c r="M171" s="23"/>
      <c r="O171" s="23"/>
      <c r="P171" s="23"/>
      <c r="Q171" s="23"/>
      <c r="R171" s="23"/>
      <c r="S171" s="23"/>
      <c r="T171" s="23"/>
      <c r="U171" s="23"/>
      <c r="W171" s="23"/>
      <c r="X171" s="23"/>
      <c r="Y171" s="23"/>
      <c r="Z171" s="23"/>
      <c r="AA171" s="23"/>
      <c r="AB171" s="23"/>
      <c r="AC171" s="23"/>
      <c r="AD171" s="23"/>
      <c r="AE171" s="23"/>
    </row>
    <row r="172" spans="2:31" s="16" customFormat="1" ht="16.5" customHeight="1" x14ac:dyDescent="0.25">
      <c r="B172" s="16">
        <v>112</v>
      </c>
      <c r="C172" s="16">
        <v>0</v>
      </c>
      <c r="D172" s="17" t="str">
        <f t="array" ref="D172">VLOOKUP([1]!Datenbereich_A3[[#This Row],[AGS]],[1]AGS_Namen!$A$1:$B$68,2,FALSE)</f>
        <v>Emsland</v>
      </c>
      <c r="E172" s="18">
        <v>2017</v>
      </c>
      <c r="F172" s="19">
        <v>776860</v>
      </c>
      <c r="G172" s="20">
        <v>8.6785263754086959</v>
      </c>
      <c r="H172" s="20">
        <v>32.641660015961691</v>
      </c>
      <c r="I172" s="20">
        <v>8.8967124063537835</v>
      </c>
      <c r="J172" s="20">
        <v>5.1778956311304487</v>
      </c>
      <c r="K172" s="20">
        <v>3.4304765337383829</v>
      </c>
      <c r="L172" s="21">
        <v>41.175372654017458</v>
      </c>
      <c r="M172" s="23"/>
      <c r="O172" s="23"/>
      <c r="P172" s="23"/>
      <c r="Q172" s="23"/>
      <c r="R172" s="23"/>
      <c r="S172" s="23"/>
      <c r="T172" s="23"/>
      <c r="U172" s="23"/>
      <c r="W172" s="23"/>
      <c r="X172" s="23"/>
      <c r="Y172" s="23"/>
      <c r="Z172" s="23"/>
      <c r="AA172" s="23"/>
      <c r="AB172" s="23"/>
      <c r="AC172" s="23"/>
      <c r="AD172" s="23"/>
      <c r="AE172" s="23"/>
    </row>
    <row r="173" spans="2:31" s="37" customFormat="1" ht="8.25" customHeight="1" x14ac:dyDescent="0.15">
      <c r="B173" s="25">
        <v>113</v>
      </c>
      <c r="C173" s="25">
        <v>101</v>
      </c>
      <c r="D173" s="10" t="str">
        <f t="array" ref="D173">VLOOKUP([1]!Datenbereich_A3[[#This Row],[AGS]],[1]AGS_Namen!$A$1:$B$68,2,FALSE)</f>
        <v>Friesland</v>
      </c>
      <c r="E173" s="26">
        <v>2016</v>
      </c>
      <c r="F173" s="27">
        <v>28200</v>
      </c>
      <c r="G173" s="28">
        <v>12.99645390070922</v>
      </c>
      <c r="H173" s="28">
        <v>24.50354609929078</v>
      </c>
      <c r="I173" s="28">
        <v>8.0141843971631204</v>
      </c>
      <c r="J173" s="28">
        <v>4.3794326241134751</v>
      </c>
      <c r="K173" s="28">
        <v>3.7943262411347516</v>
      </c>
      <c r="L173" s="29">
        <v>46.312056737588655</v>
      </c>
      <c r="M173" s="38"/>
      <c r="O173" s="38"/>
      <c r="P173" s="38"/>
      <c r="Q173" s="38"/>
      <c r="R173" s="38"/>
      <c r="S173" s="38"/>
      <c r="T173" s="38"/>
      <c r="U173" s="38"/>
      <c r="W173" s="38"/>
      <c r="X173" s="38"/>
      <c r="Y173" s="38"/>
      <c r="Z173" s="38"/>
      <c r="AA173" s="38"/>
      <c r="AB173" s="38"/>
      <c r="AC173" s="38"/>
      <c r="AD173" s="38"/>
      <c r="AE173" s="38"/>
    </row>
    <row r="174" spans="2:31" ht="8.25" customHeight="1" x14ac:dyDescent="0.25">
      <c r="B174" s="9">
        <v>114</v>
      </c>
      <c r="C174" s="25">
        <v>102</v>
      </c>
      <c r="D174" s="10" t="str">
        <f t="array" ref="D174">VLOOKUP([1]!Datenbereich_A3[[#This Row],[AGS]],[1]AGS_Namen!$A$1:$B$68,2,FALSE)</f>
        <v>Grafschaft Bentheim</v>
      </c>
      <c r="E174" s="11">
        <v>2016</v>
      </c>
      <c r="F174" s="12">
        <v>16885</v>
      </c>
      <c r="G174" s="13">
        <v>11.933668936926265</v>
      </c>
      <c r="H174" s="13">
        <v>31.359194551376962</v>
      </c>
      <c r="I174" s="13">
        <v>4.6490968315072552</v>
      </c>
      <c r="J174" s="13">
        <v>2.517026946994374</v>
      </c>
      <c r="K174" s="13">
        <v>1.7767249037607342</v>
      </c>
      <c r="L174" s="14">
        <v>47.764287829434409</v>
      </c>
      <c r="M174" s="2"/>
      <c r="O174" s="2"/>
      <c r="P174" s="2"/>
      <c r="Q174" s="2"/>
      <c r="R174" s="2"/>
      <c r="S174" s="2"/>
      <c r="T174" s="2"/>
      <c r="U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2:31" ht="8.25" customHeight="1" x14ac:dyDescent="0.25">
      <c r="B175" s="9">
        <v>115</v>
      </c>
      <c r="C175" s="25">
        <v>103</v>
      </c>
      <c r="D175" s="10" t="str">
        <f t="array" ref="D175">VLOOKUP([1]!Datenbereich_A3[[#This Row],[AGS]],[1]AGS_Namen!$A$1:$B$68,2,FALSE)</f>
        <v>Leer</v>
      </c>
      <c r="E175" s="11">
        <v>2016</v>
      </c>
      <c r="F175" s="12">
        <v>17770</v>
      </c>
      <c r="G175" s="13">
        <v>8.9195272931907716</v>
      </c>
      <c r="H175" s="13">
        <v>27.546426561620706</v>
      </c>
      <c r="I175" s="13">
        <v>6.8373663477771531</v>
      </c>
      <c r="J175" s="13">
        <v>3.5453010692177829</v>
      </c>
      <c r="K175" s="13">
        <v>2.8700056274620147</v>
      </c>
      <c r="L175" s="14">
        <v>50.281373100731571</v>
      </c>
      <c r="M175" s="2"/>
      <c r="O175" s="2"/>
      <c r="P175" s="2"/>
      <c r="Q175" s="2"/>
      <c r="R175" s="2"/>
      <c r="S175" s="2"/>
      <c r="T175" s="2"/>
      <c r="U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2:31" ht="8.25" customHeight="1" x14ac:dyDescent="0.25">
      <c r="B176" s="9">
        <v>116</v>
      </c>
      <c r="C176" s="25">
        <v>151</v>
      </c>
      <c r="D176" s="10" t="str">
        <f t="array" ref="D176">VLOOKUP([1]!Datenbereich_A3[[#This Row],[AGS]],[1]AGS_Namen!$A$1:$B$68,2,FALSE)</f>
        <v>Oldenburg</v>
      </c>
      <c r="E176" s="11">
        <v>2016</v>
      </c>
      <c r="F176" s="12">
        <v>10840</v>
      </c>
      <c r="G176" s="13">
        <v>13.284132841328415</v>
      </c>
      <c r="H176" s="13">
        <v>23.339483394833948</v>
      </c>
      <c r="I176" s="13">
        <v>6.0885608856088558</v>
      </c>
      <c r="J176" s="13">
        <v>3.5516605166051658</v>
      </c>
      <c r="K176" s="13">
        <v>2.9520295202952029</v>
      </c>
      <c r="L176" s="14">
        <v>50.830258302583033</v>
      </c>
      <c r="M176" s="2"/>
      <c r="O176" s="2"/>
      <c r="P176" s="2"/>
      <c r="Q176" s="2"/>
      <c r="R176" s="2"/>
      <c r="S176" s="2"/>
      <c r="T176" s="2"/>
      <c r="U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2:31" ht="8.25" customHeight="1" x14ac:dyDescent="0.25">
      <c r="B177" s="25">
        <v>117</v>
      </c>
      <c r="C177" s="25">
        <v>153</v>
      </c>
      <c r="D177" s="10" t="str">
        <f t="array" ref="D177">VLOOKUP([1]!Datenbereich_A3[[#This Row],[AGS]],[1]AGS_Namen!$A$1:$B$68,2,FALSE)</f>
        <v>Osnabrück</v>
      </c>
      <c r="E177" s="11">
        <v>2016</v>
      </c>
      <c r="F177" s="12">
        <v>11745</v>
      </c>
      <c r="G177" s="13">
        <v>15.964240102171138</v>
      </c>
      <c r="H177" s="13">
        <v>33.163048105576841</v>
      </c>
      <c r="I177" s="13">
        <v>6.4708386547467009</v>
      </c>
      <c r="J177" s="13">
        <v>4.1294167730949338</v>
      </c>
      <c r="K177" s="13">
        <v>2.2988505747126435</v>
      </c>
      <c r="L177" s="14">
        <v>37.973605789697743</v>
      </c>
      <c r="M177" s="2"/>
      <c r="O177" s="2"/>
      <c r="P177" s="2"/>
      <c r="Q177" s="2"/>
      <c r="R177" s="2"/>
      <c r="S177" s="2"/>
      <c r="T177" s="2"/>
      <c r="U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2:31" ht="8.25" customHeight="1" x14ac:dyDescent="0.25">
      <c r="B178" s="9">
        <v>118</v>
      </c>
      <c r="C178" s="25">
        <v>154</v>
      </c>
      <c r="D178" s="10" t="str">
        <f t="array" ref="D178">VLOOKUP([1]!Datenbereich_A3[[#This Row],[AGS]],[1]AGS_Namen!$A$1:$B$68,2,FALSE)</f>
        <v>Vechta</v>
      </c>
      <c r="E178" s="11">
        <v>2016</v>
      </c>
      <c r="F178" s="12">
        <v>6230</v>
      </c>
      <c r="G178" s="13">
        <v>12.60032102728732</v>
      </c>
      <c r="H178" s="13">
        <v>34.510433386837882</v>
      </c>
      <c r="I178" s="13">
        <v>5.537720706260032</v>
      </c>
      <c r="J178" s="13">
        <v>3.2905296950240768</v>
      </c>
      <c r="K178" s="13">
        <v>2.1669341894060992</v>
      </c>
      <c r="L178" s="14">
        <v>41.894060995184589</v>
      </c>
      <c r="M178" s="2"/>
      <c r="O178" s="2"/>
      <c r="P178" s="2"/>
      <c r="Q178" s="2"/>
      <c r="R178" s="2"/>
      <c r="S178" s="2"/>
      <c r="T178" s="2"/>
      <c r="U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2:31" ht="8.25" customHeight="1" x14ac:dyDescent="0.25">
      <c r="B179" s="9">
        <v>119</v>
      </c>
      <c r="C179" s="25">
        <v>155</v>
      </c>
      <c r="D179" s="10" t="str">
        <f t="array" ref="D179">VLOOKUP([1]!Datenbereich_A3[[#This Row],[AGS]],[1]AGS_Namen!$A$1:$B$68,2,FALSE)</f>
        <v>Wesermarsch</v>
      </c>
      <c r="E179" s="11">
        <v>2016</v>
      </c>
      <c r="F179" s="12">
        <v>8245</v>
      </c>
      <c r="G179" s="13">
        <v>11.340206185567011</v>
      </c>
      <c r="H179" s="13">
        <v>32.443905397210429</v>
      </c>
      <c r="I179" s="13">
        <v>5.9429957550030315</v>
      </c>
      <c r="J179" s="13">
        <v>2.9714978775015157</v>
      </c>
      <c r="K179" s="13">
        <v>2.3044269254093392</v>
      </c>
      <c r="L179" s="14">
        <v>44.996967859308675</v>
      </c>
      <c r="M179" s="2"/>
      <c r="O179" s="2"/>
      <c r="P179" s="2"/>
      <c r="Q179" s="2"/>
      <c r="R179" s="2"/>
      <c r="S179" s="2"/>
      <c r="T179" s="2"/>
      <c r="U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2:31" ht="8.25" customHeight="1" x14ac:dyDescent="0.25">
      <c r="B180" s="9">
        <v>120</v>
      </c>
      <c r="C180" s="25">
        <v>157</v>
      </c>
      <c r="D180" s="10" t="str">
        <f t="array" ref="D180">VLOOKUP([1]!Datenbereich_A3[[#This Row],[AGS]],[1]AGS_Namen!$A$1:$B$68,2,FALSE)</f>
        <v>Wittmund</v>
      </c>
      <c r="E180" s="11">
        <v>2016</v>
      </c>
      <c r="F180" s="12">
        <v>9910</v>
      </c>
      <c r="G180" s="13">
        <v>10.847628657921291</v>
      </c>
      <c r="H180" s="13">
        <v>28.960645812310798</v>
      </c>
      <c r="I180" s="13">
        <v>6.0544904137235118</v>
      </c>
      <c r="J180" s="13">
        <v>3.3804238143289611</v>
      </c>
      <c r="K180" s="13">
        <v>2.4217961654894045</v>
      </c>
      <c r="L180" s="14">
        <v>48.28456104944501</v>
      </c>
      <c r="M180" s="2"/>
      <c r="O180" s="2"/>
      <c r="P180" s="2"/>
      <c r="Q180" s="2"/>
      <c r="R180" s="2"/>
      <c r="S180" s="2"/>
      <c r="T180" s="2"/>
      <c r="U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2:31" ht="8.25" customHeight="1" x14ac:dyDescent="0.25">
      <c r="B181" s="25">
        <v>121</v>
      </c>
      <c r="C181" s="25">
        <v>158</v>
      </c>
      <c r="D181" s="10" t="str">
        <f t="array" ref="D181">VLOOKUP([1]!Datenbereich_A3[[#This Row],[AGS]],[1]AGS_Namen!$A$1:$B$68,2,FALSE)</f>
        <v>Stat. Region Weser-Ems</v>
      </c>
      <c r="E181" s="11">
        <v>2016</v>
      </c>
      <c r="F181" s="12">
        <v>7290</v>
      </c>
      <c r="G181" s="13">
        <v>10.83676268861454</v>
      </c>
      <c r="H181" s="13">
        <v>35.528120713305903</v>
      </c>
      <c r="I181" s="13">
        <v>5.4869684499314131</v>
      </c>
      <c r="J181" s="13">
        <v>3.017832647462277</v>
      </c>
      <c r="K181" s="13">
        <v>2.6063100137174211</v>
      </c>
      <c r="L181" s="14">
        <v>42.455418381344309</v>
      </c>
      <c r="M181" s="2"/>
      <c r="O181" s="2"/>
      <c r="P181" s="2"/>
      <c r="Q181" s="2"/>
      <c r="R181" s="2"/>
      <c r="S181" s="2"/>
      <c r="T181" s="2"/>
      <c r="U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2:31" ht="8.25" customHeight="1" x14ac:dyDescent="0.25">
      <c r="B182" s="9">
        <v>122</v>
      </c>
      <c r="C182" s="25">
        <v>159</v>
      </c>
      <c r="D182" s="10" t="str">
        <f t="array" ref="D182">VLOOKUP([1]!Datenbereich_A3[[#This Row],[AGS]],[1]AGS_Namen!$A$1:$B$68,2,FALSE)</f>
        <v>Niedersachsen</v>
      </c>
      <c r="E182" s="11">
        <v>2016</v>
      </c>
      <c r="F182" s="12">
        <v>28035</v>
      </c>
      <c r="G182" s="13">
        <v>12.163367219546995</v>
      </c>
      <c r="H182" s="13">
        <v>31.38933476012128</v>
      </c>
      <c r="I182" s="13">
        <v>6.955591225254147</v>
      </c>
      <c r="J182" s="13">
        <v>3.9058319957196366</v>
      </c>
      <c r="K182" s="13">
        <v>2.7287319422150884</v>
      </c>
      <c r="L182" s="14">
        <v>42.839308007847329</v>
      </c>
      <c r="M182" s="2"/>
      <c r="O182" s="2"/>
      <c r="P182" s="2"/>
      <c r="Q182" s="2"/>
      <c r="R182" s="2"/>
      <c r="S182" s="2"/>
      <c r="T182" s="2"/>
      <c r="U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2:31" ht="8.25" customHeight="1" x14ac:dyDescent="0.25">
      <c r="B183" s="9">
        <v>123</v>
      </c>
      <c r="C183" s="25">
        <v>159016</v>
      </c>
      <c r="D183" s="10" t="str">
        <f t="array" ref="D183">VLOOKUP([1]!Datenbereich_A3[[#This Row],[AGS]],[1]AGS_Namen!$A$1:$B$68,2,FALSE)</f>
        <v>Braunschweig, Stadt</v>
      </c>
      <c r="E183" s="11">
        <v>2016</v>
      </c>
      <c r="F183" s="12">
        <v>15650</v>
      </c>
      <c r="G183" s="13">
        <v>11.054313099041533</v>
      </c>
      <c r="H183" s="13">
        <v>31.980830670926519</v>
      </c>
      <c r="I183" s="13">
        <v>8.7539936102236418</v>
      </c>
      <c r="J183" s="13">
        <v>4.5367412140575079</v>
      </c>
      <c r="K183" s="13">
        <v>3.1948881789137378</v>
      </c>
      <c r="L183" s="14">
        <v>40.47923322683706</v>
      </c>
      <c r="M183" s="2"/>
      <c r="O183" s="2"/>
      <c r="P183" s="2"/>
      <c r="Q183" s="2"/>
      <c r="R183" s="2"/>
      <c r="S183" s="2"/>
      <c r="T183" s="2"/>
      <c r="U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2:31" ht="8.25" customHeight="1" x14ac:dyDescent="0.25">
      <c r="B184" s="9">
        <v>124</v>
      </c>
      <c r="C184" s="9">
        <v>159999</v>
      </c>
      <c r="D184" s="10" t="str">
        <f t="array" ref="D184">VLOOKUP([1]!Datenbereich_A3[[#This Row],[AGS]],[1]AGS_Namen!$A$1:$B$68,2,FALSE)</f>
        <v>Salzgitter, Stadt</v>
      </c>
      <c r="E184" s="11">
        <v>2016</v>
      </c>
      <c r="F184" s="12">
        <v>12385</v>
      </c>
      <c r="G184" s="13">
        <v>13.564796124343964</v>
      </c>
      <c r="H184" s="13">
        <v>30.641905530884134</v>
      </c>
      <c r="I184" s="13">
        <v>4.6830843762616068</v>
      </c>
      <c r="J184" s="13">
        <v>3.1085991118288252</v>
      </c>
      <c r="K184" s="13">
        <v>2.1396851029471136</v>
      </c>
      <c r="L184" s="14">
        <v>45.821558336697613</v>
      </c>
      <c r="M184" s="2"/>
      <c r="O184" s="2"/>
      <c r="P184" s="2"/>
      <c r="Q184" s="2"/>
      <c r="R184" s="2"/>
      <c r="S184" s="2"/>
      <c r="T184" s="2"/>
      <c r="U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2:31" s="16" customFormat="1" ht="16.5" customHeight="1" x14ac:dyDescent="0.25">
      <c r="B185" s="16">
        <v>125</v>
      </c>
      <c r="C185" s="16">
        <v>1</v>
      </c>
      <c r="D185" s="17" t="str">
        <f t="array" ref="D185">VLOOKUP([1]!Datenbereich_A3[[#This Row],[AGS]],[1]AGS_Namen!$A$1:$B$68,2,FALSE)</f>
        <v>Wolfsburg, Stadt</v>
      </c>
      <c r="E185" s="18">
        <v>2016</v>
      </c>
      <c r="F185" s="19">
        <v>145155</v>
      </c>
      <c r="G185" s="20">
        <v>12.11463607867452</v>
      </c>
      <c r="H185" s="20">
        <v>29.358272191794978</v>
      </c>
      <c r="I185" s="20">
        <v>6.5171712996452067</v>
      </c>
      <c r="J185" s="20">
        <v>3.6271571768109951</v>
      </c>
      <c r="K185" s="20">
        <v>2.7522303744273362</v>
      </c>
      <c r="L185" s="21">
        <v>45.633977472357131</v>
      </c>
      <c r="M185" s="23"/>
      <c r="O185" s="23"/>
      <c r="P185" s="23"/>
      <c r="Q185" s="23"/>
      <c r="R185" s="23"/>
      <c r="S185" s="23"/>
      <c r="T185" s="23"/>
      <c r="U185" s="23"/>
      <c r="W185" s="23"/>
      <c r="X185" s="23"/>
      <c r="Y185" s="23"/>
      <c r="Z185" s="23"/>
      <c r="AA185" s="23"/>
      <c r="AB185" s="23"/>
      <c r="AC185" s="23"/>
      <c r="AD185" s="23"/>
      <c r="AE185" s="23"/>
    </row>
    <row r="186" spans="2:31" ht="8.25" customHeight="1" x14ac:dyDescent="0.25">
      <c r="B186" s="9">
        <v>126</v>
      </c>
      <c r="C186" s="25">
        <v>241</v>
      </c>
      <c r="D186" s="10" t="str">
        <f t="array" ref="D186">VLOOKUP([1]!Datenbereich_A3[[#This Row],[AGS]],[1]AGS_Namen!$A$1:$B$68,2,FALSE)</f>
        <v>Gifhorn</v>
      </c>
      <c r="E186" s="11">
        <v>2016</v>
      </c>
      <c r="F186" s="12">
        <v>168735</v>
      </c>
      <c r="G186" s="13">
        <v>8.2318428304738198</v>
      </c>
      <c r="H186" s="13">
        <v>26.763860491302932</v>
      </c>
      <c r="I186" s="13">
        <v>7.9621892316354037</v>
      </c>
      <c r="J186" s="13">
        <v>4.35890597682757</v>
      </c>
      <c r="K186" s="13">
        <v>3.194358017008919</v>
      </c>
      <c r="L186" s="14">
        <v>49.485880226390492</v>
      </c>
      <c r="M186" s="2"/>
      <c r="O186" s="2"/>
      <c r="P186" s="2"/>
      <c r="Q186" s="2"/>
      <c r="R186" s="2"/>
      <c r="S186" s="2"/>
      <c r="T186" s="2"/>
      <c r="U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2:31" ht="8.25" customHeight="1" x14ac:dyDescent="0.25">
      <c r="B187" s="9">
        <v>127</v>
      </c>
      <c r="C187" s="25">
        <v>241001</v>
      </c>
      <c r="D187" s="10" t="str">
        <f t="array" ref="D187">VLOOKUP([1]!Datenbereich_A3[[#This Row],[AGS]],[1]AGS_Namen!$A$1:$B$68,2,FALSE)</f>
        <v>Goslar</v>
      </c>
      <c r="E187" s="11">
        <v>2016</v>
      </c>
      <c r="F187" s="12">
        <v>104465</v>
      </c>
      <c r="G187" s="13">
        <v>7.3182405590389132</v>
      </c>
      <c r="H187" s="13">
        <v>25.46307375676064</v>
      </c>
      <c r="I187" s="13">
        <v>8.9455798592830131</v>
      </c>
      <c r="J187" s="13">
        <v>4.9298808213277177</v>
      </c>
      <c r="K187" s="13">
        <v>3.5418561240606903</v>
      </c>
      <c r="L187" s="14">
        <v>49.791796295409945</v>
      </c>
      <c r="M187" s="2"/>
      <c r="O187" s="2"/>
      <c r="P187" s="2"/>
      <c r="Q187" s="2"/>
      <c r="R187" s="2"/>
      <c r="S187" s="2"/>
      <c r="T187" s="2"/>
      <c r="U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2:31" ht="8.25" customHeight="1" x14ac:dyDescent="0.25">
      <c r="B188" s="9">
        <v>128</v>
      </c>
      <c r="C188" s="25">
        <v>241999</v>
      </c>
      <c r="D188" s="10" t="str">
        <f t="array" ref="D188">VLOOKUP([1]!Datenbereich_A3[[#This Row],[AGS]],[1]AGS_Namen!$A$1:$B$68,2,FALSE)</f>
        <v>Helmstedt</v>
      </c>
      <c r="E188" s="11">
        <v>2016</v>
      </c>
      <c r="F188" s="12">
        <v>64270</v>
      </c>
      <c r="G188" s="13">
        <v>9.7168196670297178</v>
      </c>
      <c r="H188" s="13">
        <v>28.878170219386963</v>
      </c>
      <c r="I188" s="13">
        <v>6.3637778123541304</v>
      </c>
      <c r="J188" s="13">
        <v>3.4308386494476428</v>
      </c>
      <c r="K188" s="13">
        <v>2.6295316632954724</v>
      </c>
      <c r="L188" s="14">
        <v>48.988641667963279</v>
      </c>
      <c r="M188" s="2"/>
      <c r="O188" s="2"/>
      <c r="P188" s="2"/>
      <c r="Q188" s="2"/>
      <c r="R188" s="2"/>
      <c r="S188" s="2"/>
      <c r="T188" s="2"/>
      <c r="U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2:31" ht="8.25" customHeight="1" x14ac:dyDescent="0.25">
      <c r="B189" s="25">
        <v>129</v>
      </c>
      <c r="C189" s="25">
        <v>251</v>
      </c>
      <c r="D189" s="10" t="str">
        <f t="array" ref="D189">VLOOKUP([1]!Datenbereich_A3[[#This Row],[AGS]],[1]AGS_Namen!$A$1:$B$68,2,FALSE)</f>
        <v>Northeim</v>
      </c>
      <c r="E189" s="11">
        <v>2016</v>
      </c>
      <c r="F189" s="12">
        <v>15540</v>
      </c>
      <c r="G189" s="13">
        <v>11.647361647361647</v>
      </c>
      <c r="H189" s="13">
        <v>34.202059202059203</v>
      </c>
      <c r="I189" s="13">
        <v>8.7194337194337201</v>
      </c>
      <c r="J189" s="13">
        <v>4.1184041184041185</v>
      </c>
      <c r="K189" s="13">
        <v>3.4749034749034751</v>
      </c>
      <c r="L189" s="14">
        <v>37.870012870012872</v>
      </c>
      <c r="M189" s="2"/>
      <c r="O189" s="2"/>
      <c r="P189" s="2"/>
      <c r="Q189" s="2"/>
      <c r="R189" s="2"/>
      <c r="S189" s="2"/>
      <c r="T189" s="2"/>
      <c r="U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2:31" ht="8.25" customHeight="1" x14ac:dyDescent="0.25">
      <c r="B190" s="9">
        <v>130</v>
      </c>
      <c r="C190" s="25">
        <v>252</v>
      </c>
      <c r="D190" s="10" t="str">
        <f t="array" ref="D190">VLOOKUP([1]!Datenbereich_A3[[#This Row],[AGS]],[1]AGS_Namen!$A$1:$B$68,2,FALSE)</f>
        <v>Peine</v>
      </c>
      <c r="E190" s="11">
        <v>2016</v>
      </c>
      <c r="F190" s="12">
        <v>15065</v>
      </c>
      <c r="G190" s="13">
        <v>8.4633255891138397</v>
      </c>
      <c r="H190" s="13">
        <v>27.978758712246933</v>
      </c>
      <c r="I190" s="13">
        <v>5.1443743776966482</v>
      </c>
      <c r="J190" s="13">
        <v>3.6176568204447395</v>
      </c>
      <c r="K190" s="13">
        <v>1.9249917026219716</v>
      </c>
      <c r="L190" s="14">
        <v>52.904082309990045</v>
      </c>
      <c r="M190" s="2"/>
      <c r="O190" s="2"/>
      <c r="P190" s="2"/>
      <c r="Q190" s="2"/>
      <c r="R190" s="2"/>
      <c r="S190" s="2"/>
      <c r="T190" s="2"/>
      <c r="U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2:31" ht="8.25" customHeight="1" x14ac:dyDescent="0.25">
      <c r="B191" s="9">
        <v>131</v>
      </c>
      <c r="C191" s="25">
        <v>254</v>
      </c>
      <c r="D191" s="10" t="str">
        <f t="array" ref="D191">VLOOKUP([1]!Datenbereich_A3[[#This Row],[AGS]],[1]AGS_Namen!$A$1:$B$68,2,FALSE)</f>
        <v>Wolfenbüttel</v>
      </c>
      <c r="E191" s="11">
        <v>2016</v>
      </c>
      <c r="F191" s="12">
        <v>21915</v>
      </c>
      <c r="G191" s="13">
        <v>10.563540953684692</v>
      </c>
      <c r="H191" s="13">
        <v>30.641113392653434</v>
      </c>
      <c r="I191" s="13">
        <v>6.5936573123431446</v>
      </c>
      <c r="J191" s="13">
        <v>4.0611453342459507</v>
      </c>
      <c r="K191" s="13">
        <v>2.8062970568104038</v>
      </c>
      <c r="L191" s="14">
        <v>45.334245950262378</v>
      </c>
      <c r="M191" s="2"/>
      <c r="O191" s="2"/>
      <c r="P191" s="2"/>
      <c r="Q191" s="2"/>
      <c r="R191" s="2"/>
      <c r="S191" s="2"/>
      <c r="T191" s="2"/>
      <c r="U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2:31" ht="8.25" customHeight="1" x14ac:dyDescent="0.25">
      <c r="B192" s="9">
        <v>132</v>
      </c>
      <c r="C192" s="25">
        <v>254021</v>
      </c>
      <c r="D192" s="10" t="str">
        <f t="array" ref="D192">VLOOKUP([1]!Datenbereich_A3[[#This Row],[AGS]],[1]AGS_Namen!$A$1:$B$68,2,FALSE)</f>
        <v>Göttingen</v>
      </c>
      <c r="E192" s="11">
        <v>2016</v>
      </c>
      <c r="F192" s="12">
        <v>12505</v>
      </c>
      <c r="G192" s="13">
        <v>10.675729708116753</v>
      </c>
      <c r="H192" s="13">
        <v>26.749300279888043</v>
      </c>
      <c r="I192" s="13">
        <v>7.2770891643342663</v>
      </c>
      <c r="J192" s="13">
        <v>4.5581767293082764</v>
      </c>
      <c r="K192" s="13">
        <v>3.2387045181927228</v>
      </c>
      <c r="L192" s="14">
        <v>47.540983606557376</v>
      </c>
      <c r="M192" s="2"/>
      <c r="O192" s="2"/>
      <c r="P192" s="2"/>
      <c r="Q192" s="2"/>
      <c r="R192" s="2"/>
      <c r="S192" s="2"/>
      <c r="T192" s="2"/>
      <c r="U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2:31" ht="8.25" customHeight="1" x14ac:dyDescent="0.25">
      <c r="B193" s="25">
        <v>133</v>
      </c>
      <c r="C193" s="25">
        <v>255</v>
      </c>
      <c r="D193" s="10" t="str">
        <f t="array" ref="D193">VLOOKUP([1]!Datenbereich_A3[[#This Row],[AGS]],[1]AGS_Namen!$A$1:$B$68,2,FALSE)</f>
        <v xml:space="preserve">   dav. Göttingen, Stadt</v>
      </c>
      <c r="E193" s="11">
        <v>2016</v>
      </c>
      <c r="F193" s="12">
        <v>4300</v>
      </c>
      <c r="G193" s="13">
        <v>7.9069767441860463</v>
      </c>
      <c r="H193" s="13">
        <v>30</v>
      </c>
      <c r="I193" s="13">
        <v>5.1162790697674421</v>
      </c>
      <c r="J193" s="13">
        <v>2.0930232558139537</v>
      </c>
      <c r="K193" s="13">
        <v>1.8604651162790697</v>
      </c>
      <c r="L193" s="14">
        <v>53.023255813953483</v>
      </c>
      <c r="M193" s="2"/>
      <c r="O193" s="2"/>
      <c r="P193" s="2"/>
      <c r="Q193" s="2"/>
      <c r="R193" s="2"/>
      <c r="S193" s="2"/>
      <c r="T193" s="2"/>
      <c r="U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2:31" ht="8.25" customHeight="1" x14ac:dyDescent="0.25">
      <c r="B194" s="9">
        <v>134</v>
      </c>
      <c r="C194" s="25">
        <v>256</v>
      </c>
      <c r="D194" s="10" t="str">
        <f t="array" ref="D194">VLOOKUP([1]!Datenbereich_A3[[#This Row],[AGS]],[1]AGS_Namen!$A$1:$B$68,2,FALSE)</f>
        <v xml:space="preserve">   dav. Göttingen, Umland</v>
      </c>
      <c r="E194" s="11">
        <v>2016</v>
      </c>
      <c r="F194" s="12">
        <v>9380</v>
      </c>
      <c r="G194" s="13">
        <v>14.445628997867804</v>
      </c>
      <c r="H194" s="13">
        <v>34.968017057569298</v>
      </c>
      <c r="I194" s="13">
        <v>6.5031982942430702</v>
      </c>
      <c r="J194" s="13">
        <v>3.3049040511727079</v>
      </c>
      <c r="K194" s="13">
        <v>2.4520255863539444</v>
      </c>
      <c r="L194" s="14">
        <v>38.272921108742004</v>
      </c>
      <c r="M194" s="2"/>
      <c r="O194" s="2"/>
      <c r="P194" s="2"/>
      <c r="Q194" s="2"/>
      <c r="R194" s="2"/>
      <c r="S194" s="2"/>
      <c r="T194" s="2"/>
      <c r="U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2:31" ht="8.25" customHeight="1" x14ac:dyDescent="0.25">
      <c r="B195" s="9">
        <v>135</v>
      </c>
      <c r="C195" s="25">
        <v>257</v>
      </c>
      <c r="D195" s="10" t="str">
        <f t="array" ref="D195">VLOOKUP([1]!Datenbereich_A3[[#This Row],[AGS]],[1]AGS_Namen!$A$1:$B$68,2,FALSE)</f>
        <v>Stat. Region Braunschweig</v>
      </c>
      <c r="E195" s="11">
        <v>2016</v>
      </c>
      <c r="F195" s="12">
        <v>12600</v>
      </c>
      <c r="G195" s="13">
        <v>10.873015873015873</v>
      </c>
      <c r="H195" s="13">
        <v>28.849206349206348</v>
      </c>
      <c r="I195" s="13">
        <v>5.3174603174603172</v>
      </c>
      <c r="J195" s="13">
        <v>2.6190476190476191</v>
      </c>
      <c r="K195" s="13">
        <v>2.2619047619047619</v>
      </c>
      <c r="L195" s="14">
        <v>50.11904761904762</v>
      </c>
      <c r="M195" s="2"/>
      <c r="O195" s="2"/>
      <c r="P195" s="2"/>
      <c r="Q195" s="2"/>
      <c r="R195" s="2"/>
      <c r="S195" s="2"/>
      <c r="T195" s="2"/>
      <c r="U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2:31" s="16" customFormat="1" ht="16.5" customHeight="1" x14ac:dyDescent="0.25">
      <c r="B196" s="16">
        <v>136</v>
      </c>
      <c r="C196" s="16">
        <v>2</v>
      </c>
      <c r="D196" s="17" t="str">
        <f t="array" ref="D196">VLOOKUP([1]!Datenbereich_A3[[#This Row],[AGS]],[1]AGS_Namen!$A$1:$B$68,2,FALSE)</f>
        <v>Hannover, Region</v>
      </c>
      <c r="E196" s="18">
        <v>2016</v>
      </c>
      <c r="F196" s="19">
        <v>247535</v>
      </c>
      <c r="G196" s="20">
        <v>9.0290261983153908</v>
      </c>
      <c r="H196" s="20">
        <v>28.121275779182742</v>
      </c>
      <c r="I196" s="20">
        <v>7.4797503383359931</v>
      </c>
      <c r="J196" s="20">
        <v>4.1044700749388978</v>
      </c>
      <c r="K196" s="20">
        <v>2.9995758175611531</v>
      </c>
      <c r="L196" s="21">
        <v>48.265901791665826</v>
      </c>
      <c r="M196" s="23"/>
      <c r="O196" s="23"/>
      <c r="P196" s="23"/>
      <c r="Q196" s="23"/>
      <c r="R196" s="23"/>
      <c r="S196" s="23"/>
      <c r="T196" s="23"/>
      <c r="U196" s="23"/>
      <c r="W196" s="23"/>
      <c r="X196" s="23"/>
      <c r="Y196" s="23"/>
      <c r="Z196" s="23"/>
      <c r="AA196" s="23"/>
      <c r="AB196" s="23"/>
      <c r="AC196" s="23"/>
      <c r="AD196" s="23"/>
      <c r="AE196" s="23"/>
    </row>
    <row r="197" spans="2:31" ht="8.25" customHeight="1" x14ac:dyDescent="0.25">
      <c r="B197" s="25">
        <v>137</v>
      </c>
      <c r="C197" s="25">
        <v>351</v>
      </c>
      <c r="D197" s="10" t="str">
        <f t="array" ref="D197">VLOOKUP([1]!Datenbereich_A3[[#This Row],[AGS]],[1]AGS_Namen!$A$1:$B$68,2,FALSE)</f>
        <v xml:space="preserve">   dav. Hannover, Lhst.</v>
      </c>
      <c r="E197" s="11">
        <v>2016</v>
      </c>
      <c r="F197" s="12">
        <v>12675</v>
      </c>
      <c r="G197" s="13">
        <v>12.347140039447732</v>
      </c>
      <c r="H197" s="13">
        <v>33.057199211045365</v>
      </c>
      <c r="I197" s="13">
        <v>6.1932938856015776</v>
      </c>
      <c r="J197" s="13">
        <v>3.7475345167652856</v>
      </c>
      <c r="K197" s="13">
        <v>2.72189349112426</v>
      </c>
      <c r="L197" s="14">
        <v>41.932938856015781</v>
      </c>
      <c r="M197" s="2"/>
      <c r="O197" s="2"/>
      <c r="P197" s="2"/>
      <c r="Q197" s="2"/>
      <c r="R197" s="2"/>
      <c r="S197" s="2"/>
      <c r="T197" s="2"/>
      <c r="U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2:31" ht="8.25" customHeight="1" x14ac:dyDescent="0.25">
      <c r="B198" s="9">
        <v>138</v>
      </c>
      <c r="C198" s="25">
        <v>352</v>
      </c>
      <c r="D198" s="10" t="str">
        <f t="array" ref="D198">VLOOKUP([1]!Datenbereich_A3[[#This Row],[AGS]],[1]AGS_Namen!$A$1:$B$68,2,FALSE)</f>
        <v xml:space="preserve">   dav. Hannover, Umland</v>
      </c>
      <c r="E198" s="11">
        <v>2016</v>
      </c>
      <c r="F198" s="12">
        <v>13215</v>
      </c>
      <c r="G198" s="13">
        <v>11.91827468785471</v>
      </c>
      <c r="H198" s="13">
        <v>31.744230041619371</v>
      </c>
      <c r="I198" s="13">
        <v>5.9023836549375712</v>
      </c>
      <c r="J198" s="13">
        <v>3.3295497540673478</v>
      </c>
      <c r="K198" s="13">
        <v>2.648505486189936</v>
      </c>
      <c r="L198" s="14">
        <v>44.494892167990919</v>
      </c>
      <c r="M198" s="2"/>
      <c r="O198" s="2"/>
      <c r="P198" s="2"/>
      <c r="Q198" s="2"/>
      <c r="R198" s="2"/>
      <c r="S198" s="2"/>
      <c r="T198" s="2"/>
      <c r="U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2:31" ht="8.25" customHeight="1" x14ac:dyDescent="0.25">
      <c r="B199" s="9">
        <v>139</v>
      </c>
      <c r="C199" s="25">
        <v>353</v>
      </c>
      <c r="D199" s="10" t="str">
        <f t="array" ref="D199">VLOOKUP([1]!Datenbereich_A3[[#This Row],[AGS]],[1]AGS_Namen!$A$1:$B$68,2,FALSE)</f>
        <v>Diepholz</v>
      </c>
      <c r="E199" s="11">
        <v>2016</v>
      </c>
      <c r="F199" s="12">
        <v>16015</v>
      </c>
      <c r="G199" s="13">
        <v>8.8354667499219488</v>
      </c>
      <c r="H199" s="13">
        <v>27.130814861067748</v>
      </c>
      <c r="I199" s="13">
        <v>5.6197315017171405</v>
      </c>
      <c r="J199" s="13">
        <v>5.120199812675617</v>
      </c>
      <c r="K199" s="13">
        <v>3.6840462066812365</v>
      </c>
      <c r="L199" s="14">
        <v>49.60974086793631</v>
      </c>
      <c r="M199" s="2"/>
      <c r="O199" s="2"/>
      <c r="P199" s="2"/>
      <c r="Q199" s="2"/>
      <c r="R199" s="2"/>
      <c r="S199" s="2"/>
      <c r="T199" s="2"/>
      <c r="U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2:31" ht="8.25" customHeight="1" x14ac:dyDescent="0.25">
      <c r="B200" s="9">
        <v>140</v>
      </c>
      <c r="C200" s="25">
        <v>354</v>
      </c>
      <c r="D200" s="10" t="str">
        <f t="array" ref="D200">VLOOKUP([1]!Datenbereich_A3[[#This Row],[AGS]],[1]AGS_Namen!$A$1:$B$68,2,FALSE)</f>
        <v>Hameln-Pyrmont</v>
      </c>
      <c r="E200" s="11">
        <v>2016</v>
      </c>
      <c r="F200" s="12">
        <v>2825</v>
      </c>
      <c r="G200" s="13">
        <v>11.504424778761061</v>
      </c>
      <c r="H200" s="13">
        <v>41.061946902654867</v>
      </c>
      <c r="I200" s="13">
        <v>8.3185840707964598</v>
      </c>
      <c r="J200" s="13">
        <v>3.7168141592920354</v>
      </c>
      <c r="K200" s="13">
        <v>3.1858407079646018</v>
      </c>
      <c r="L200" s="14">
        <v>32.212389380530979</v>
      </c>
      <c r="M200" s="2"/>
      <c r="O200" s="2"/>
      <c r="P200" s="2"/>
      <c r="Q200" s="2"/>
      <c r="R200" s="2"/>
      <c r="S200" s="2"/>
      <c r="T200" s="2"/>
      <c r="U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2:31" ht="8.25" customHeight="1" x14ac:dyDescent="0.25">
      <c r="B201" s="25">
        <v>141</v>
      </c>
      <c r="C201" s="25">
        <v>355</v>
      </c>
      <c r="D201" s="10" t="str">
        <f t="array" ref="D201">VLOOKUP([1]!Datenbereich_A3[[#This Row],[AGS]],[1]AGS_Namen!$A$1:$B$68,2,FALSE)</f>
        <v>Hildesheim</v>
      </c>
      <c r="E201" s="11">
        <v>2016</v>
      </c>
      <c r="F201" s="12">
        <v>11800</v>
      </c>
      <c r="G201" s="13">
        <v>12.330508474576272</v>
      </c>
      <c r="H201" s="13">
        <v>38.220338983050851</v>
      </c>
      <c r="I201" s="13">
        <v>6.3559322033898304</v>
      </c>
      <c r="J201" s="13">
        <v>3.4745762711864407</v>
      </c>
      <c r="K201" s="13">
        <v>3.1355932203389827</v>
      </c>
      <c r="L201" s="14">
        <v>36.483050847457626</v>
      </c>
      <c r="M201" s="2"/>
      <c r="O201" s="2"/>
      <c r="P201" s="2"/>
      <c r="Q201" s="2"/>
      <c r="R201" s="2"/>
      <c r="S201" s="2"/>
      <c r="T201" s="2"/>
      <c r="U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2:31" ht="8.25" customHeight="1" x14ac:dyDescent="0.25">
      <c r="B202" s="9">
        <v>142</v>
      </c>
      <c r="C202" s="25">
        <v>356</v>
      </c>
      <c r="D202" s="10" t="str">
        <f t="array" ref="D202">VLOOKUP([1]!Datenbereich_A3[[#This Row],[AGS]],[1]AGS_Namen!$A$1:$B$68,2,FALSE)</f>
        <v xml:space="preserve">   dav. Hildesheim, Stadt</v>
      </c>
      <c r="E202" s="11">
        <v>2016</v>
      </c>
      <c r="F202" s="12">
        <v>6210</v>
      </c>
      <c r="G202" s="13">
        <v>8.454106280193237</v>
      </c>
      <c r="H202" s="13">
        <v>32.286634460547504</v>
      </c>
      <c r="I202" s="13">
        <v>6.4412238325281796</v>
      </c>
      <c r="J202" s="13">
        <v>3.4621578099838972</v>
      </c>
      <c r="K202" s="13">
        <v>2.8985507246376812</v>
      </c>
      <c r="L202" s="14">
        <v>46.537842190016107</v>
      </c>
      <c r="M202" s="2"/>
      <c r="O202" s="2"/>
      <c r="P202" s="2"/>
      <c r="Q202" s="2"/>
      <c r="R202" s="2"/>
      <c r="S202" s="2"/>
      <c r="T202" s="2"/>
      <c r="U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2:31" ht="8.25" customHeight="1" x14ac:dyDescent="0.25">
      <c r="B203" s="9">
        <v>143</v>
      </c>
      <c r="C203" s="25">
        <v>357</v>
      </c>
      <c r="D203" s="10" t="str">
        <f t="array" ref="D203">VLOOKUP([1]!Datenbereich_A3[[#This Row],[AGS]],[1]AGS_Namen!$A$1:$B$68,2,FALSE)</f>
        <v>Holzminden</v>
      </c>
      <c r="E203" s="11">
        <v>2016</v>
      </c>
      <c r="F203" s="12">
        <v>10720</v>
      </c>
      <c r="G203" s="13">
        <v>11.380597014925373</v>
      </c>
      <c r="H203" s="13">
        <v>34.60820895522388</v>
      </c>
      <c r="I203" s="13">
        <v>6.5298507462686564</v>
      </c>
      <c r="J203" s="13">
        <v>3.544776119402985</v>
      </c>
      <c r="K203" s="13">
        <v>3.3115671641791042</v>
      </c>
      <c r="L203" s="14">
        <v>40.625</v>
      </c>
      <c r="M203" s="2"/>
      <c r="O203" s="2"/>
      <c r="P203" s="2"/>
      <c r="Q203" s="2"/>
      <c r="R203" s="2"/>
      <c r="S203" s="2"/>
      <c r="T203" s="2"/>
      <c r="U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2:31" ht="8.25" customHeight="1" x14ac:dyDescent="0.25">
      <c r="B204" s="9">
        <v>144</v>
      </c>
      <c r="C204" s="25">
        <v>358</v>
      </c>
      <c r="D204" s="10" t="str">
        <f t="array" ref="D204">VLOOKUP([1]!Datenbereich_A3[[#This Row],[AGS]],[1]AGS_Namen!$A$1:$B$68,2,FALSE)</f>
        <v>Nienburg (Weser)</v>
      </c>
      <c r="E204" s="11">
        <v>2016</v>
      </c>
      <c r="F204" s="12">
        <v>11140</v>
      </c>
      <c r="G204" s="13">
        <v>15.125673249551166</v>
      </c>
      <c r="H204" s="13">
        <v>33.393177737881508</v>
      </c>
      <c r="I204" s="13">
        <v>7.1813285457809695</v>
      </c>
      <c r="J204" s="13">
        <v>4.1741472172351886</v>
      </c>
      <c r="K204" s="13">
        <v>2.96229802513465</v>
      </c>
      <c r="L204" s="14">
        <v>37.208258527827645</v>
      </c>
      <c r="M204" s="2"/>
      <c r="O204" s="2"/>
      <c r="P204" s="2"/>
      <c r="Q204" s="2"/>
      <c r="R204" s="2"/>
      <c r="S204" s="2"/>
      <c r="T204" s="2"/>
      <c r="U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2:31" ht="8.25" customHeight="1" x14ac:dyDescent="0.25">
      <c r="B205" s="25">
        <v>145</v>
      </c>
      <c r="C205" s="25">
        <v>359</v>
      </c>
      <c r="D205" s="10" t="str">
        <f t="array" ref="D205">VLOOKUP([1]!Datenbereich_A3[[#This Row],[AGS]],[1]AGS_Namen!$A$1:$B$68,2,FALSE)</f>
        <v>Schaumburg</v>
      </c>
      <c r="E205" s="11">
        <v>2016</v>
      </c>
      <c r="F205" s="12">
        <v>16345</v>
      </c>
      <c r="G205" s="13">
        <v>11.563169164882227</v>
      </c>
      <c r="H205" s="13">
        <v>37.656775772407464</v>
      </c>
      <c r="I205" s="13">
        <v>8.7488528602018967</v>
      </c>
      <c r="J205" s="13">
        <v>3.9461609054756805</v>
      </c>
      <c r="K205" s="13">
        <v>3.3037626185377791</v>
      </c>
      <c r="L205" s="14">
        <v>34.811869073111048</v>
      </c>
      <c r="M205" s="2"/>
      <c r="O205" s="2"/>
      <c r="P205" s="2"/>
      <c r="Q205" s="2"/>
      <c r="R205" s="2"/>
      <c r="S205" s="2"/>
      <c r="T205" s="2"/>
      <c r="U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2:31" ht="8.25" customHeight="1" x14ac:dyDescent="0.25">
      <c r="B206" s="9">
        <v>146</v>
      </c>
      <c r="C206" s="25">
        <v>360</v>
      </c>
      <c r="D206" s="10" t="str">
        <f t="array" ref="D206">VLOOKUP([1]!Datenbereich_A3[[#This Row],[AGS]],[1]AGS_Namen!$A$1:$B$68,2,FALSE)</f>
        <v>Stat. Region Hannover</v>
      </c>
      <c r="E206" s="11">
        <v>2016</v>
      </c>
      <c r="F206" s="12">
        <v>5020</v>
      </c>
      <c r="G206" s="13">
        <v>12.05179282868526</v>
      </c>
      <c r="H206" s="13">
        <v>37.749003984063748</v>
      </c>
      <c r="I206" s="13">
        <v>7.0717131474103594</v>
      </c>
      <c r="J206" s="13">
        <v>3.5856573705179287</v>
      </c>
      <c r="K206" s="13">
        <v>3.286852589641434</v>
      </c>
      <c r="L206" s="14">
        <v>36.155378486055781</v>
      </c>
      <c r="M206" s="2"/>
      <c r="O206" s="2"/>
      <c r="P206" s="2"/>
      <c r="Q206" s="2"/>
      <c r="R206" s="2"/>
      <c r="S206" s="2"/>
      <c r="T206" s="2"/>
      <c r="U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2:31" ht="8.25" customHeight="1" x14ac:dyDescent="0.25">
      <c r="B207" s="9">
        <v>147</v>
      </c>
      <c r="C207" s="25">
        <v>361</v>
      </c>
      <c r="D207" s="10" t="str">
        <f t="array" ref="D207">VLOOKUP([1]!Datenbereich_A3[[#This Row],[AGS]],[1]AGS_Namen!$A$1:$B$68,2,FALSE)</f>
        <v>Celle</v>
      </c>
      <c r="E207" s="11">
        <v>2016</v>
      </c>
      <c r="F207" s="12">
        <v>10055</v>
      </c>
      <c r="G207" s="13">
        <v>9.0004972650422683</v>
      </c>
      <c r="H207" s="13">
        <v>31.974142217802086</v>
      </c>
      <c r="I207" s="13">
        <v>6.0169070114370964</v>
      </c>
      <c r="J207" s="13">
        <v>3.4808552958727002</v>
      </c>
      <c r="K207" s="13">
        <v>2.933863749378419</v>
      </c>
      <c r="L207" s="14">
        <v>46.643460964694185</v>
      </c>
      <c r="M207" s="2"/>
      <c r="O207" s="2"/>
      <c r="P207" s="2"/>
      <c r="Q207" s="2"/>
      <c r="R207" s="2"/>
      <c r="S207" s="2"/>
      <c r="T207" s="2"/>
      <c r="U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2:31" s="16" customFormat="1" ht="16.5" customHeight="1" x14ac:dyDescent="0.25">
      <c r="B208" s="16">
        <v>148</v>
      </c>
      <c r="C208" s="16">
        <v>3</v>
      </c>
      <c r="D208" s="17" t="str">
        <f t="array" ref="D208">VLOOKUP([1]!Datenbereich_A3[[#This Row],[AGS]],[1]AGS_Namen!$A$1:$B$68,2,FALSE)</f>
        <v>Cuxhaven</v>
      </c>
      <c r="E208" s="18">
        <v>2016</v>
      </c>
      <c r="F208" s="19">
        <v>116020</v>
      </c>
      <c r="G208" s="20">
        <v>11.342871918634719</v>
      </c>
      <c r="H208" s="20">
        <v>33.696776417858992</v>
      </c>
      <c r="I208" s="20">
        <v>6.6669539734528538</v>
      </c>
      <c r="J208" s="20">
        <v>3.8700224099293226</v>
      </c>
      <c r="K208" s="20">
        <v>3.1115324943975176</v>
      </c>
      <c r="L208" s="21">
        <v>41.316152387519395</v>
      </c>
      <c r="M208" s="23"/>
      <c r="O208" s="23"/>
      <c r="P208" s="23"/>
      <c r="Q208" s="23"/>
      <c r="R208" s="23"/>
      <c r="S208" s="23"/>
      <c r="T208" s="23"/>
      <c r="U208" s="23"/>
      <c r="W208" s="23"/>
      <c r="X208" s="23"/>
      <c r="Y208" s="23"/>
      <c r="Z208" s="23"/>
      <c r="AA208" s="23"/>
      <c r="AB208" s="23"/>
      <c r="AC208" s="23"/>
      <c r="AD208" s="23"/>
      <c r="AE208" s="23"/>
    </row>
    <row r="209" spans="2:31" ht="8.25" customHeight="1" x14ac:dyDescent="0.25">
      <c r="B209" s="25">
        <v>149</v>
      </c>
      <c r="C209" s="25">
        <v>401</v>
      </c>
      <c r="D209" s="10" t="str">
        <f t="array" ref="D209">VLOOKUP([1]!Datenbereich_A3[[#This Row],[AGS]],[1]AGS_Namen!$A$1:$B$68,2,FALSE)</f>
        <v>Harburg</v>
      </c>
      <c r="E209" s="11">
        <v>2016</v>
      </c>
      <c r="F209" s="12">
        <v>11225</v>
      </c>
      <c r="G209" s="13">
        <v>11.224944320712694</v>
      </c>
      <c r="H209" s="13">
        <v>33.363028953229403</v>
      </c>
      <c r="I209" s="13">
        <v>6.9933184855233854</v>
      </c>
      <c r="J209" s="13">
        <v>4.6325167037861918</v>
      </c>
      <c r="K209" s="13">
        <v>2.5389755011135855</v>
      </c>
      <c r="L209" s="14">
        <v>41.247216035634743</v>
      </c>
      <c r="M209" s="2"/>
      <c r="O209" s="2"/>
      <c r="P209" s="2"/>
      <c r="Q209" s="2"/>
      <c r="R209" s="2"/>
      <c r="S209" s="2"/>
      <c r="T209" s="2"/>
      <c r="U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2:31" ht="8.25" customHeight="1" x14ac:dyDescent="0.25">
      <c r="B210" s="9">
        <v>150</v>
      </c>
      <c r="C210" s="25">
        <v>402</v>
      </c>
      <c r="D210" s="10" t="str">
        <f t="array" ref="D210">VLOOKUP([1]!Datenbereich_A3[[#This Row],[AGS]],[1]AGS_Namen!$A$1:$B$68,2,FALSE)</f>
        <v>Lüchow-Dannenberg</v>
      </c>
      <c r="E210" s="11">
        <v>2016</v>
      </c>
      <c r="F210" s="12">
        <v>4955</v>
      </c>
      <c r="G210" s="13">
        <v>14.328960645812311</v>
      </c>
      <c r="H210" s="13">
        <v>42.684157416750757</v>
      </c>
      <c r="I210" s="13">
        <v>9.0817356205852668</v>
      </c>
      <c r="J210" s="13">
        <v>3.6326942482341069</v>
      </c>
      <c r="K210" s="13">
        <v>2.5227043390514634</v>
      </c>
      <c r="L210" s="14">
        <v>27.749747729566092</v>
      </c>
      <c r="M210" s="2"/>
      <c r="O210" s="2"/>
      <c r="P210" s="2"/>
      <c r="Q210" s="2"/>
      <c r="R210" s="2"/>
      <c r="S210" s="2"/>
      <c r="T210" s="2"/>
      <c r="U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2:31" ht="8.25" customHeight="1" x14ac:dyDescent="0.25">
      <c r="B211" s="9">
        <v>151</v>
      </c>
      <c r="C211" s="25">
        <v>403</v>
      </c>
      <c r="D211" s="10" t="str">
        <f t="array" ref="D211">VLOOKUP([1]!Datenbereich_A3[[#This Row],[AGS]],[1]AGS_Namen!$A$1:$B$68,2,FALSE)</f>
        <v>Lüneburg</v>
      </c>
      <c r="E211" s="11">
        <v>2016</v>
      </c>
      <c r="F211" s="12">
        <v>15440</v>
      </c>
      <c r="G211" s="13">
        <v>12.338082901554404</v>
      </c>
      <c r="H211" s="13">
        <v>33.840673575129529</v>
      </c>
      <c r="I211" s="13">
        <v>8.9054404145077726</v>
      </c>
      <c r="J211" s="13">
        <v>5.5375647668393784</v>
      </c>
      <c r="K211" s="13">
        <v>3.5297927461139897</v>
      </c>
      <c r="L211" s="14">
        <v>35.848445595854919</v>
      </c>
      <c r="M211" s="2"/>
      <c r="O211" s="2"/>
      <c r="P211" s="2"/>
      <c r="Q211" s="2"/>
      <c r="R211" s="2"/>
      <c r="S211" s="2"/>
      <c r="T211" s="2"/>
      <c r="U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2:31" ht="8.25" customHeight="1" x14ac:dyDescent="0.25">
      <c r="B212" s="9">
        <v>152</v>
      </c>
      <c r="C212" s="25">
        <v>404</v>
      </c>
      <c r="D212" s="10" t="str">
        <f t="array" ref="D212">VLOOKUP([1]!Datenbereich_A3[[#This Row],[AGS]],[1]AGS_Namen!$A$1:$B$68,2,FALSE)</f>
        <v>Osterholz</v>
      </c>
      <c r="E212" s="11">
        <v>2016</v>
      </c>
      <c r="F212" s="12">
        <v>22855</v>
      </c>
      <c r="G212" s="13">
        <v>14.154451979873114</v>
      </c>
      <c r="H212" s="13">
        <v>27.958871144169766</v>
      </c>
      <c r="I212" s="13">
        <v>7.1975497702909648</v>
      </c>
      <c r="J212" s="13">
        <v>3.8941150732881207</v>
      </c>
      <c r="K212" s="13">
        <v>3.3909429008969596</v>
      </c>
      <c r="L212" s="14">
        <v>43.40406913148108</v>
      </c>
      <c r="M212" s="2"/>
      <c r="O212" s="2"/>
      <c r="P212" s="2"/>
      <c r="Q212" s="2"/>
      <c r="R212" s="2"/>
      <c r="S212" s="2"/>
      <c r="T212" s="2"/>
      <c r="U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2:31" ht="8.25" customHeight="1" x14ac:dyDescent="0.25">
      <c r="B213" s="25">
        <v>153</v>
      </c>
      <c r="C213" s="25">
        <v>405</v>
      </c>
      <c r="D213" s="10" t="str">
        <f t="array" ref="D213">VLOOKUP([1]!Datenbereich_A3[[#This Row],[AGS]],[1]AGS_Namen!$A$1:$B$68,2,FALSE)</f>
        <v>Rotenburg (Wümme)</v>
      </c>
      <c r="E213" s="11">
        <v>2016</v>
      </c>
      <c r="F213" s="12">
        <v>6925</v>
      </c>
      <c r="G213" s="13">
        <v>14.584837545126353</v>
      </c>
      <c r="H213" s="13">
        <v>38.700361010830328</v>
      </c>
      <c r="I213" s="13">
        <v>7.4368231046931408</v>
      </c>
      <c r="J213" s="13">
        <v>3.6823104693140798</v>
      </c>
      <c r="K213" s="13">
        <v>2.6714801444043323</v>
      </c>
      <c r="L213" s="14">
        <v>32.924187725631768</v>
      </c>
      <c r="M213" s="2"/>
      <c r="O213" s="2"/>
      <c r="P213" s="2"/>
      <c r="Q213" s="2"/>
      <c r="R213" s="2"/>
      <c r="S213" s="2"/>
      <c r="T213" s="2"/>
      <c r="U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2:31" ht="8.25" customHeight="1" x14ac:dyDescent="0.25">
      <c r="B214" s="9">
        <v>154</v>
      </c>
      <c r="C214" s="25">
        <v>451</v>
      </c>
      <c r="D214" s="10" t="str">
        <f t="array" ref="D214">VLOOKUP([1]!Datenbereich_A3[[#This Row],[AGS]],[1]AGS_Namen!$A$1:$B$68,2,FALSE)</f>
        <v>Heidekreis</v>
      </c>
      <c r="E214" s="11">
        <v>2016</v>
      </c>
      <c r="F214" s="12">
        <v>7130</v>
      </c>
      <c r="G214" s="13">
        <v>14.375876577840113</v>
      </c>
      <c r="H214" s="13">
        <v>36.95652173913043</v>
      </c>
      <c r="I214" s="13">
        <v>9.67741935483871</v>
      </c>
      <c r="J214" s="13">
        <v>4.2776998597475453</v>
      </c>
      <c r="K214" s="13">
        <v>3.0154277699859748</v>
      </c>
      <c r="L214" s="14">
        <v>31.767180925666199</v>
      </c>
      <c r="M214" s="2"/>
      <c r="O214" s="2"/>
      <c r="P214" s="2"/>
      <c r="Q214" s="2"/>
      <c r="R214" s="2"/>
      <c r="S214" s="2"/>
      <c r="T214" s="2"/>
      <c r="U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2:31" ht="8.25" customHeight="1" x14ac:dyDescent="0.25">
      <c r="B215" s="9">
        <v>155</v>
      </c>
      <c r="C215" s="25">
        <v>452</v>
      </c>
      <c r="D215" s="10" t="str">
        <f t="array" ref="D215">VLOOKUP([1]!Datenbereich_A3[[#This Row],[AGS]],[1]AGS_Namen!$A$1:$B$68,2,FALSE)</f>
        <v>Stade</v>
      </c>
      <c r="E215" s="11">
        <v>2016</v>
      </c>
      <c r="F215" s="12">
        <v>11055</v>
      </c>
      <c r="G215" s="13">
        <v>15.241971958389868</v>
      </c>
      <c r="H215" s="13">
        <v>39.66530981456355</v>
      </c>
      <c r="I215" s="13">
        <v>6.8747173224785172</v>
      </c>
      <c r="J215" s="13">
        <v>3.9348710990502038</v>
      </c>
      <c r="K215" s="13">
        <v>3.573043871551334</v>
      </c>
      <c r="L215" s="14">
        <v>30.710085933966528</v>
      </c>
      <c r="M215" s="2"/>
      <c r="O215" s="2"/>
      <c r="P215" s="2"/>
      <c r="Q215" s="2"/>
      <c r="R215" s="2"/>
      <c r="S215" s="2"/>
      <c r="T215" s="2"/>
      <c r="U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2:31" ht="8.25" customHeight="1" x14ac:dyDescent="0.25">
      <c r="B216" s="9">
        <v>156</v>
      </c>
      <c r="C216" s="25">
        <v>453</v>
      </c>
      <c r="D216" s="10" t="str">
        <f t="array" ref="D216">VLOOKUP([1]!Datenbereich_A3[[#This Row],[AGS]],[1]AGS_Namen!$A$1:$B$68,2,FALSE)</f>
        <v>Uelzen</v>
      </c>
      <c r="E216" s="11">
        <v>2016</v>
      </c>
      <c r="F216" s="12">
        <v>17345</v>
      </c>
      <c r="G216" s="13">
        <v>17.555491496108388</v>
      </c>
      <c r="H216" s="13">
        <v>35.082156240991644</v>
      </c>
      <c r="I216" s="13">
        <v>10.723551455750936</v>
      </c>
      <c r="J216" s="13">
        <v>6.4283655232055343</v>
      </c>
      <c r="K216" s="13">
        <v>4.4393196886710866</v>
      </c>
      <c r="L216" s="14">
        <v>25.771115595272416</v>
      </c>
      <c r="M216" s="2"/>
      <c r="O216" s="2"/>
      <c r="P216" s="2"/>
      <c r="Q216" s="2"/>
      <c r="R216" s="2"/>
      <c r="S216" s="2"/>
      <c r="T216" s="2"/>
      <c r="U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2:31" ht="8.25" customHeight="1" x14ac:dyDescent="0.25">
      <c r="B217" s="25">
        <v>157</v>
      </c>
      <c r="C217" s="25">
        <v>454</v>
      </c>
      <c r="D217" s="10" t="str">
        <f t="array" ref="D217">VLOOKUP([1]!Datenbereich_A3[[#This Row],[AGS]],[1]AGS_Namen!$A$1:$B$68,2,FALSE)</f>
        <v>Verden</v>
      </c>
      <c r="E217" s="11">
        <v>2016</v>
      </c>
      <c r="F217" s="12">
        <v>34110</v>
      </c>
      <c r="G217" s="13">
        <v>16.036352975666958</v>
      </c>
      <c r="H217" s="13">
        <v>34.462034593960716</v>
      </c>
      <c r="I217" s="13">
        <v>9.9530929346232782</v>
      </c>
      <c r="J217" s="13">
        <v>5.8047493403693933</v>
      </c>
      <c r="K217" s="13">
        <v>6.3177953679272942</v>
      </c>
      <c r="L217" s="14">
        <v>27.425974787452361</v>
      </c>
      <c r="M217" s="2"/>
      <c r="O217" s="2"/>
      <c r="P217" s="2"/>
      <c r="Q217" s="2"/>
      <c r="R217" s="2"/>
      <c r="S217" s="2"/>
      <c r="T217" s="2"/>
      <c r="U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2:31" ht="8.25" customHeight="1" x14ac:dyDescent="0.25">
      <c r="B218" s="9">
        <v>158</v>
      </c>
      <c r="C218" s="25">
        <v>455</v>
      </c>
      <c r="D218" s="10" t="str">
        <f t="array" ref="D218">VLOOKUP([1]!Datenbereich_A3[[#This Row],[AGS]],[1]AGS_Namen!$A$1:$B$68,2,FALSE)</f>
        <v>Stat. Region Lüneburg</v>
      </c>
      <c r="E218" s="11">
        <v>2016</v>
      </c>
      <c r="F218" s="12">
        <v>4745</v>
      </c>
      <c r="G218" s="13">
        <v>11.696522655426765</v>
      </c>
      <c r="H218" s="13">
        <v>42.360379346680716</v>
      </c>
      <c r="I218" s="13">
        <v>5.1633298208640674</v>
      </c>
      <c r="J218" s="13">
        <v>2.6343519494204428</v>
      </c>
      <c r="K218" s="13">
        <v>2.3182297154899896</v>
      </c>
      <c r="L218" s="14">
        <v>35.932560590094837</v>
      </c>
      <c r="M218" s="2"/>
      <c r="O218" s="2"/>
      <c r="P218" s="2"/>
      <c r="Q218" s="2"/>
      <c r="R218" s="2"/>
      <c r="S218" s="2"/>
      <c r="T218" s="2"/>
      <c r="U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2:31" ht="8.25" customHeight="1" x14ac:dyDescent="0.25">
      <c r="B219" s="9">
        <v>159</v>
      </c>
      <c r="C219" s="25">
        <v>456</v>
      </c>
      <c r="D219" s="10" t="str">
        <f t="array" ref="D219">VLOOKUP([1]!Datenbereich_A3[[#This Row],[AGS]],[1]AGS_Namen!$A$1:$B$68,2,FALSE)</f>
        <v>Delmenhorst, Stadt</v>
      </c>
      <c r="E219" s="11">
        <v>2016</v>
      </c>
      <c r="F219" s="12">
        <v>21015</v>
      </c>
      <c r="G219" s="13">
        <v>7.1377587437544614</v>
      </c>
      <c r="H219" s="13">
        <v>23.887699262431596</v>
      </c>
      <c r="I219" s="13">
        <v>8.4225553176302643</v>
      </c>
      <c r="J219" s="13">
        <v>5.9957173447537473</v>
      </c>
      <c r="K219" s="13">
        <v>7.3756840352129425</v>
      </c>
      <c r="L219" s="14">
        <v>47.180585296216989</v>
      </c>
      <c r="M219" s="2"/>
      <c r="O219" s="2"/>
      <c r="P219" s="2"/>
      <c r="Q219" s="2"/>
      <c r="R219" s="2"/>
      <c r="S219" s="2"/>
      <c r="T219" s="2"/>
      <c r="U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2:31" s="39" customFormat="1" ht="8.25" customHeight="1" x14ac:dyDescent="0.25">
      <c r="B220" s="9">
        <v>160</v>
      </c>
      <c r="C220" s="25">
        <v>457</v>
      </c>
      <c r="D220" s="10" t="str">
        <f t="array" ref="D220">VLOOKUP([1]!Datenbereich_A3[[#This Row],[AGS]],[1]AGS_Namen!$A$1:$B$68,2,FALSE)</f>
        <v>Emden, Stadt</v>
      </c>
      <c r="E220" s="40">
        <v>2016</v>
      </c>
      <c r="F220" s="41">
        <v>12320</v>
      </c>
      <c r="G220" s="29">
        <v>12.905844155844157</v>
      </c>
      <c r="H220" s="29">
        <v>33.928571428571431</v>
      </c>
      <c r="I220" s="29">
        <v>8.1574675324675319</v>
      </c>
      <c r="J220" s="29">
        <v>5.9659090909090908</v>
      </c>
      <c r="K220" s="29">
        <v>7.0211038961038961</v>
      </c>
      <c r="L220" s="29">
        <v>32.021103896103895</v>
      </c>
      <c r="M220" s="42"/>
      <c r="O220" s="42"/>
      <c r="P220" s="42"/>
      <c r="Q220" s="42"/>
      <c r="R220" s="42"/>
      <c r="S220" s="42"/>
      <c r="T220" s="42"/>
      <c r="U220" s="42"/>
      <c r="W220" s="42"/>
      <c r="X220" s="42"/>
      <c r="Y220" s="42"/>
      <c r="Z220" s="42"/>
      <c r="AA220" s="42"/>
      <c r="AB220" s="42"/>
      <c r="AC220" s="42"/>
      <c r="AD220" s="42"/>
      <c r="AE220" s="42"/>
    </row>
    <row r="221" spans="2:31" s="37" customFormat="1" ht="8.25" customHeight="1" x14ac:dyDescent="0.15">
      <c r="B221" s="25">
        <v>161</v>
      </c>
      <c r="C221" s="25">
        <v>458</v>
      </c>
      <c r="D221" s="10" t="str">
        <f t="array" ref="D221">VLOOKUP([1]!Datenbereich_A3[[#This Row],[AGS]],[1]AGS_Namen!$A$1:$B$68,2,FALSE)</f>
        <v>Oldenburg(Oldb), Stadt</v>
      </c>
      <c r="E221" s="40">
        <v>2016</v>
      </c>
      <c r="F221" s="41">
        <v>10860</v>
      </c>
      <c r="G221" s="29">
        <v>16.436464088397791</v>
      </c>
      <c r="H221" s="29">
        <v>37.753222836095759</v>
      </c>
      <c r="I221" s="29">
        <v>9.1620626151012896</v>
      </c>
      <c r="J221" s="29">
        <v>6.3996316758747698</v>
      </c>
      <c r="K221" s="29">
        <v>3.9134438305709023</v>
      </c>
      <c r="L221" s="29">
        <v>26.335174953959484</v>
      </c>
      <c r="M221" s="38"/>
      <c r="N221" s="38"/>
      <c r="O221" s="38"/>
      <c r="P221" s="38"/>
      <c r="Q221" s="38"/>
      <c r="R221" s="38"/>
      <c r="S221" s="38"/>
      <c r="T221" s="38"/>
      <c r="U221" s="38"/>
      <c r="W221" s="38"/>
      <c r="X221" s="38"/>
      <c r="Y221" s="38"/>
      <c r="Z221" s="38"/>
      <c r="AA221" s="38"/>
      <c r="AB221" s="38"/>
      <c r="AC221" s="38"/>
      <c r="AD221" s="38"/>
      <c r="AE221" s="38"/>
    </row>
    <row r="222" spans="2:31" ht="8.25" customHeight="1" x14ac:dyDescent="0.25">
      <c r="B222" s="9">
        <v>162</v>
      </c>
      <c r="C222" s="25">
        <v>459</v>
      </c>
      <c r="D222" s="10" t="str">
        <f t="array" ref="D222">VLOOKUP([1]!Datenbereich_A3[[#This Row],[AGS]],[1]AGS_Namen!$A$1:$B$68,2,FALSE)</f>
        <v>Osnabrück, Stadt</v>
      </c>
      <c r="E222" s="40">
        <v>2016</v>
      </c>
      <c r="F222" s="41">
        <v>29000</v>
      </c>
      <c r="G222" s="29">
        <v>16.086206896551726</v>
      </c>
      <c r="H222" s="29">
        <v>25.982758620689655</v>
      </c>
      <c r="I222" s="29">
        <v>7.8448275862068968</v>
      </c>
      <c r="J222" s="29">
        <v>4.1379310344827589</v>
      </c>
      <c r="K222" s="29">
        <v>3.5862068965517238</v>
      </c>
      <c r="L222" s="29">
        <v>42.344827586206897</v>
      </c>
      <c r="M222" s="2"/>
      <c r="O222" s="2"/>
      <c r="P222" s="2"/>
      <c r="Q222" s="2"/>
      <c r="R222" s="2"/>
      <c r="S222" s="2"/>
      <c r="T222" s="2"/>
      <c r="U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2:31" ht="8.25" customHeight="1" x14ac:dyDescent="0.25">
      <c r="B223" s="9">
        <v>163</v>
      </c>
      <c r="C223" s="25">
        <v>460</v>
      </c>
      <c r="D223" s="10" t="str">
        <f t="array" ref="D223">VLOOKUP([1]!Datenbereich_A3[[#This Row],[AGS]],[1]AGS_Namen!$A$1:$B$68,2,FALSE)</f>
        <v>Wilhelmshaven, Stadt</v>
      </c>
      <c r="E223" s="40">
        <v>2016</v>
      </c>
      <c r="F223" s="41">
        <v>17665</v>
      </c>
      <c r="G223" s="29">
        <v>13.671101047268611</v>
      </c>
      <c r="H223" s="29">
        <v>32.663458816869515</v>
      </c>
      <c r="I223" s="29">
        <v>10.302858760260401</v>
      </c>
      <c r="J223" s="29">
        <v>6.1986979903764503</v>
      </c>
      <c r="K223" s="29">
        <v>4.6136427964902342</v>
      </c>
      <c r="L223" s="29">
        <v>32.550240588734788</v>
      </c>
      <c r="M223" s="2"/>
      <c r="O223" s="2"/>
      <c r="P223" s="2"/>
      <c r="Q223" s="2"/>
      <c r="R223" s="2"/>
      <c r="S223" s="2"/>
      <c r="T223" s="2"/>
      <c r="U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2:31" ht="8.25" customHeight="1" x14ac:dyDescent="0.25">
      <c r="B224" s="9">
        <v>164</v>
      </c>
      <c r="C224" s="25">
        <v>461</v>
      </c>
      <c r="D224" s="10" t="str">
        <f t="array" ref="D224">VLOOKUP([1]!Datenbereich_A3[[#This Row],[AGS]],[1]AGS_Namen!$A$1:$B$68,2,FALSE)</f>
        <v>Ammerland</v>
      </c>
      <c r="E224" s="40">
        <v>2016</v>
      </c>
      <c r="F224" s="41">
        <v>7260</v>
      </c>
      <c r="G224" s="29">
        <v>12.672176308539946</v>
      </c>
      <c r="H224" s="29">
        <v>31.267217630853995</v>
      </c>
      <c r="I224" s="29">
        <v>5.5096418732782375</v>
      </c>
      <c r="J224" s="29">
        <v>3.5123966942148761</v>
      </c>
      <c r="K224" s="29">
        <v>3.0303030303030303</v>
      </c>
      <c r="L224" s="29">
        <v>44.0771349862259</v>
      </c>
      <c r="M224" s="2"/>
      <c r="O224" s="2"/>
      <c r="P224" s="2"/>
      <c r="Q224" s="2"/>
      <c r="R224" s="2"/>
      <c r="S224" s="2"/>
      <c r="T224" s="2"/>
      <c r="U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2:31" ht="8.25" customHeight="1" x14ac:dyDescent="0.25">
      <c r="B225" s="25">
        <v>165</v>
      </c>
      <c r="C225" s="25">
        <v>462</v>
      </c>
      <c r="D225" s="10" t="str">
        <f t="array" ref="D225">VLOOKUP([1]!Datenbereich_A3[[#This Row],[AGS]],[1]AGS_Namen!$A$1:$B$68,2,FALSE)</f>
        <v>Aurich</v>
      </c>
      <c r="E225" s="40">
        <v>2016</v>
      </c>
      <c r="F225" s="41">
        <v>2560</v>
      </c>
      <c r="G225" s="29">
        <v>11.9140625</v>
      </c>
      <c r="H225" s="29">
        <v>39.0625</v>
      </c>
      <c r="I225" s="29">
        <v>9.1796875</v>
      </c>
      <c r="J225" s="29">
        <v>4.6875</v>
      </c>
      <c r="K225" s="29">
        <v>2.9296875</v>
      </c>
      <c r="L225" s="29">
        <v>32.2265625</v>
      </c>
      <c r="M225" s="2"/>
      <c r="N225" s="25"/>
      <c r="O225" s="25"/>
      <c r="P225" s="2"/>
      <c r="Q225" s="2"/>
      <c r="R225" s="2"/>
      <c r="S225" s="2"/>
      <c r="T225" s="2"/>
      <c r="U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2:31" s="16" customFormat="1" ht="16.5" customHeight="1" x14ac:dyDescent="0.25">
      <c r="B226" s="16">
        <v>166</v>
      </c>
      <c r="C226" s="16">
        <v>4</v>
      </c>
      <c r="D226" s="17" t="str">
        <f t="array" ref="D226">VLOOKUP([1]!Datenbereich_A3[[#This Row],[AGS]],[1]AGS_Namen!$A$1:$B$68,2,FALSE)</f>
        <v>Cloppenburg</v>
      </c>
      <c r="E226" s="43">
        <v>2016</v>
      </c>
      <c r="F226" s="44">
        <v>236470</v>
      </c>
      <c r="G226" s="34">
        <v>13.991203958218801</v>
      </c>
      <c r="H226" s="34">
        <v>32.519981392988541</v>
      </c>
      <c r="I226" s="34">
        <v>8.5486531061022539</v>
      </c>
      <c r="J226" s="34">
        <v>5.0809827885143992</v>
      </c>
      <c r="K226" s="34">
        <v>4.463568317334123</v>
      </c>
      <c r="L226" s="34">
        <v>35.395610436841885</v>
      </c>
      <c r="M226" s="23"/>
      <c r="O226" s="23"/>
      <c r="P226" s="23"/>
      <c r="Q226" s="23"/>
      <c r="R226" s="23"/>
      <c r="S226" s="23"/>
      <c r="T226" s="23"/>
      <c r="U226" s="23"/>
      <c r="W226" s="23"/>
      <c r="X226" s="23"/>
      <c r="Y226" s="23"/>
      <c r="Z226" s="23"/>
      <c r="AA226" s="23"/>
      <c r="AB226" s="23"/>
      <c r="AC226" s="23"/>
      <c r="AD226" s="23"/>
      <c r="AE226" s="23"/>
    </row>
    <row r="227" spans="2:31" s="16" customFormat="1" ht="16.5" customHeight="1" x14ac:dyDescent="0.25">
      <c r="B227" s="16">
        <v>167</v>
      </c>
      <c r="C227" s="16">
        <v>0</v>
      </c>
      <c r="D227" s="17" t="str">
        <f t="array" ref="D227">VLOOKUP([1]!Datenbereich_A3[[#This Row],[AGS]],[1]AGS_Namen!$A$1:$B$68,2,FALSE)</f>
        <v>Emsland</v>
      </c>
      <c r="E227" s="43">
        <v>2016</v>
      </c>
      <c r="F227" s="44">
        <v>745185</v>
      </c>
      <c r="G227" s="34">
        <v>11.56491341076377</v>
      </c>
      <c r="H227" s="34">
        <v>30.626622919140882</v>
      </c>
      <c r="I227" s="34">
        <v>7.5041768151532837</v>
      </c>
      <c r="J227" s="34">
        <v>4.2848420190959295</v>
      </c>
      <c r="K227" s="34">
        <v>3.4333756047156077</v>
      </c>
      <c r="L227" s="34">
        <v>42.586069231130523</v>
      </c>
      <c r="M227" s="23"/>
      <c r="O227" s="23"/>
      <c r="P227" s="23"/>
      <c r="Q227" s="23"/>
      <c r="R227" s="23"/>
      <c r="S227" s="23"/>
      <c r="T227" s="23"/>
      <c r="U227" s="23"/>
      <c r="W227" s="23"/>
      <c r="X227" s="23"/>
      <c r="Y227" s="23"/>
      <c r="Z227" s="23"/>
      <c r="AA227" s="23"/>
      <c r="AB227" s="23"/>
      <c r="AC227" s="23"/>
      <c r="AD227" s="23"/>
      <c r="AE227" s="23"/>
    </row>
  </sheetData>
  <mergeCells count="5">
    <mergeCell ref="D1:D3"/>
    <mergeCell ref="E1:E3"/>
    <mergeCell ref="F1:F2"/>
    <mergeCell ref="G1:L1"/>
    <mergeCell ref="G3:L3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FC6CE-05D4-4366-86E7-2F9E258B2CEF}">
  <sheetPr codeName="Tabelle2" filterMode="1"/>
  <dimension ref="A1:S1280"/>
  <sheetViews>
    <sheetView workbookViewId="0"/>
  </sheetViews>
  <sheetFormatPr baseColWidth="10" defaultRowHeight="15" x14ac:dyDescent="0.25"/>
  <sheetData>
    <row r="1" spans="1:19" x14ac:dyDescent="0.25">
      <c r="A1" s="48" t="s">
        <v>28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9" x14ac:dyDescent="0.25">
      <c r="A2" s="50" t="s">
        <v>29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9" x14ac:dyDescent="0.25">
      <c r="A3" s="51" t="s">
        <v>30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</row>
    <row r="4" spans="1:19" x14ac:dyDescent="0.25">
      <c r="A4" s="64" t="s">
        <v>1</v>
      </c>
      <c r="B4" s="64" t="s">
        <v>31</v>
      </c>
      <c r="C4" s="64"/>
      <c r="D4" s="64" t="s">
        <v>32</v>
      </c>
      <c r="E4" s="64" t="s">
        <v>25</v>
      </c>
      <c r="F4" s="64" t="s">
        <v>33</v>
      </c>
      <c r="G4" s="64"/>
      <c r="H4" s="64"/>
      <c r="I4" s="64"/>
      <c r="J4" s="64"/>
      <c r="K4" s="64"/>
      <c r="L4" s="64"/>
      <c r="M4" s="64" t="s">
        <v>33</v>
      </c>
      <c r="N4" s="64"/>
      <c r="O4" s="64"/>
      <c r="P4" s="64"/>
      <c r="Q4" s="64"/>
      <c r="R4" s="64"/>
    </row>
    <row r="5" spans="1:19" x14ac:dyDescent="0.25">
      <c r="A5" s="64"/>
      <c r="B5" s="64"/>
      <c r="C5" s="64"/>
      <c r="D5" s="64"/>
      <c r="E5" s="64"/>
      <c r="F5" s="64" t="s">
        <v>34</v>
      </c>
      <c r="G5" s="64" t="s">
        <v>35</v>
      </c>
      <c r="H5" s="64"/>
      <c r="I5" s="64"/>
      <c r="J5" s="64"/>
      <c r="K5" s="64"/>
      <c r="L5" s="64"/>
      <c r="M5" s="64" t="s">
        <v>35</v>
      </c>
      <c r="N5" s="64"/>
      <c r="O5" s="64"/>
      <c r="P5" s="64"/>
      <c r="Q5" s="64"/>
      <c r="R5" s="64"/>
    </row>
    <row r="6" spans="1:19" x14ac:dyDescent="0.25">
      <c r="A6" s="64"/>
      <c r="B6" s="64"/>
      <c r="C6" s="64"/>
      <c r="D6" s="64"/>
      <c r="E6" s="64"/>
      <c r="F6" s="64"/>
      <c r="G6" s="52">
        <v>0</v>
      </c>
      <c r="H6" s="52" t="s">
        <v>36</v>
      </c>
      <c r="I6" s="52" t="s">
        <v>37</v>
      </c>
      <c r="J6" s="52" t="s">
        <v>38</v>
      </c>
      <c r="K6" s="52" t="s">
        <v>39</v>
      </c>
      <c r="L6" s="52" t="s">
        <v>40</v>
      </c>
      <c r="M6" s="52">
        <v>0</v>
      </c>
      <c r="N6" s="52" t="s">
        <v>36</v>
      </c>
      <c r="O6" s="52" t="s">
        <v>37</v>
      </c>
      <c r="P6" s="52" t="s">
        <v>38</v>
      </c>
      <c r="Q6" s="52" t="s">
        <v>39</v>
      </c>
      <c r="R6" s="52" t="s">
        <v>40</v>
      </c>
    </row>
    <row r="7" spans="1:19" x14ac:dyDescent="0.25">
      <c r="A7" s="45"/>
      <c r="B7" s="45"/>
      <c r="C7" s="45"/>
      <c r="D7" s="45"/>
      <c r="E7" s="45"/>
      <c r="F7" s="63" t="s">
        <v>10</v>
      </c>
      <c r="G7" s="63"/>
      <c r="H7" s="63"/>
      <c r="I7" s="63"/>
      <c r="J7" s="63"/>
      <c r="K7" s="63"/>
      <c r="L7" s="63"/>
      <c r="M7" s="63" t="s">
        <v>11</v>
      </c>
      <c r="N7" s="63"/>
      <c r="O7" s="63"/>
      <c r="P7" s="63"/>
      <c r="Q7" s="63"/>
      <c r="R7" s="63"/>
      <c r="S7" s="53"/>
    </row>
    <row r="8" spans="1:19" x14ac:dyDescent="0.25">
      <c r="A8" s="46">
        <v>2020</v>
      </c>
      <c r="B8" s="56">
        <v>0</v>
      </c>
      <c r="C8" s="47" t="s">
        <v>41</v>
      </c>
      <c r="D8" s="47" t="s">
        <v>42</v>
      </c>
      <c r="E8" s="47" t="s">
        <v>43</v>
      </c>
      <c r="F8" s="46">
        <v>857895</v>
      </c>
      <c r="G8" s="46">
        <v>46045</v>
      </c>
      <c r="H8" s="46">
        <v>172885</v>
      </c>
      <c r="I8" s="46">
        <v>181085</v>
      </c>
      <c r="J8" s="46">
        <v>82685</v>
      </c>
      <c r="K8" s="46">
        <v>46700</v>
      </c>
      <c r="L8" s="46">
        <v>328490</v>
      </c>
      <c r="M8">
        <f t="shared" ref="M8:R8" si="0">G8/$F$8*100</f>
        <v>5.3672069425745574</v>
      </c>
      <c r="N8">
        <f t="shared" si="0"/>
        <v>20.152233082137091</v>
      </c>
      <c r="O8">
        <f t="shared" si="0"/>
        <v>21.108061009797236</v>
      </c>
      <c r="P8">
        <f t="shared" si="0"/>
        <v>9.6381258778754972</v>
      </c>
      <c r="Q8">
        <f t="shared" si="0"/>
        <v>5.4435566124059465</v>
      </c>
      <c r="R8">
        <f t="shared" si="0"/>
        <v>38.290233653302558</v>
      </c>
    </row>
    <row r="9" spans="1:19" hidden="1" x14ac:dyDescent="0.25">
      <c r="A9" s="46">
        <v>2020</v>
      </c>
      <c r="B9" s="47" t="s">
        <v>106</v>
      </c>
      <c r="C9" s="47" t="s">
        <v>41</v>
      </c>
      <c r="D9" s="47" t="s">
        <v>42</v>
      </c>
      <c r="E9" s="47" t="s">
        <v>44</v>
      </c>
      <c r="F9" s="46">
        <v>132890</v>
      </c>
      <c r="G9" s="46">
        <v>13020</v>
      </c>
      <c r="H9" s="46">
        <v>49355</v>
      </c>
      <c r="I9" s="46">
        <v>42095</v>
      </c>
      <c r="J9" s="46">
        <v>14070</v>
      </c>
      <c r="K9" s="46">
        <v>6540</v>
      </c>
      <c r="L9" s="46">
        <v>7810</v>
      </c>
      <c r="M9">
        <f t="shared" ref="M9:M72" si="1">G9/$F$8*100</f>
        <v>1.5176682461140349</v>
      </c>
      <c r="N9">
        <f t="shared" ref="N9:N72" si="2">H9/$F$8*100</f>
        <v>5.7530350450812744</v>
      </c>
      <c r="O9">
        <f t="shared" ref="O9:O72" si="3">I9/$F$8*100</f>
        <v>4.9067776359577806</v>
      </c>
      <c r="P9">
        <f t="shared" ref="P9:P72" si="4">J9/$F$8*100</f>
        <v>1.6400608466071023</v>
      </c>
      <c r="Q9">
        <f t="shared" ref="Q9:Q72" si="5">K9/$F$8*100</f>
        <v>0.76233105449967653</v>
      </c>
      <c r="R9">
        <f t="shared" ref="R9:R72" si="6">L9/$F$8*100</f>
        <v>0.91036781890557694</v>
      </c>
    </row>
    <row r="10" spans="1:19" hidden="1" x14ac:dyDescent="0.25">
      <c r="A10" s="46">
        <v>2020</v>
      </c>
      <c r="B10" s="47" t="s">
        <v>106</v>
      </c>
      <c r="C10" s="47" t="s">
        <v>41</v>
      </c>
      <c r="D10" s="47" t="s">
        <v>42</v>
      </c>
      <c r="E10" s="47" t="s">
        <v>45</v>
      </c>
      <c r="F10" s="46">
        <v>40030</v>
      </c>
      <c r="G10" s="46">
        <v>3045</v>
      </c>
      <c r="H10" s="46">
        <v>9145</v>
      </c>
      <c r="I10" s="46">
        <v>12080</v>
      </c>
      <c r="J10" s="46">
        <v>4045</v>
      </c>
      <c r="K10" s="46">
        <v>1970</v>
      </c>
      <c r="L10" s="46">
        <v>9745</v>
      </c>
      <c r="M10">
        <f t="shared" si="1"/>
        <v>0.35493854142989528</v>
      </c>
      <c r="N10">
        <f t="shared" si="2"/>
        <v>1.0659812681039054</v>
      </c>
      <c r="O10">
        <f t="shared" si="3"/>
        <v>1.4080977275773841</v>
      </c>
      <c r="P10">
        <f t="shared" si="4"/>
        <v>0.47150292285186413</v>
      </c>
      <c r="Q10">
        <f t="shared" si="5"/>
        <v>0.22963183140127871</v>
      </c>
      <c r="R10">
        <f t="shared" si="6"/>
        <v>1.1359198969570869</v>
      </c>
    </row>
    <row r="11" spans="1:19" hidden="1" x14ac:dyDescent="0.25">
      <c r="A11" s="46">
        <v>2020</v>
      </c>
      <c r="B11" s="47" t="s">
        <v>106</v>
      </c>
      <c r="C11" s="47" t="s">
        <v>41</v>
      </c>
      <c r="D11" s="47" t="s">
        <v>42</v>
      </c>
      <c r="E11" s="47" t="s">
        <v>46</v>
      </c>
      <c r="F11" s="46">
        <v>70325</v>
      </c>
      <c r="G11" s="46">
        <v>6560</v>
      </c>
      <c r="H11" s="46">
        <v>21740</v>
      </c>
      <c r="I11" s="46">
        <v>21170</v>
      </c>
      <c r="J11" s="46">
        <v>4345</v>
      </c>
      <c r="K11" s="46">
        <v>1750</v>
      </c>
      <c r="L11" s="46">
        <v>14760</v>
      </c>
      <c r="M11">
        <f t="shared" si="1"/>
        <v>0.7646623421281159</v>
      </c>
      <c r="N11">
        <f t="shared" si="2"/>
        <v>2.5341096521136039</v>
      </c>
      <c r="O11">
        <f t="shared" si="3"/>
        <v>2.4676679547030811</v>
      </c>
      <c r="P11">
        <f t="shared" si="4"/>
        <v>0.50647223727845481</v>
      </c>
      <c r="Q11">
        <f t="shared" si="5"/>
        <v>0.20398766748844555</v>
      </c>
      <c r="R11">
        <f t="shared" si="6"/>
        <v>1.7204902697882607</v>
      </c>
    </row>
    <row r="12" spans="1:19" hidden="1" x14ac:dyDescent="0.25">
      <c r="A12" s="46">
        <v>2020</v>
      </c>
      <c r="B12" s="47" t="s">
        <v>106</v>
      </c>
      <c r="C12" s="47" t="s">
        <v>41</v>
      </c>
      <c r="D12" s="47" t="s">
        <v>42</v>
      </c>
      <c r="E12" s="47" t="s">
        <v>47</v>
      </c>
      <c r="F12" s="46">
        <v>91200</v>
      </c>
      <c r="G12" s="46">
        <v>6080</v>
      </c>
      <c r="H12" s="46">
        <v>25030</v>
      </c>
      <c r="I12" s="46">
        <v>27670</v>
      </c>
      <c r="J12" s="46">
        <v>12115</v>
      </c>
      <c r="K12" s="46">
        <v>4610</v>
      </c>
      <c r="L12" s="46">
        <v>15690</v>
      </c>
      <c r="M12">
        <f t="shared" si="1"/>
        <v>0.70871143904557088</v>
      </c>
      <c r="N12">
        <f t="shared" si="2"/>
        <v>2.9176064669918813</v>
      </c>
      <c r="O12">
        <f t="shared" si="3"/>
        <v>3.2253364339458792</v>
      </c>
      <c r="P12">
        <f t="shared" si="4"/>
        <v>1.412177480927153</v>
      </c>
      <c r="Q12">
        <f t="shared" si="5"/>
        <v>0.53736179835527664</v>
      </c>
      <c r="R12">
        <f t="shared" si="6"/>
        <v>1.8288951445106918</v>
      </c>
    </row>
    <row r="13" spans="1:19" hidden="1" x14ac:dyDescent="0.25">
      <c r="A13" s="46">
        <v>2020</v>
      </c>
      <c r="B13" s="47" t="s">
        <v>106</v>
      </c>
      <c r="C13" s="47" t="s">
        <v>41</v>
      </c>
      <c r="D13" s="47" t="s">
        <v>42</v>
      </c>
      <c r="E13" s="47" t="s">
        <v>48</v>
      </c>
      <c r="F13" s="46">
        <v>320560</v>
      </c>
      <c r="G13" s="46">
        <v>13895</v>
      </c>
      <c r="H13" s="46">
        <v>53770</v>
      </c>
      <c r="I13" s="46">
        <v>63370</v>
      </c>
      <c r="J13" s="46">
        <v>37855</v>
      </c>
      <c r="K13" s="46">
        <v>24405</v>
      </c>
      <c r="L13" s="46">
        <v>127260</v>
      </c>
      <c r="M13">
        <f t="shared" si="1"/>
        <v>1.6196620798582577</v>
      </c>
      <c r="N13">
        <f t="shared" si="2"/>
        <v>6.2676667890592679</v>
      </c>
      <c r="O13">
        <f t="shared" si="3"/>
        <v>7.3866848507101679</v>
      </c>
      <c r="P13">
        <f t="shared" si="4"/>
        <v>4.4125446587286321</v>
      </c>
      <c r="Q13">
        <f t="shared" si="5"/>
        <v>2.8447537286031506</v>
      </c>
      <c r="R13">
        <f t="shared" si="6"/>
        <v>14.833983179759761</v>
      </c>
    </row>
    <row r="14" spans="1:19" hidden="1" x14ac:dyDescent="0.25">
      <c r="A14" s="46">
        <v>2020</v>
      </c>
      <c r="B14" s="47" t="s">
        <v>106</v>
      </c>
      <c r="C14" s="47" t="s">
        <v>41</v>
      </c>
      <c r="D14" s="47" t="s">
        <v>42</v>
      </c>
      <c r="E14" s="47" t="s">
        <v>49</v>
      </c>
      <c r="F14" s="46">
        <v>133075</v>
      </c>
      <c r="G14" s="46">
        <v>2980</v>
      </c>
      <c r="H14" s="46">
        <v>11885</v>
      </c>
      <c r="I14" s="46">
        <v>12455</v>
      </c>
      <c r="J14" s="46">
        <v>8510</v>
      </c>
      <c r="K14" s="46">
        <v>6115</v>
      </c>
      <c r="L14" s="46">
        <v>91130</v>
      </c>
      <c r="M14">
        <f t="shared" si="1"/>
        <v>0.34736185663746727</v>
      </c>
      <c r="N14">
        <f t="shared" si="2"/>
        <v>1.3853676732001001</v>
      </c>
      <c r="O14">
        <f t="shared" si="3"/>
        <v>1.4518093706106225</v>
      </c>
      <c r="P14">
        <f t="shared" si="4"/>
        <v>0.99196288590095527</v>
      </c>
      <c r="Q14">
        <f t="shared" si="5"/>
        <v>0.71279119239533983</v>
      </c>
      <c r="R14">
        <f t="shared" si="6"/>
        <v>10.622512078984025</v>
      </c>
    </row>
    <row r="15" spans="1:19" hidden="1" x14ac:dyDescent="0.25">
      <c r="A15" s="46">
        <v>2020</v>
      </c>
      <c r="B15" s="47" t="s">
        <v>106</v>
      </c>
      <c r="C15" s="47" t="s">
        <v>41</v>
      </c>
      <c r="D15" s="47" t="s">
        <v>42</v>
      </c>
      <c r="E15" s="47" t="s">
        <v>50</v>
      </c>
      <c r="F15" s="46">
        <v>69815</v>
      </c>
      <c r="G15" s="46">
        <v>465</v>
      </c>
      <c r="H15" s="46">
        <v>1955</v>
      </c>
      <c r="I15" s="46">
        <v>2245</v>
      </c>
      <c r="J15" s="46">
        <v>1750</v>
      </c>
      <c r="K15" s="46">
        <v>1310</v>
      </c>
      <c r="L15" s="46">
        <v>62090</v>
      </c>
      <c r="M15">
        <f t="shared" si="1"/>
        <v>5.4202437361215529E-2</v>
      </c>
      <c r="N15">
        <f t="shared" si="2"/>
        <v>0.22788336567994916</v>
      </c>
      <c r="O15">
        <f t="shared" si="3"/>
        <v>0.26168703629232015</v>
      </c>
      <c r="P15">
        <f t="shared" si="4"/>
        <v>0.20398766748844555</v>
      </c>
      <c r="Q15">
        <f t="shared" si="5"/>
        <v>0.15269933966277924</v>
      </c>
      <c r="R15">
        <f t="shared" si="6"/>
        <v>7.2374824424900481</v>
      </c>
    </row>
    <row r="16" spans="1:19" hidden="1" x14ac:dyDescent="0.25">
      <c r="A16" s="46">
        <v>2020</v>
      </c>
      <c r="B16" s="47" t="s">
        <v>106</v>
      </c>
      <c r="C16" s="47" t="s">
        <v>41</v>
      </c>
      <c r="D16" s="47" t="s">
        <v>51</v>
      </c>
      <c r="E16" s="47" t="s">
        <v>43</v>
      </c>
      <c r="F16" s="46">
        <v>464080</v>
      </c>
      <c r="G16" s="46">
        <v>25640</v>
      </c>
      <c r="H16" s="46">
        <v>92935</v>
      </c>
      <c r="I16" s="46">
        <v>107000</v>
      </c>
      <c r="J16" s="46">
        <v>46845</v>
      </c>
      <c r="K16" s="46">
        <v>25495</v>
      </c>
      <c r="L16" s="46">
        <v>166160</v>
      </c>
      <c r="M16">
        <f t="shared" si="1"/>
        <v>2.9887107396592825</v>
      </c>
      <c r="N16">
        <f t="shared" si="2"/>
        <v>10.832910787450679</v>
      </c>
      <c r="O16">
        <f t="shared" si="3"/>
        <v>12.472388812150671</v>
      </c>
      <c r="P16">
        <f t="shared" si="4"/>
        <v>5.4604584477121323</v>
      </c>
      <c r="Q16">
        <f t="shared" si="5"/>
        <v>2.9718089043530966</v>
      </c>
      <c r="R16">
        <f t="shared" si="6"/>
        <v>19.368337617074349</v>
      </c>
    </row>
    <row r="17" spans="1:18" hidden="1" x14ac:dyDescent="0.25">
      <c r="A17" s="46">
        <v>2020</v>
      </c>
      <c r="B17" s="47" t="s">
        <v>106</v>
      </c>
      <c r="C17" s="47" t="s">
        <v>41</v>
      </c>
      <c r="D17" s="47" t="s">
        <v>51</v>
      </c>
      <c r="E17" s="47" t="s">
        <v>44</v>
      </c>
      <c r="F17" s="46">
        <v>68535</v>
      </c>
      <c r="G17" s="46">
        <v>6695</v>
      </c>
      <c r="H17" s="46">
        <v>25350</v>
      </c>
      <c r="I17" s="46">
        <v>21840</v>
      </c>
      <c r="J17" s="46">
        <v>7255</v>
      </c>
      <c r="K17" s="46">
        <v>3415</v>
      </c>
      <c r="L17" s="46">
        <v>3980</v>
      </c>
      <c r="M17">
        <f t="shared" si="1"/>
        <v>0.78039853362008171</v>
      </c>
      <c r="N17">
        <f t="shared" si="2"/>
        <v>2.9549070690469112</v>
      </c>
      <c r="O17">
        <f t="shared" si="3"/>
        <v>2.5457660902558006</v>
      </c>
      <c r="P17">
        <f t="shared" si="4"/>
        <v>0.84567458721638422</v>
      </c>
      <c r="Q17">
        <f t="shared" si="5"/>
        <v>0.39806736255602376</v>
      </c>
      <c r="R17">
        <f t="shared" si="6"/>
        <v>0.46392623805943617</v>
      </c>
    </row>
    <row r="18" spans="1:18" hidden="1" x14ac:dyDescent="0.25">
      <c r="A18" s="46">
        <v>2020</v>
      </c>
      <c r="B18" s="47" t="s">
        <v>106</v>
      </c>
      <c r="C18" s="47" t="s">
        <v>41</v>
      </c>
      <c r="D18" s="47" t="s">
        <v>51</v>
      </c>
      <c r="E18" s="47" t="s">
        <v>45</v>
      </c>
      <c r="F18" s="46">
        <v>21860</v>
      </c>
      <c r="G18" s="46">
        <v>1745</v>
      </c>
      <c r="H18" s="46">
        <v>5055</v>
      </c>
      <c r="I18" s="46">
        <v>6925</v>
      </c>
      <c r="J18" s="46">
        <v>2100</v>
      </c>
      <c r="K18" s="46">
        <v>1040</v>
      </c>
      <c r="L18" s="46">
        <v>5000</v>
      </c>
      <c r="M18">
        <f t="shared" si="1"/>
        <v>0.20340484558133573</v>
      </c>
      <c r="N18">
        <f t="shared" si="2"/>
        <v>0.58923294808805271</v>
      </c>
      <c r="O18">
        <f t="shared" si="3"/>
        <v>0.80720834134713448</v>
      </c>
      <c r="P18">
        <f t="shared" si="4"/>
        <v>0.24478520098613465</v>
      </c>
      <c r="Q18">
        <f t="shared" si="5"/>
        <v>0.12122695667884764</v>
      </c>
      <c r="R18">
        <f t="shared" si="6"/>
        <v>0.58282190710984449</v>
      </c>
    </row>
    <row r="19" spans="1:18" hidden="1" x14ac:dyDescent="0.25">
      <c r="A19" s="46">
        <v>2020</v>
      </c>
      <c r="B19" s="47" t="s">
        <v>106</v>
      </c>
      <c r="C19" s="47" t="s">
        <v>41</v>
      </c>
      <c r="D19" s="47" t="s">
        <v>51</v>
      </c>
      <c r="E19" s="47" t="s">
        <v>46</v>
      </c>
      <c r="F19" s="46">
        <v>41065</v>
      </c>
      <c r="G19" s="46">
        <v>3650</v>
      </c>
      <c r="H19" s="46">
        <v>11650</v>
      </c>
      <c r="I19" s="46">
        <v>14650</v>
      </c>
      <c r="J19" s="46">
        <v>2520</v>
      </c>
      <c r="K19" s="46">
        <v>955</v>
      </c>
      <c r="L19" s="46">
        <v>7645</v>
      </c>
      <c r="M19">
        <f t="shared" si="1"/>
        <v>0.42545999219018643</v>
      </c>
      <c r="N19">
        <f t="shared" si="2"/>
        <v>1.3579750435659375</v>
      </c>
      <c r="O19">
        <f t="shared" si="3"/>
        <v>1.7076681878318443</v>
      </c>
      <c r="P19">
        <f t="shared" si="4"/>
        <v>0.29374224118336162</v>
      </c>
      <c r="Q19">
        <f t="shared" si="5"/>
        <v>0.11131898425798029</v>
      </c>
      <c r="R19">
        <f t="shared" si="6"/>
        <v>0.89113469597095207</v>
      </c>
    </row>
    <row r="20" spans="1:18" hidden="1" x14ac:dyDescent="0.25">
      <c r="A20" s="46">
        <v>2020</v>
      </c>
      <c r="B20" s="47" t="s">
        <v>106</v>
      </c>
      <c r="C20" s="47" t="s">
        <v>41</v>
      </c>
      <c r="D20" s="47" t="s">
        <v>51</v>
      </c>
      <c r="E20" s="47" t="s">
        <v>47</v>
      </c>
      <c r="F20" s="46">
        <v>52400</v>
      </c>
      <c r="G20" s="46">
        <v>3470</v>
      </c>
      <c r="H20" s="46">
        <v>13640</v>
      </c>
      <c r="I20" s="46">
        <v>17520</v>
      </c>
      <c r="J20" s="46">
        <v>6940</v>
      </c>
      <c r="K20" s="46">
        <v>2400</v>
      </c>
      <c r="L20" s="46">
        <v>8430</v>
      </c>
      <c r="M20">
        <f t="shared" si="1"/>
        <v>0.40447840353423203</v>
      </c>
      <c r="N20">
        <f t="shared" si="2"/>
        <v>1.5899381625956559</v>
      </c>
      <c r="O20">
        <f t="shared" si="3"/>
        <v>2.0422079625128946</v>
      </c>
      <c r="P20">
        <f t="shared" si="4"/>
        <v>0.80895680706846407</v>
      </c>
      <c r="Q20">
        <f t="shared" si="5"/>
        <v>0.27975451541272534</v>
      </c>
      <c r="R20">
        <f t="shared" si="6"/>
        <v>0.98263773538719779</v>
      </c>
    </row>
    <row r="21" spans="1:18" hidden="1" x14ac:dyDescent="0.25">
      <c r="A21" s="46">
        <v>2020</v>
      </c>
      <c r="B21" s="47" t="s">
        <v>106</v>
      </c>
      <c r="C21" s="47" t="s">
        <v>41</v>
      </c>
      <c r="D21" s="47" t="s">
        <v>51</v>
      </c>
      <c r="E21" s="47" t="s">
        <v>48</v>
      </c>
      <c r="F21" s="46">
        <v>174345</v>
      </c>
      <c r="G21" s="46">
        <v>8195</v>
      </c>
      <c r="H21" s="46">
        <v>29510</v>
      </c>
      <c r="I21" s="46">
        <v>37860</v>
      </c>
      <c r="J21" s="46">
        <v>22260</v>
      </c>
      <c r="K21" s="46">
        <v>13650</v>
      </c>
      <c r="L21" s="46">
        <v>62865</v>
      </c>
      <c r="M21">
        <f t="shared" si="1"/>
        <v>0.95524510575303501</v>
      </c>
      <c r="N21">
        <f t="shared" si="2"/>
        <v>3.4398148957623018</v>
      </c>
      <c r="O21">
        <f t="shared" si="3"/>
        <v>4.4131274806357421</v>
      </c>
      <c r="P21">
        <f t="shared" si="4"/>
        <v>2.5947231304530272</v>
      </c>
      <c r="Q21">
        <f t="shared" si="5"/>
        <v>1.5911038064098753</v>
      </c>
      <c r="R21">
        <f t="shared" si="6"/>
        <v>7.3278198380920738</v>
      </c>
    </row>
    <row r="22" spans="1:18" hidden="1" x14ac:dyDescent="0.25">
      <c r="A22" s="46">
        <v>2020</v>
      </c>
      <c r="B22" s="47" t="s">
        <v>106</v>
      </c>
      <c r="C22" s="47" t="s">
        <v>41</v>
      </c>
      <c r="D22" s="47" t="s">
        <v>51</v>
      </c>
      <c r="E22" s="47" t="s">
        <v>49</v>
      </c>
      <c r="F22" s="46">
        <v>72015</v>
      </c>
      <c r="G22" s="46">
        <v>1690</v>
      </c>
      <c r="H22" s="46">
        <v>6800</v>
      </c>
      <c r="I22" s="46">
        <v>7135</v>
      </c>
      <c r="J22" s="46">
        <v>4930</v>
      </c>
      <c r="K22" s="46">
        <v>3450</v>
      </c>
      <c r="L22" s="46">
        <v>48015</v>
      </c>
      <c r="M22">
        <f t="shared" si="1"/>
        <v>0.19699380460312743</v>
      </c>
      <c r="N22">
        <f t="shared" si="2"/>
        <v>0.79263779366938836</v>
      </c>
      <c r="O22">
        <f t="shared" si="3"/>
        <v>0.83168686144574799</v>
      </c>
      <c r="P22">
        <f t="shared" si="4"/>
        <v>0.5746624004103067</v>
      </c>
      <c r="Q22">
        <f t="shared" si="5"/>
        <v>0.40214711590579272</v>
      </c>
      <c r="R22">
        <f t="shared" si="6"/>
        <v>5.5968387739758363</v>
      </c>
    </row>
    <row r="23" spans="1:18" hidden="1" x14ac:dyDescent="0.25">
      <c r="A23" s="46">
        <v>2020</v>
      </c>
      <c r="B23" s="47" t="s">
        <v>106</v>
      </c>
      <c r="C23" s="47" t="s">
        <v>41</v>
      </c>
      <c r="D23" s="47" t="s">
        <v>51</v>
      </c>
      <c r="E23" s="47" t="s">
        <v>50</v>
      </c>
      <c r="F23" s="46">
        <v>33860</v>
      </c>
      <c r="G23" s="46">
        <v>195</v>
      </c>
      <c r="H23" s="46">
        <v>935</v>
      </c>
      <c r="I23" s="46">
        <v>1065</v>
      </c>
      <c r="J23" s="46">
        <v>845</v>
      </c>
      <c r="K23" s="46">
        <v>585</v>
      </c>
      <c r="L23" s="46">
        <v>30230</v>
      </c>
      <c r="M23">
        <f t="shared" si="1"/>
        <v>2.2730054377283933E-2</v>
      </c>
      <c r="N23">
        <f t="shared" si="2"/>
        <v>0.10898769662954091</v>
      </c>
      <c r="O23">
        <f t="shared" si="3"/>
        <v>0.12414106621439687</v>
      </c>
      <c r="P23">
        <f t="shared" si="4"/>
        <v>9.8496902301563716E-2</v>
      </c>
      <c r="Q23">
        <f t="shared" si="5"/>
        <v>6.8190163131851805E-2</v>
      </c>
      <c r="R23">
        <f t="shared" si="6"/>
        <v>3.5237412503861201</v>
      </c>
    </row>
    <row r="24" spans="1:18" hidden="1" x14ac:dyDescent="0.25">
      <c r="A24" s="46">
        <v>2020</v>
      </c>
      <c r="B24" s="47" t="s">
        <v>106</v>
      </c>
      <c r="C24" s="47" t="s">
        <v>41</v>
      </c>
      <c r="D24" s="47" t="s">
        <v>52</v>
      </c>
      <c r="E24" s="47" t="s">
        <v>43</v>
      </c>
      <c r="F24" s="46">
        <v>393815</v>
      </c>
      <c r="G24" s="46">
        <v>20405</v>
      </c>
      <c r="H24" s="46">
        <v>79950</v>
      </c>
      <c r="I24" s="46">
        <v>74085</v>
      </c>
      <c r="J24" s="46">
        <v>35840</v>
      </c>
      <c r="K24" s="46">
        <v>21210</v>
      </c>
      <c r="L24" s="46">
        <v>162330</v>
      </c>
      <c r="M24">
        <f t="shared" si="1"/>
        <v>2.3784962029152754</v>
      </c>
      <c r="N24">
        <f t="shared" si="2"/>
        <v>9.3193222946864118</v>
      </c>
      <c r="O24">
        <f t="shared" si="3"/>
        <v>8.6356721976465654</v>
      </c>
      <c r="P24">
        <f t="shared" si="4"/>
        <v>4.1776674301633649</v>
      </c>
      <c r="Q24">
        <f t="shared" si="5"/>
        <v>2.4723305299599603</v>
      </c>
      <c r="R24">
        <f t="shared" si="6"/>
        <v>18.921896036228208</v>
      </c>
    </row>
    <row r="25" spans="1:18" hidden="1" x14ac:dyDescent="0.25">
      <c r="A25" s="46">
        <v>2020</v>
      </c>
      <c r="B25" s="47" t="s">
        <v>106</v>
      </c>
      <c r="C25" s="47" t="s">
        <v>41</v>
      </c>
      <c r="D25" s="47" t="s">
        <v>52</v>
      </c>
      <c r="E25" s="47" t="s">
        <v>44</v>
      </c>
      <c r="F25" s="46">
        <v>64355</v>
      </c>
      <c r="G25" s="46">
        <v>6325</v>
      </c>
      <c r="H25" s="46">
        <v>24005</v>
      </c>
      <c r="I25" s="46">
        <v>20255</v>
      </c>
      <c r="J25" s="46">
        <v>6815</v>
      </c>
      <c r="K25" s="46">
        <v>3125</v>
      </c>
      <c r="L25" s="46">
        <v>3830</v>
      </c>
      <c r="M25">
        <f t="shared" si="1"/>
        <v>0.73726971249395323</v>
      </c>
      <c r="N25">
        <f t="shared" si="2"/>
        <v>2.7981279760343631</v>
      </c>
      <c r="O25">
        <f t="shared" si="3"/>
        <v>2.36101154570198</v>
      </c>
      <c r="P25">
        <f t="shared" si="4"/>
        <v>0.79438625939071794</v>
      </c>
      <c r="Q25">
        <f t="shared" si="5"/>
        <v>0.36426369194365277</v>
      </c>
      <c r="R25">
        <f t="shared" si="6"/>
        <v>0.44644158084614083</v>
      </c>
    </row>
    <row r="26" spans="1:18" hidden="1" x14ac:dyDescent="0.25">
      <c r="A26" s="46">
        <v>2020</v>
      </c>
      <c r="B26" s="47" t="s">
        <v>106</v>
      </c>
      <c r="C26" s="47" t="s">
        <v>41</v>
      </c>
      <c r="D26" s="47" t="s">
        <v>52</v>
      </c>
      <c r="E26" s="47" t="s">
        <v>45</v>
      </c>
      <c r="F26" s="46">
        <v>18170</v>
      </c>
      <c r="G26" s="46">
        <v>1300</v>
      </c>
      <c r="H26" s="46">
        <v>4095</v>
      </c>
      <c r="I26" s="46">
        <v>5155</v>
      </c>
      <c r="J26" s="46">
        <v>1945</v>
      </c>
      <c r="K26" s="46">
        <v>925</v>
      </c>
      <c r="L26" s="46">
        <v>4750</v>
      </c>
      <c r="M26">
        <f t="shared" si="1"/>
        <v>0.15153369584855955</v>
      </c>
      <c r="N26">
        <f t="shared" si="2"/>
        <v>0.47733114192296267</v>
      </c>
      <c r="O26">
        <f t="shared" si="3"/>
        <v>0.60088938623024968</v>
      </c>
      <c r="P26">
        <f t="shared" si="4"/>
        <v>0.2267177218657295</v>
      </c>
      <c r="Q26">
        <f t="shared" si="5"/>
        <v>0.10782205281532123</v>
      </c>
      <c r="R26">
        <f t="shared" si="6"/>
        <v>0.55368081175435224</v>
      </c>
    </row>
    <row r="27" spans="1:18" hidden="1" x14ac:dyDescent="0.25">
      <c r="A27" s="46">
        <v>2020</v>
      </c>
      <c r="B27" s="47" t="s">
        <v>106</v>
      </c>
      <c r="C27" s="47" t="s">
        <v>41</v>
      </c>
      <c r="D27" s="47" t="s">
        <v>52</v>
      </c>
      <c r="E27" s="47" t="s">
        <v>46</v>
      </c>
      <c r="F27" s="46">
        <v>29260</v>
      </c>
      <c r="G27" s="46">
        <v>2910</v>
      </c>
      <c r="H27" s="46">
        <v>10095</v>
      </c>
      <c r="I27" s="46">
        <v>6525</v>
      </c>
      <c r="J27" s="46">
        <v>1825</v>
      </c>
      <c r="K27" s="46">
        <v>790</v>
      </c>
      <c r="L27" s="46">
        <v>7115</v>
      </c>
      <c r="M27">
        <f t="shared" si="1"/>
        <v>0.33920234993792947</v>
      </c>
      <c r="N27">
        <f t="shared" si="2"/>
        <v>1.1767174304547758</v>
      </c>
      <c r="O27">
        <f t="shared" si="3"/>
        <v>0.76058258877834706</v>
      </c>
      <c r="P27">
        <f t="shared" si="4"/>
        <v>0.21272999609509322</v>
      </c>
      <c r="Q27">
        <f t="shared" si="5"/>
        <v>9.2085861323355417E-2</v>
      </c>
      <c r="R27">
        <f t="shared" si="6"/>
        <v>0.82935557381730862</v>
      </c>
    </row>
    <row r="28" spans="1:18" hidden="1" x14ac:dyDescent="0.25">
      <c r="A28" s="46">
        <v>2020</v>
      </c>
      <c r="B28" s="47" t="s">
        <v>106</v>
      </c>
      <c r="C28" s="47" t="s">
        <v>41</v>
      </c>
      <c r="D28" s="47" t="s">
        <v>52</v>
      </c>
      <c r="E28" s="47" t="s">
        <v>47</v>
      </c>
      <c r="F28" s="46">
        <v>38800</v>
      </c>
      <c r="G28" s="46">
        <v>2610</v>
      </c>
      <c r="H28" s="46">
        <v>11390</v>
      </c>
      <c r="I28" s="46">
        <v>10150</v>
      </c>
      <c r="J28" s="46">
        <v>5175</v>
      </c>
      <c r="K28" s="46">
        <v>2210</v>
      </c>
      <c r="L28" s="46">
        <v>7260</v>
      </c>
      <c r="M28">
        <f t="shared" si="1"/>
        <v>0.30423303551133879</v>
      </c>
      <c r="N28">
        <f t="shared" si="2"/>
        <v>1.3276683043962256</v>
      </c>
      <c r="O28">
        <f t="shared" si="3"/>
        <v>1.1831284714329842</v>
      </c>
      <c r="P28">
        <f t="shared" si="4"/>
        <v>0.60322067385868894</v>
      </c>
      <c r="Q28">
        <f t="shared" si="5"/>
        <v>0.25760728294255125</v>
      </c>
      <c r="R28">
        <f t="shared" si="6"/>
        <v>0.84625740912349423</v>
      </c>
    </row>
    <row r="29" spans="1:18" hidden="1" x14ac:dyDescent="0.25">
      <c r="A29" s="46">
        <v>2020</v>
      </c>
      <c r="B29" s="47" t="s">
        <v>106</v>
      </c>
      <c r="C29" s="47" t="s">
        <v>41</v>
      </c>
      <c r="D29" s="47" t="s">
        <v>52</v>
      </c>
      <c r="E29" s="47" t="s">
        <v>48</v>
      </c>
      <c r="F29" s="46">
        <v>146215</v>
      </c>
      <c r="G29" s="46">
        <v>5695</v>
      </c>
      <c r="H29" s="46">
        <v>24260</v>
      </c>
      <c r="I29" s="46">
        <v>25510</v>
      </c>
      <c r="J29" s="46">
        <v>15595</v>
      </c>
      <c r="K29" s="46">
        <v>10755</v>
      </c>
      <c r="L29" s="46">
        <v>64395</v>
      </c>
      <c r="M29">
        <f t="shared" si="1"/>
        <v>0.66383415219811281</v>
      </c>
      <c r="N29">
        <f t="shared" si="2"/>
        <v>2.8278518932969652</v>
      </c>
      <c r="O29">
        <f t="shared" si="3"/>
        <v>2.9735573700744262</v>
      </c>
      <c r="P29">
        <f t="shared" si="4"/>
        <v>1.8178215282756049</v>
      </c>
      <c r="Q29">
        <f t="shared" si="5"/>
        <v>1.2536499221932755</v>
      </c>
      <c r="R29">
        <f t="shared" si="6"/>
        <v>7.5061633416676861</v>
      </c>
    </row>
    <row r="30" spans="1:18" hidden="1" x14ac:dyDescent="0.25">
      <c r="A30" s="46">
        <v>2020</v>
      </c>
      <c r="B30" s="47" t="s">
        <v>106</v>
      </c>
      <c r="C30" s="47" t="s">
        <v>41</v>
      </c>
      <c r="D30" s="47" t="s">
        <v>52</v>
      </c>
      <c r="E30" s="47" t="s">
        <v>49</v>
      </c>
      <c r="F30" s="46">
        <v>61060</v>
      </c>
      <c r="G30" s="46">
        <v>1290</v>
      </c>
      <c r="H30" s="46">
        <v>5090</v>
      </c>
      <c r="I30" s="46">
        <v>5315</v>
      </c>
      <c r="J30" s="46">
        <v>3580</v>
      </c>
      <c r="K30" s="46">
        <v>2670</v>
      </c>
      <c r="L30" s="46">
        <v>43115</v>
      </c>
      <c r="M30">
        <f t="shared" si="1"/>
        <v>0.15036805203433987</v>
      </c>
      <c r="N30">
        <f t="shared" si="2"/>
        <v>0.59331270143782167</v>
      </c>
      <c r="O30">
        <f t="shared" si="3"/>
        <v>0.61953968725776465</v>
      </c>
      <c r="P30">
        <f t="shared" si="4"/>
        <v>0.41730048549064858</v>
      </c>
      <c r="Q30">
        <f t="shared" si="5"/>
        <v>0.31122689839665696</v>
      </c>
      <c r="R30">
        <f t="shared" si="6"/>
        <v>5.0256733050081888</v>
      </c>
    </row>
    <row r="31" spans="1:18" hidden="1" x14ac:dyDescent="0.25">
      <c r="A31" s="46">
        <v>2020</v>
      </c>
      <c r="B31" s="47" t="s">
        <v>106</v>
      </c>
      <c r="C31" s="47" t="s">
        <v>41</v>
      </c>
      <c r="D31" s="47" t="s">
        <v>52</v>
      </c>
      <c r="E31" s="47" t="s">
        <v>50</v>
      </c>
      <c r="F31" s="46">
        <v>35955</v>
      </c>
      <c r="G31" s="46">
        <v>270</v>
      </c>
      <c r="H31" s="46">
        <v>1015</v>
      </c>
      <c r="I31" s="46">
        <v>1180</v>
      </c>
      <c r="J31" s="46">
        <v>905</v>
      </c>
      <c r="K31" s="46">
        <v>730</v>
      </c>
      <c r="L31" s="46">
        <v>31860</v>
      </c>
      <c r="M31">
        <f t="shared" si="1"/>
        <v>3.1472382983931603E-2</v>
      </c>
      <c r="N31">
        <f t="shared" si="2"/>
        <v>0.11831284714329843</v>
      </c>
      <c r="O31">
        <f t="shared" si="3"/>
        <v>0.1375459700779233</v>
      </c>
      <c r="P31">
        <f t="shared" si="4"/>
        <v>0.10549076518688183</v>
      </c>
      <c r="Q31">
        <f t="shared" si="5"/>
        <v>8.5091998438037289E-2</v>
      </c>
      <c r="R31">
        <f t="shared" si="6"/>
        <v>3.7137411921039289</v>
      </c>
    </row>
    <row r="32" spans="1:18" x14ac:dyDescent="0.25">
      <c r="A32" s="46">
        <v>2020</v>
      </c>
      <c r="B32" s="56">
        <v>1</v>
      </c>
      <c r="C32" s="47" t="s">
        <v>53</v>
      </c>
      <c r="D32" s="47" t="s">
        <v>42</v>
      </c>
      <c r="E32" s="47" t="s">
        <v>43</v>
      </c>
      <c r="F32" s="46">
        <v>166960</v>
      </c>
      <c r="G32" s="46">
        <v>9000</v>
      </c>
      <c r="H32" s="46">
        <v>34680</v>
      </c>
      <c r="I32" s="46">
        <v>34445</v>
      </c>
      <c r="J32" s="46">
        <v>15050</v>
      </c>
      <c r="K32" s="46">
        <v>7500</v>
      </c>
      <c r="L32" s="46">
        <v>66285</v>
      </c>
      <c r="M32">
        <f t="shared" si="1"/>
        <v>1.04907943279772</v>
      </c>
      <c r="N32">
        <f t="shared" si="2"/>
        <v>4.042452747713881</v>
      </c>
      <c r="O32">
        <f t="shared" si="3"/>
        <v>4.0150601180797185</v>
      </c>
      <c r="P32">
        <f t="shared" si="4"/>
        <v>1.7542939404006319</v>
      </c>
      <c r="Q32">
        <f t="shared" si="5"/>
        <v>0.87423286066476669</v>
      </c>
      <c r="R32">
        <f t="shared" si="6"/>
        <v>7.7264700225552083</v>
      </c>
    </row>
    <row r="33" spans="1:18" hidden="1" x14ac:dyDescent="0.25">
      <c r="A33" s="46">
        <v>2020</v>
      </c>
      <c r="B33" s="56">
        <v>1</v>
      </c>
      <c r="C33" s="47" t="s">
        <v>53</v>
      </c>
      <c r="D33" s="47" t="s">
        <v>42</v>
      </c>
      <c r="E33" s="47" t="s">
        <v>44</v>
      </c>
      <c r="F33" s="46">
        <v>24910</v>
      </c>
      <c r="G33" s="46">
        <v>2665</v>
      </c>
      <c r="H33" s="46">
        <v>9605</v>
      </c>
      <c r="I33" s="46">
        <v>7850</v>
      </c>
      <c r="J33" s="46">
        <v>2475</v>
      </c>
      <c r="K33" s="46">
        <v>1050</v>
      </c>
      <c r="L33" s="46">
        <v>1270</v>
      </c>
      <c r="M33">
        <f t="shared" si="1"/>
        <v>0.31064407648954712</v>
      </c>
      <c r="N33">
        <f t="shared" si="2"/>
        <v>1.1196008835580114</v>
      </c>
      <c r="O33">
        <f t="shared" si="3"/>
        <v>0.9150303941624558</v>
      </c>
      <c r="P33">
        <f t="shared" si="4"/>
        <v>0.28849684401937298</v>
      </c>
      <c r="Q33">
        <f t="shared" si="5"/>
        <v>0.12239260049306733</v>
      </c>
      <c r="R33">
        <f t="shared" si="6"/>
        <v>0.1480367644059005</v>
      </c>
    </row>
    <row r="34" spans="1:18" hidden="1" x14ac:dyDescent="0.25">
      <c r="A34" s="46">
        <v>2020</v>
      </c>
      <c r="B34" s="56">
        <v>1</v>
      </c>
      <c r="C34" s="47" t="s">
        <v>53</v>
      </c>
      <c r="D34" s="47" t="s">
        <v>42</v>
      </c>
      <c r="E34" s="47" t="s">
        <v>45</v>
      </c>
      <c r="F34" s="46">
        <v>7325</v>
      </c>
      <c r="G34" s="46">
        <v>590</v>
      </c>
      <c r="H34" s="46">
        <v>1745</v>
      </c>
      <c r="I34" s="46">
        <v>2185</v>
      </c>
      <c r="J34" s="46">
        <v>765</v>
      </c>
      <c r="K34" s="46">
        <v>285</v>
      </c>
      <c r="L34" s="46">
        <v>1755</v>
      </c>
      <c r="M34">
        <f t="shared" si="1"/>
        <v>6.8772985038961648E-2</v>
      </c>
      <c r="N34">
        <f t="shared" si="2"/>
        <v>0.20340484558133573</v>
      </c>
      <c r="O34">
        <f t="shared" si="3"/>
        <v>0.25469317340700204</v>
      </c>
      <c r="P34">
        <f t="shared" si="4"/>
        <v>8.9171751787806203E-2</v>
      </c>
      <c r="Q34">
        <f t="shared" si="5"/>
        <v>3.3220848705261131E-2</v>
      </c>
      <c r="R34">
        <f t="shared" si="6"/>
        <v>0.20457048939555539</v>
      </c>
    </row>
    <row r="35" spans="1:18" hidden="1" x14ac:dyDescent="0.25">
      <c r="A35" s="46">
        <v>2020</v>
      </c>
      <c r="B35" s="56">
        <v>1</v>
      </c>
      <c r="C35" s="47" t="s">
        <v>53</v>
      </c>
      <c r="D35" s="47" t="s">
        <v>42</v>
      </c>
      <c r="E35" s="47" t="s">
        <v>46</v>
      </c>
      <c r="F35" s="46">
        <v>14585</v>
      </c>
      <c r="G35" s="46">
        <v>1280</v>
      </c>
      <c r="H35" s="46">
        <v>4680</v>
      </c>
      <c r="I35" s="46">
        <v>4245</v>
      </c>
      <c r="J35" s="46">
        <v>920</v>
      </c>
      <c r="K35" s="46">
        <v>255</v>
      </c>
      <c r="L35" s="46">
        <v>3205</v>
      </c>
      <c r="M35">
        <f t="shared" si="1"/>
        <v>0.14920240822012018</v>
      </c>
      <c r="N35">
        <f t="shared" si="2"/>
        <v>0.54552130505481444</v>
      </c>
      <c r="O35">
        <f t="shared" si="3"/>
        <v>0.49481579913625795</v>
      </c>
      <c r="P35">
        <f t="shared" si="4"/>
        <v>0.10723923090821137</v>
      </c>
      <c r="Q35">
        <f t="shared" si="5"/>
        <v>2.9723917262602068E-2</v>
      </c>
      <c r="R35">
        <f t="shared" si="6"/>
        <v>0.37358884245741031</v>
      </c>
    </row>
    <row r="36" spans="1:18" hidden="1" x14ac:dyDescent="0.25">
      <c r="A36" s="46">
        <v>2020</v>
      </c>
      <c r="B36" s="56">
        <v>1</v>
      </c>
      <c r="C36" s="47" t="s">
        <v>53</v>
      </c>
      <c r="D36" s="47" t="s">
        <v>42</v>
      </c>
      <c r="E36" s="47" t="s">
        <v>47</v>
      </c>
      <c r="F36" s="46">
        <v>19805</v>
      </c>
      <c r="G36" s="46">
        <v>1360</v>
      </c>
      <c r="H36" s="46">
        <v>5985</v>
      </c>
      <c r="I36" s="46">
        <v>5685</v>
      </c>
      <c r="J36" s="46">
        <v>2340</v>
      </c>
      <c r="K36" s="46">
        <v>845</v>
      </c>
      <c r="L36" s="46">
        <v>3585</v>
      </c>
      <c r="M36">
        <f t="shared" si="1"/>
        <v>0.15852755873387769</v>
      </c>
      <c r="N36">
        <f t="shared" si="2"/>
        <v>0.69763782281048381</v>
      </c>
      <c r="O36">
        <f t="shared" si="3"/>
        <v>0.66266850838389313</v>
      </c>
      <c r="P36">
        <f t="shared" si="4"/>
        <v>0.27276065252740722</v>
      </c>
      <c r="Q36">
        <f t="shared" si="5"/>
        <v>9.8496902301563716E-2</v>
      </c>
      <c r="R36">
        <f t="shared" si="6"/>
        <v>0.41788330739775842</v>
      </c>
    </row>
    <row r="37" spans="1:18" hidden="1" x14ac:dyDescent="0.25">
      <c r="A37" s="46">
        <v>2020</v>
      </c>
      <c r="B37" s="56">
        <v>1</v>
      </c>
      <c r="C37" s="47" t="s">
        <v>53</v>
      </c>
      <c r="D37" s="47" t="s">
        <v>42</v>
      </c>
      <c r="E37" s="47" t="s">
        <v>48</v>
      </c>
      <c r="F37" s="46">
        <v>61695</v>
      </c>
      <c r="G37" s="46">
        <v>2570</v>
      </c>
      <c r="H37" s="46">
        <v>10350</v>
      </c>
      <c r="I37" s="46">
        <v>11915</v>
      </c>
      <c r="J37" s="46">
        <v>6870</v>
      </c>
      <c r="K37" s="46">
        <v>4075</v>
      </c>
      <c r="L37" s="46">
        <v>25915</v>
      </c>
      <c r="M37">
        <f t="shared" si="1"/>
        <v>0.29957046025446005</v>
      </c>
      <c r="N37">
        <f t="shared" si="2"/>
        <v>1.2064413477173779</v>
      </c>
      <c r="O37">
        <f t="shared" si="3"/>
        <v>1.3888646046427593</v>
      </c>
      <c r="P37">
        <f t="shared" si="4"/>
        <v>0.80079730036892627</v>
      </c>
      <c r="Q37">
        <f t="shared" si="5"/>
        <v>0.47499985429452324</v>
      </c>
      <c r="R37">
        <f t="shared" si="6"/>
        <v>3.0207659445503237</v>
      </c>
    </row>
    <row r="38" spans="1:18" hidden="1" x14ac:dyDescent="0.25">
      <c r="A38" s="46">
        <v>2020</v>
      </c>
      <c r="B38" s="56">
        <v>1</v>
      </c>
      <c r="C38" s="47" t="s">
        <v>53</v>
      </c>
      <c r="D38" s="47" t="s">
        <v>42</v>
      </c>
      <c r="E38" s="47" t="s">
        <v>49</v>
      </c>
      <c r="F38" s="46">
        <v>24420</v>
      </c>
      <c r="G38" s="46">
        <v>455</v>
      </c>
      <c r="H38" s="46">
        <v>1980</v>
      </c>
      <c r="I38" s="46">
        <v>2195</v>
      </c>
      <c r="J38" s="46">
        <v>1370</v>
      </c>
      <c r="K38" s="46">
        <v>830</v>
      </c>
      <c r="L38" s="46">
        <v>17590</v>
      </c>
      <c r="M38">
        <f t="shared" si="1"/>
        <v>5.3036793546995843E-2</v>
      </c>
      <c r="N38">
        <f t="shared" si="2"/>
        <v>0.2307974752154984</v>
      </c>
      <c r="O38">
        <f t="shared" si="3"/>
        <v>0.25585881722122172</v>
      </c>
      <c r="P38">
        <f t="shared" si="4"/>
        <v>0.15969320254809738</v>
      </c>
      <c r="Q38">
        <f t="shared" si="5"/>
        <v>9.6748436580234173E-2</v>
      </c>
      <c r="R38">
        <f t="shared" si="6"/>
        <v>2.0503674692124325</v>
      </c>
    </row>
    <row r="39" spans="1:18" hidden="1" x14ac:dyDescent="0.25">
      <c r="A39" s="46">
        <v>2020</v>
      </c>
      <c r="B39" s="56">
        <v>1</v>
      </c>
      <c r="C39" s="47" t="s">
        <v>53</v>
      </c>
      <c r="D39" s="47" t="s">
        <v>42</v>
      </c>
      <c r="E39" s="47" t="s">
        <v>50</v>
      </c>
      <c r="F39" s="46">
        <v>14220</v>
      </c>
      <c r="G39" s="46">
        <v>75</v>
      </c>
      <c r="H39" s="46">
        <v>335</v>
      </c>
      <c r="I39" s="46">
        <v>370</v>
      </c>
      <c r="J39" s="46">
        <v>305</v>
      </c>
      <c r="K39" s="46">
        <v>165</v>
      </c>
      <c r="L39" s="46">
        <v>12965</v>
      </c>
      <c r="M39">
        <f t="shared" si="1"/>
        <v>8.7423286066476667E-3</v>
      </c>
      <c r="N39">
        <f t="shared" si="2"/>
        <v>3.9049067776359581E-2</v>
      </c>
      <c r="O39">
        <f t="shared" si="3"/>
        <v>4.3128821126128487E-2</v>
      </c>
      <c r="P39">
        <f t="shared" si="4"/>
        <v>3.555213633370051E-2</v>
      </c>
      <c r="Q39">
        <f t="shared" si="5"/>
        <v>1.9233122934624865E-2</v>
      </c>
      <c r="R39">
        <f t="shared" si="6"/>
        <v>1.5112572051358266</v>
      </c>
    </row>
    <row r="40" spans="1:18" hidden="1" x14ac:dyDescent="0.25">
      <c r="A40" s="46">
        <v>2020</v>
      </c>
      <c r="B40" s="56">
        <v>1</v>
      </c>
      <c r="C40" s="47" t="s">
        <v>53</v>
      </c>
      <c r="D40" s="47" t="s">
        <v>51</v>
      </c>
      <c r="E40" s="47" t="s">
        <v>43</v>
      </c>
      <c r="F40" s="46">
        <v>89075</v>
      </c>
      <c r="G40" s="46">
        <v>4955</v>
      </c>
      <c r="H40" s="46">
        <v>18465</v>
      </c>
      <c r="I40" s="46">
        <v>20110</v>
      </c>
      <c r="J40" s="46">
        <v>8445</v>
      </c>
      <c r="K40" s="46">
        <v>3960</v>
      </c>
      <c r="L40" s="46">
        <v>33135</v>
      </c>
      <c r="M40">
        <f t="shared" si="1"/>
        <v>0.57757650994585585</v>
      </c>
      <c r="N40">
        <f t="shared" si="2"/>
        <v>2.1523613029566553</v>
      </c>
      <c r="O40">
        <f t="shared" si="3"/>
        <v>2.3441097103957942</v>
      </c>
      <c r="P40">
        <f t="shared" si="4"/>
        <v>0.98438620110852737</v>
      </c>
      <c r="Q40">
        <f t="shared" si="5"/>
        <v>0.4615949504309968</v>
      </c>
      <c r="R40">
        <f t="shared" si="6"/>
        <v>3.8623607784169391</v>
      </c>
    </row>
    <row r="41" spans="1:18" hidden="1" x14ac:dyDescent="0.25">
      <c r="A41" s="46">
        <v>2020</v>
      </c>
      <c r="B41" s="56">
        <v>1</v>
      </c>
      <c r="C41" s="47" t="s">
        <v>53</v>
      </c>
      <c r="D41" s="47" t="s">
        <v>51</v>
      </c>
      <c r="E41" s="47" t="s">
        <v>44</v>
      </c>
      <c r="F41" s="46">
        <v>12930</v>
      </c>
      <c r="G41" s="46">
        <v>1385</v>
      </c>
      <c r="H41" s="46">
        <v>4990</v>
      </c>
      <c r="I41" s="46">
        <v>4055</v>
      </c>
      <c r="J41" s="46">
        <v>1300</v>
      </c>
      <c r="K41" s="46">
        <v>540</v>
      </c>
      <c r="L41" s="46">
        <v>660</v>
      </c>
      <c r="M41">
        <f t="shared" si="1"/>
        <v>0.16144166826942691</v>
      </c>
      <c r="N41">
        <f t="shared" si="2"/>
        <v>0.5816562632956247</v>
      </c>
      <c r="O41">
        <f t="shared" si="3"/>
        <v>0.47266856666608381</v>
      </c>
      <c r="P41">
        <f t="shared" si="4"/>
        <v>0.15153369584855955</v>
      </c>
      <c r="Q41">
        <f t="shared" si="5"/>
        <v>6.2944765967863206E-2</v>
      </c>
      <c r="R41">
        <f t="shared" si="6"/>
        <v>7.6932491738499462E-2</v>
      </c>
    </row>
    <row r="42" spans="1:18" hidden="1" x14ac:dyDescent="0.25">
      <c r="A42" s="46">
        <v>2020</v>
      </c>
      <c r="B42" s="56">
        <v>1</v>
      </c>
      <c r="C42" s="47" t="s">
        <v>53</v>
      </c>
      <c r="D42" s="47" t="s">
        <v>51</v>
      </c>
      <c r="E42" s="47" t="s">
        <v>45</v>
      </c>
      <c r="F42" s="46">
        <v>4055</v>
      </c>
      <c r="G42" s="46">
        <v>350</v>
      </c>
      <c r="H42" s="46">
        <v>970</v>
      </c>
      <c r="I42" s="46">
        <v>1270</v>
      </c>
      <c r="J42" s="46">
        <v>400</v>
      </c>
      <c r="K42" s="46">
        <v>155</v>
      </c>
      <c r="L42" s="46">
        <v>915</v>
      </c>
      <c r="M42">
        <f t="shared" si="1"/>
        <v>4.0797533497689109E-2</v>
      </c>
      <c r="N42">
        <f t="shared" si="2"/>
        <v>0.11306744997930983</v>
      </c>
      <c r="O42">
        <f t="shared" si="3"/>
        <v>0.1480367644059005</v>
      </c>
      <c r="P42">
        <f t="shared" si="4"/>
        <v>4.6625752568787551E-2</v>
      </c>
      <c r="Q42">
        <f t="shared" si="5"/>
        <v>1.806747912040518E-2</v>
      </c>
      <c r="R42">
        <f t="shared" si="6"/>
        <v>0.10665640900110153</v>
      </c>
    </row>
    <row r="43" spans="1:18" hidden="1" x14ac:dyDescent="0.25">
      <c r="A43" s="46">
        <v>2020</v>
      </c>
      <c r="B43" s="56">
        <v>1</v>
      </c>
      <c r="C43" s="47" t="s">
        <v>53</v>
      </c>
      <c r="D43" s="47" t="s">
        <v>51</v>
      </c>
      <c r="E43" s="47" t="s">
        <v>46</v>
      </c>
      <c r="F43" s="46">
        <v>8550</v>
      </c>
      <c r="G43" s="46">
        <v>705</v>
      </c>
      <c r="H43" s="46">
        <v>2570</v>
      </c>
      <c r="I43" s="46">
        <v>2945</v>
      </c>
      <c r="J43" s="46">
        <v>555</v>
      </c>
      <c r="K43" s="46">
        <v>125</v>
      </c>
      <c r="L43" s="46">
        <v>1645</v>
      </c>
      <c r="M43">
        <f t="shared" si="1"/>
        <v>8.2177888902488061E-2</v>
      </c>
      <c r="N43">
        <f t="shared" si="2"/>
        <v>0.29957046025446005</v>
      </c>
      <c r="O43">
        <f t="shared" si="3"/>
        <v>0.34328210328769837</v>
      </c>
      <c r="P43">
        <f t="shared" si="4"/>
        <v>6.4693231689192734E-2</v>
      </c>
      <c r="Q43">
        <f t="shared" si="5"/>
        <v>1.4570547677746111E-2</v>
      </c>
      <c r="R43">
        <f t="shared" si="6"/>
        <v>0.19174840743913882</v>
      </c>
    </row>
    <row r="44" spans="1:18" hidden="1" x14ac:dyDescent="0.25">
      <c r="A44" s="46">
        <v>2020</v>
      </c>
      <c r="B44" s="56">
        <v>1</v>
      </c>
      <c r="C44" s="47" t="s">
        <v>53</v>
      </c>
      <c r="D44" s="47" t="s">
        <v>51</v>
      </c>
      <c r="E44" s="47" t="s">
        <v>47</v>
      </c>
      <c r="F44" s="46">
        <v>11175</v>
      </c>
      <c r="G44" s="46">
        <v>755</v>
      </c>
      <c r="H44" s="46">
        <v>3180</v>
      </c>
      <c r="I44" s="46">
        <v>3500</v>
      </c>
      <c r="J44" s="46">
        <v>1355</v>
      </c>
      <c r="K44" s="46">
        <v>455</v>
      </c>
      <c r="L44" s="46">
        <v>1930</v>
      </c>
      <c r="M44">
        <f t="shared" si="1"/>
        <v>8.8006107973586503E-2</v>
      </c>
      <c r="N44">
        <f t="shared" si="2"/>
        <v>0.37067473292186104</v>
      </c>
      <c r="O44">
        <f t="shared" si="3"/>
        <v>0.40797533497689109</v>
      </c>
      <c r="P44">
        <f t="shared" si="4"/>
        <v>0.15794473682676785</v>
      </c>
      <c r="Q44">
        <f t="shared" si="5"/>
        <v>5.3036793546995843E-2</v>
      </c>
      <c r="R44">
        <f t="shared" si="6"/>
        <v>0.22496925614439994</v>
      </c>
    </row>
    <row r="45" spans="1:18" hidden="1" x14ac:dyDescent="0.25">
      <c r="A45" s="46">
        <v>2020</v>
      </c>
      <c r="B45" s="56">
        <v>1</v>
      </c>
      <c r="C45" s="47" t="s">
        <v>53</v>
      </c>
      <c r="D45" s="47" t="s">
        <v>51</v>
      </c>
      <c r="E45" s="47" t="s">
        <v>48</v>
      </c>
      <c r="F45" s="46">
        <v>32580</v>
      </c>
      <c r="G45" s="46">
        <v>1470</v>
      </c>
      <c r="H45" s="46">
        <v>5455</v>
      </c>
      <c r="I45" s="46">
        <v>6935</v>
      </c>
      <c r="J45" s="46">
        <v>3940</v>
      </c>
      <c r="K45" s="46">
        <v>2195</v>
      </c>
      <c r="L45" s="46">
        <v>12580</v>
      </c>
      <c r="M45">
        <f t="shared" si="1"/>
        <v>0.17134964069029426</v>
      </c>
      <c r="N45">
        <f t="shared" si="2"/>
        <v>0.63585870065684025</v>
      </c>
      <c r="O45">
        <f t="shared" si="3"/>
        <v>0.80837398516135428</v>
      </c>
      <c r="P45">
        <f t="shared" si="4"/>
        <v>0.45926366280255743</v>
      </c>
      <c r="Q45">
        <f t="shared" si="5"/>
        <v>0.25585881722122172</v>
      </c>
      <c r="R45">
        <f t="shared" si="6"/>
        <v>1.4663799182883686</v>
      </c>
    </row>
    <row r="46" spans="1:18" hidden="1" x14ac:dyDescent="0.25">
      <c r="A46" s="46">
        <v>2020</v>
      </c>
      <c r="B46" s="56">
        <v>1</v>
      </c>
      <c r="C46" s="47" t="s">
        <v>53</v>
      </c>
      <c r="D46" s="47" t="s">
        <v>51</v>
      </c>
      <c r="E46" s="47" t="s">
        <v>49</v>
      </c>
      <c r="F46" s="46">
        <v>12785</v>
      </c>
      <c r="G46" s="46">
        <v>260</v>
      </c>
      <c r="H46" s="46">
        <v>1145</v>
      </c>
      <c r="I46" s="46">
        <v>1220</v>
      </c>
      <c r="J46" s="46">
        <v>750</v>
      </c>
      <c r="K46" s="46">
        <v>420</v>
      </c>
      <c r="L46" s="46">
        <v>8990</v>
      </c>
      <c r="M46">
        <f t="shared" si="1"/>
        <v>3.030673916971191E-2</v>
      </c>
      <c r="N46">
        <f t="shared" si="2"/>
        <v>0.13346621672815437</v>
      </c>
      <c r="O46">
        <f t="shared" si="3"/>
        <v>0.14220854533480204</v>
      </c>
      <c r="P46">
        <f t="shared" si="4"/>
        <v>8.742328606647666E-2</v>
      </c>
      <c r="Q46">
        <f t="shared" si="5"/>
        <v>4.895704019722693E-2</v>
      </c>
      <c r="R46">
        <f t="shared" si="6"/>
        <v>1.0479137889835004</v>
      </c>
    </row>
    <row r="47" spans="1:18" hidden="1" x14ac:dyDescent="0.25">
      <c r="A47" s="46">
        <v>2020</v>
      </c>
      <c r="B47" s="56">
        <v>1</v>
      </c>
      <c r="C47" s="47" t="s">
        <v>53</v>
      </c>
      <c r="D47" s="47" t="s">
        <v>51</v>
      </c>
      <c r="E47" s="47" t="s">
        <v>50</v>
      </c>
      <c r="F47" s="46">
        <v>7000</v>
      </c>
      <c r="G47" s="46">
        <v>30</v>
      </c>
      <c r="H47" s="46">
        <v>155</v>
      </c>
      <c r="I47" s="46">
        <v>180</v>
      </c>
      <c r="J47" s="46">
        <v>145</v>
      </c>
      <c r="K47" s="46">
        <v>70</v>
      </c>
      <c r="L47" s="46">
        <v>6415</v>
      </c>
      <c r="M47">
        <f t="shared" si="1"/>
        <v>3.4969314426590665E-3</v>
      </c>
      <c r="N47">
        <f t="shared" si="2"/>
        <v>1.806747912040518E-2</v>
      </c>
      <c r="O47">
        <f t="shared" si="3"/>
        <v>2.0981588655954401E-2</v>
      </c>
      <c r="P47">
        <f t="shared" si="4"/>
        <v>1.6901835306185491E-2</v>
      </c>
      <c r="Q47">
        <f t="shared" si="5"/>
        <v>8.1595066995378222E-3</v>
      </c>
      <c r="R47">
        <f t="shared" si="6"/>
        <v>0.7477605068219304</v>
      </c>
    </row>
    <row r="48" spans="1:18" hidden="1" x14ac:dyDescent="0.25">
      <c r="A48" s="46">
        <v>2020</v>
      </c>
      <c r="B48" s="56">
        <v>1</v>
      </c>
      <c r="C48" s="47" t="s">
        <v>53</v>
      </c>
      <c r="D48" s="47" t="s">
        <v>52</v>
      </c>
      <c r="E48" s="47" t="s">
        <v>43</v>
      </c>
      <c r="F48" s="46">
        <v>77885</v>
      </c>
      <c r="G48" s="46">
        <v>4045</v>
      </c>
      <c r="H48" s="46">
        <v>16215</v>
      </c>
      <c r="I48" s="46">
        <v>14335</v>
      </c>
      <c r="J48" s="46">
        <v>6605</v>
      </c>
      <c r="K48" s="46">
        <v>3540</v>
      </c>
      <c r="L48" s="46">
        <v>33150</v>
      </c>
      <c r="M48">
        <f t="shared" si="1"/>
        <v>0.47150292285186413</v>
      </c>
      <c r="N48">
        <f t="shared" si="2"/>
        <v>1.8900914447572255</v>
      </c>
      <c r="O48">
        <f t="shared" si="3"/>
        <v>1.6709504076839239</v>
      </c>
      <c r="P48">
        <f t="shared" si="4"/>
        <v>0.76990773929210454</v>
      </c>
      <c r="Q48">
        <f t="shared" si="5"/>
        <v>0.41263791023376983</v>
      </c>
      <c r="R48">
        <f t="shared" si="6"/>
        <v>3.8641092441382687</v>
      </c>
    </row>
    <row r="49" spans="1:18" hidden="1" x14ac:dyDescent="0.25">
      <c r="A49" s="46">
        <v>2020</v>
      </c>
      <c r="B49" s="56">
        <v>1</v>
      </c>
      <c r="C49" s="47" t="s">
        <v>53</v>
      </c>
      <c r="D49" s="47" t="s">
        <v>52</v>
      </c>
      <c r="E49" s="47" t="s">
        <v>44</v>
      </c>
      <c r="F49" s="46">
        <v>11985</v>
      </c>
      <c r="G49" s="46">
        <v>1280</v>
      </c>
      <c r="H49" s="46">
        <v>4615</v>
      </c>
      <c r="I49" s="46">
        <v>3790</v>
      </c>
      <c r="J49" s="46">
        <v>1175</v>
      </c>
      <c r="K49" s="46">
        <v>510</v>
      </c>
      <c r="L49" s="46">
        <v>610</v>
      </c>
      <c r="M49">
        <f t="shared" si="1"/>
        <v>0.14920240822012018</v>
      </c>
      <c r="N49">
        <f t="shared" si="2"/>
        <v>0.53794462026238643</v>
      </c>
      <c r="O49">
        <f t="shared" si="3"/>
        <v>0.44177900558926209</v>
      </c>
      <c r="P49">
        <f t="shared" si="4"/>
        <v>0.13696314817081343</v>
      </c>
      <c r="Q49">
        <f t="shared" si="5"/>
        <v>5.9447834525204135E-2</v>
      </c>
      <c r="R49">
        <f t="shared" si="6"/>
        <v>7.1104272667401019E-2</v>
      </c>
    </row>
    <row r="50" spans="1:18" hidden="1" x14ac:dyDescent="0.25">
      <c r="A50" s="46">
        <v>2020</v>
      </c>
      <c r="B50" s="56">
        <v>1</v>
      </c>
      <c r="C50" s="47" t="s">
        <v>53</v>
      </c>
      <c r="D50" s="47" t="s">
        <v>52</v>
      </c>
      <c r="E50" s="47" t="s">
        <v>45</v>
      </c>
      <c r="F50" s="46">
        <v>3270</v>
      </c>
      <c r="G50" s="46">
        <v>245</v>
      </c>
      <c r="H50" s="46">
        <v>775</v>
      </c>
      <c r="I50" s="46">
        <v>910</v>
      </c>
      <c r="J50" s="46">
        <v>365</v>
      </c>
      <c r="K50" s="46">
        <v>130</v>
      </c>
      <c r="L50" s="46">
        <v>840</v>
      </c>
      <c r="M50">
        <f t="shared" si="1"/>
        <v>2.8558273448382378E-2</v>
      </c>
      <c r="N50">
        <f t="shared" si="2"/>
        <v>9.0337395602025888E-2</v>
      </c>
      <c r="O50">
        <f t="shared" si="3"/>
        <v>0.10607358709399169</v>
      </c>
      <c r="P50">
        <f t="shared" si="4"/>
        <v>4.2545999219018645E-2</v>
      </c>
      <c r="Q50">
        <f t="shared" si="5"/>
        <v>1.5153369584855955E-2</v>
      </c>
      <c r="R50">
        <f t="shared" si="6"/>
        <v>9.7914080394453859E-2</v>
      </c>
    </row>
    <row r="51" spans="1:18" hidden="1" x14ac:dyDescent="0.25">
      <c r="A51" s="46">
        <v>2020</v>
      </c>
      <c r="B51" s="56">
        <v>1</v>
      </c>
      <c r="C51" s="47" t="s">
        <v>53</v>
      </c>
      <c r="D51" s="47" t="s">
        <v>52</v>
      </c>
      <c r="E51" s="47" t="s">
        <v>46</v>
      </c>
      <c r="F51" s="46">
        <v>6035</v>
      </c>
      <c r="G51" s="46">
        <v>575</v>
      </c>
      <c r="H51" s="46">
        <v>2110</v>
      </c>
      <c r="I51" s="46">
        <v>1300</v>
      </c>
      <c r="J51" s="46">
        <v>365</v>
      </c>
      <c r="K51" s="46">
        <v>125</v>
      </c>
      <c r="L51" s="46">
        <v>1560</v>
      </c>
      <c r="M51">
        <f t="shared" si="1"/>
        <v>6.702451931763212E-2</v>
      </c>
      <c r="N51">
        <f t="shared" si="2"/>
        <v>0.24595084480035437</v>
      </c>
      <c r="O51">
        <f t="shared" si="3"/>
        <v>0.15153369584855955</v>
      </c>
      <c r="P51">
        <f t="shared" si="4"/>
        <v>4.2545999219018645E-2</v>
      </c>
      <c r="Q51">
        <f t="shared" si="5"/>
        <v>1.4570547677746111E-2</v>
      </c>
      <c r="R51">
        <f t="shared" si="6"/>
        <v>0.18184043501827146</v>
      </c>
    </row>
    <row r="52" spans="1:18" hidden="1" x14ac:dyDescent="0.25">
      <c r="A52" s="46">
        <v>2020</v>
      </c>
      <c r="B52" s="56">
        <v>1</v>
      </c>
      <c r="C52" s="47" t="s">
        <v>53</v>
      </c>
      <c r="D52" s="47" t="s">
        <v>52</v>
      </c>
      <c r="E52" s="47" t="s">
        <v>47</v>
      </c>
      <c r="F52" s="46">
        <v>8630</v>
      </c>
      <c r="G52" s="46">
        <v>605</v>
      </c>
      <c r="H52" s="46">
        <v>2805</v>
      </c>
      <c r="I52" s="46">
        <v>2185</v>
      </c>
      <c r="J52" s="46">
        <v>985</v>
      </c>
      <c r="K52" s="46">
        <v>390</v>
      </c>
      <c r="L52" s="46">
        <v>1655</v>
      </c>
      <c r="M52">
        <f t="shared" si="1"/>
        <v>7.0521450760291177E-2</v>
      </c>
      <c r="N52">
        <f t="shared" si="2"/>
        <v>0.32696308988862277</v>
      </c>
      <c r="O52">
        <f t="shared" si="3"/>
        <v>0.25469317340700204</v>
      </c>
      <c r="P52">
        <f t="shared" si="4"/>
        <v>0.11481591570063936</v>
      </c>
      <c r="Q52">
        <f t="shared" si="5"/>
        <v>4.5460108754567866E-2</v>
      </c>
      <c r="R52">
        <f t="shared" si="6"/>
        <v>0.19291405125335853</v>
      </c>
    </row>
    <row r="53" spans="1:18" hidden="1" x14ac:dyDescent="0.25">
      <c r="A53" s="46">
        <v>2020</v>
      </c>
      <c r="B53" s="56">
        <v>1</v>
      </c>
      <c r="C53" s="47" t="s">
        <v>53</v>
      </c>
      <c r="D53" s="47" t="s">
        <v>52</v>
      </c>
      <c r="E53" s="47" t="s">
        <v>48</v>
      </c>
      <c r="F53" s="46">
        <v>29115</v>
      </c>
      <c r="G53" s="46">
        <v>1100</v>
      </c>
      <c r="H53" s="46">
        <v>4895</v>
      </c>
      <c r="I53" s="46">
        <v>4980</v>
      </c>
      <c r="J53" s="46">
        <v>2930</v>
      </c>
      <c r="K53" s="46">
        <v>1875</v>
      </c>
      <c r="L53" s="46">
        <v>13335</v>
      </c>
      <c r="M53">
        <f t="shared" si="1"/>
        <v>0.12822081956416578</v>
      </c>
      <c r="N53">
        <f t="shared" si="2"/>
        <v>0.57058264706053774</v>
      </c>
      <c r="O53">
        <f t="shared" si="3"/>
        <v>0.58049061948140501</v>
      </c>
      <c r="P53">
        <f t="shared" si="4"/>
        <v>0.34153363756636884</v>
      </c>
      <c r="Q53">
        <f t="shared" si="5"/>
        <v>0.21855821516619167</v>
      </c>
      <c r="R53">
        <f t="shared" si="6"/>
        <v>1.5543860262619551</v>
      </c>
    </row>
    <row r="54" spans="1:18" hidden="1" x14ac:dyDescent="0.25">
      <c r="A54" s="46">
        <v>2020</v>
      </c>
      <c r="B54" s="56">
        <v>1</v>
      </c>
      <c r="C54" s="47" t="s">
        <v>53</v>
      </c>
      <c r="D54" s="47" t="s">
        <v>52</v>
      </c>
      <c r="E54" s="47" t="s">
        <v>49</v>
      </c>
      <c r="F54" s="46">
        <v>11635</v>
      </c>
      <c r="G54" s="46">
        <v>195</v>
      </c>
      <c r="H54" s="46">
        <v>835</v>
      </c>
      <c r="I54" s="46">
        <v>975</v>
      </c>
      <c r="J54" s="46">
        <v>620</v>
      </c>
      <c r="K54" s="46">
        <v>410</v>
      </c>
      <c r="L54" s="46">
        <v>8600</v>
      </c>
      <c r="M54">
        <f t="shared" si="1"/>
        <v>2.2730054377283933E-2</v>
      </c>
      <c r="N54">
        <f t="shared" si="2"/>
        <v>9.7331258487344016E-2</v>
      </c>
      <c r="O54">
        <f t="shared" si="3"/>
        <v>0.11365027188641966</v>
      </c>
      <c r="P54">
        <f t="shared" si="4"/>
        <v>7.2269916481620719E-2</v>
      </c>
      <c r="Q54">
        <f t="shared" si="5"/>
        <v>4.7791396383007244E-2</v>
      </c>
      <c r="R54">
        <f t="shared" si="6"/>
        <v>1.0024536802289323</v>
      </c>
    </row>
    <row r="55" spans="1:18" hidden="1" x14ac:dyDescent="0.25">
      <c r="A55" s="46">
        <v>2020</v>
      </c>
      <c r="B55" s="56">
        <v>1</v>
      </c>
      <c r="C55" s="47" t="s">
        <v>53</v>
      </c>
      <c r="D55" s="47" t="s">
        <v>52</v>
      </c>
      <c r="E55" s="47" t="s">
        <v>50</v>
      </c>
      <c r="F55" s="46">
        <v>7220</v>
      </c>
      <c r="G55" s="46">
        <v>45</v>
      </c>
      <c r="H55" s="46">
        <v>180</v>
      </c>
      <c r="I55" s="46">
        <v>190</v>
      </c>
      <c r="J55" s="46">
        <v>160</v>
      </c>
      <c r="K55" s="46">
        <v>95</v>
      </c>
      <c r="L55" s="46">
        <v>6550</v>
      </c>
      <c r="M55">
        <f t="shared" si="1"/>
        <v>5.2453971639886002E-3</v>
      </c>
      <c r="N55">
        <f t="shared" si="2"/>
        <v>2.0981588655954401E-2</v>
      </c>
      <c r="O55">
        <f t="shared" si="3"/>
        <v>2.214723247017409E-2</v>
      </c>
      <c r="P55">
        <f t="shared" si="4"/>
        <v>1.8650301027515023E-2</v>
      </c>
      <c r="Q55">
        <f t="shared" si="5"/>
        <v>1.1073616235087045E-2</v>
      </c>
      <c r="R55">
        <f t="shared" si="6"/>
        <v>0.76349669831389622</v>
      </c>
    </row>
    <row r="56" spans="1:18" x14ac:dyDescent="0.25">
      <c r="A56" s="46">
        <v>2020</v>
      </c>
      <c r="B56" s="56">
        <v>101</v>
      </c>
      <c r="C56" s="47" t="s">
        <v>54</v>
      </c>
      <c r="D56" s="47" t="s">
        <v>42</v>
      </c>
      <c r="E56" s="47" t="s">
        <v>43</v>
      </c>
      <c r="F56" s="46">
        <v>30950</v>
      </c>
      <c r="G56" s="46">
        <v>1550</v>
      </c>
      <c r="H56" s="46">
        <v>6020</v>
      </c>
      <c r="I56" s="46">
        <v>5345</v>
      </c>
      <c r="J56" s="46">
        <v>3020</v>
      </c>
      <c r="K56" s="46">
        <v>1740</v>
      </c>
      <c r="L56" s="46">
        <v>13275</v>
      </c>
      <c r="M56">
        <f t="shared" si="1"/>
        <v>0.18067479120405178</v>
      </c>
      <c r="N56">
        <f t="shared" si="2"/>
        <v>0.70171757616025277</v>
      </c>
      <c r="O56">
        <f t="shared" si="3"/>
        <v>0.62303661870042371</v>
      </c>
      <c r="P56">
        <f t="shared" si="4"/>
        <v>0.35202443189434601</v>
      </c>
      <c r="Q56">
        <f t="shared" si="5"/>
        <v>0.20282202367422586</v>
      </c>
      <c r="R56">
        <f t="shared" si="6"/>
        <v>1.547392163376637</v>
      </c>
    </row>
    <row r="57" spans="1:18" hidden="1" x14ac:dyDescent="0.25">
      <c r="A57" s="46">
        <v>2020</v>
      </c>
      <c r="B57" s="56">
        <v>101</v>
      </c>
      <c r="C57" s="47" t="s">
        <v>54</v>
      </c>
      <c r="D57" s="47" t="s">
        <v>42</v>
      </c>
      <c r="E57" s="47" t="s">
        <v>44</v>
      </c>
      <c r="F57" s="46">
        <v>3255</v>
      </c>
      <c r="G57" s="46">
        <v>380</v>
      </c>
      <c r="H57" s="46">
        <v>1200</v>
      </c>
      <c r="I57" s="46">
        <v>900</v>
      </c>
      <c r="J57" s="46">
        <v>360</v>
      </c>
      <c r="K57" s="46">
        <v>195</v>
      </c>
      <c r="L57" s="46">
        <v>220</v>
      </c>
      <c r="M57">
        <f t="shared" si="1"/>
        <v>4.429446494034818E-2</v>
      </c>
      <c r="N57">
        <f t="shared" si="2"/>
        <v>0.13987725770636267</v>
      </c>
      <c r="O57">
        <f t="shared" si="3"/>
        <v>0.104907943279772</v>
      </c>
      <c r="P57">
        <f t="shared" si="4"/>
        <v>4.1963177311908802E-2</v>
      </c>
      <c r="Q57">
        <f t="shared" si="5"/>
        <v>2.2730054377283933E-2</v>
      </c>
      <c r="R57">
        <f t="shared" si="6"/>
        <v>2.5644163912833157E-2</v>
      </c>
    </row>
    <row r="58" spans="1:18" hidden="1" x14ac:dyDescent="0.25">
      <c r="A58" s="46">
        <v>2020</v>
      </c>
      <c r="B58" s="56">
        <v>101</v>
      </c>
      <c r="C58" s="47" t="s">
        <v>54</v>
      </c>
      <c r="D58" s="47" t="s">
        <v>42</v>
      </c>
      <c r="E58" s="47" t="s">
        <v>45</v>
      </c>
      <c r="F58" s="46">
        <v>1030</v>
      </c>
      <c r="G58" s="46">
        <v>105</v>
      </c>
      <c r="H58" s="46">
        <v>270</v>
      </c>
      <c r="I58" s="46">
        <v>240</v>
      </c>
      <c r="J58" s="46">
        <v>105</v>
      </c>
      <c r="K58" s="46">
        <v>65</v>
      </c>
      <c r="L58" s="46">
        <v>250</v>
      </c>
      <c r="M58">
        <f t="shared" si="1"/>
        <v>1.2239260049306732E-2</v>
      </c>
      <c r="N58">
        <f t="shared" si="2"/>
        <v>3.1472382983931603E-2</v>
      </c>
      <c r="O58">
        <f t="shared" si="3"/>
        <v>2.7975451541272532E-2</v>
      </c>
      <c r="P58">
        <f t="shared" si="4"/>
        <v>1.2239260049306732E-2</v>
      </c>
      <c r="Q58">
        <f t="shared" si="5"/>
        <v>7.5766847924279776E-3</v>
      </c>
      <c r="R58">
        <f t="shared" si="6"/>
        <v>2.9141095355492221E-2</v>
      </c>
    </row>
    <row r="59" spans="1:18" hidden="1" x14ac:dyDescent="0.25">
      <c r="A59" s="46">
        <v>2020</v>
      </c>
      <c r="B59" s="56">
        <v>101</v>
      </c>
      <c r="C59" s="47" t="s">
        <v>54</v>
      </c>
      <c r="D59" s="47" t="s">
        <v>42</v>
      </c>
      <c r="E59" s="47" t="s">
        <v>46</v>
      </c>
      <c r="F59" s="46">
        <v>2775</v>
      </c>
      <c r="G59" s="46">
        <v>250</v>
      </c>
      <c r="H59" s="46">
        <v>975</v>
      </c>
      <c r="I59" s="46">
        <v>730</v>
      </c>
      <c r="J59" s="46">
        <v>185</v>
      </c>
      <c r="K59" s="46">
        <v>45</v>
      </c>
      <c r="L59" s="46">
        <v>595</v>
      </c>
      <c r="M59">
        <f t="shared" si="1"/>
        <v>2.9141095355492221E-2</v>
      </c>
      <c r="N59">
        <f t="shared" si="2"/>
        <v>0.11365027188641966</v>
      </c>
      <c r="O59">
        <f t="shared" si="3"/>
        <v>8.5091998438037289E-2</v>
      </c>
      <c r="P59">
        <f t="shared" si="4"/>
        <v>2.1564410563064244E-2</v>
      </c>
      <c r="Q59">
        <f t="shared" si="5"/>
        <v>5.2453971639886002E-3</v>
      </c>
      <c r="R59">
        <f t="shared" si="6"/>
        <v>6.9355806946071491E-2</v>
      </c>
    </row>
    <row r="60" spans="1:18" hidden="1" x14ac:dyDescent="0.25">
      <c r="A60" s="46">
        <v>2020</v>
      </c>
      <c r="B60" s="56">
        <v>101</v>
      </c>
      <c r="C60" s="47" t="s">
        <v>54</v>
      </c>
      <c r="D60" s="47" t="s">
        <v>42</v>
      </c>
      <c r="E60" s="47" t="s">
        <v>47</v>
      </c>
      <c r="F60" s="46">
        <v>4520</v>
      </c>
      <c r="G60" s="46">
        <v>255</v>
      </c>
      <c r="H60" s="46">
        <v>1435</v>
      </c>
      <c r="I60" s="46">
        <v>1215</v>
      </c>
      <c r="J60" s="46">
        <v>635</v>
      </c>
      <c r="K60" s="46">
        <v>230</v>
      </c>
      <c r="L60" s="46">
        <v>745</v>
      </c>
      <c r="M60">
        <f t="shared" si="1"/>
        <v>2.9723917262602068E-2</v>
      </c>
      <c r="N60">
        <f t="shared" si="2"/>
        <v>0.16726988734052536</v>
      </c>
      <c r="O60">
        <f t="shared" si="3"/>
        <v>0.1416257234276922</v>
      </c>
      <c r="P60">
        <f t="shared" si="4"/>
        <v>7.4018382202950248E-2</v>
      </c>
      <c r="Q60">
        <f t="shared" si="5"/>
        <v>2.6809807727052843E-2</v>
      </c>
      <c r="R60">
        <f t="shared" si="6"/>
        <v>8.6840464159366818E-2</v>
      </c>
    </row>
    <row r="61" spans="1:18" hidden="1" x14ac:dyDescent="0.25">
      <c r="A61" s="46">
        <v>2020</v>
      </c>
      <c r="B61" s="56">
        <v>101</v>
      </c>
      <c r="C61" s="47" t="s">
        <v>54</v>
      </c>
      <c r="D61" s="47" t="s">
        <v>42</v>
      </c>
      <c r="E61" s="47" t="s">
        <v>48</v>
      </c>
      <c r="F61" s="46">
        <v>12265</v>
      </c>
      <c r="G61" s="46">
        <v>500</v>
      </c>
      <c r="H61" s="46">
        <v>1845</v>
      </c>
      <c r="I61" s="46">
        <v>1895</v>
      </c>
      <c r="J61" s="46">
        <v>1465</v>
      </c>
      <c r="K61" s="46">
        <v>1000</v>
      </c>
      <c r="L61" s="46">
        <v>5560</v>
      </c>
      <c r="M61">
        <f t="shared" si="1"/>
        <v>5.8282190710984443E-2</v>
      </c>
      <c r="N61">
        <f t="shared" si="2"/>
        <v>0.21506128372353259</v>
      </c>
      <c r="O61">
        <f t="shared" si="3"/>
        <v>0.22088950279463104</v>
      </c>
      <c r="P61">
        <f t="shared" si="4"/>
        <v>0.17076681878318442</v>
      </c>
      <c r="Q61">
        <f t="shared" si="5"/>
        <v>0.11656438142196889</v>
      </c>
      <c r="R61">
        <f t="shared" si="6"/>
        <v>0.648097960706147</v>
      </c>
    </row>
    <row r="62" spans="1:18" hidden="1" x14ac:dyDescent="0.25">
      <c r="A62" s="46">
        <v>2020</v>
      </c>
      <c r="B62" s="56">
        <v>101</v>
      </c>
      <c r="C62" s="47" t="s">
        <v>54</v>
      </c>
      <c r="D62" s="47" t="s">
        <v>42</v>
      </c>
      <c r="E62" s="47" t="s">
        <v>49</v>
      </c>
      <c r="F62" s="46">
        <v>4405</v>
      </c>
      <c r="G62" s="46">
        <v>50</v>
      </c>
      <c r="H62" s="46">
        <v>255</v>
      </c>
      <c r="I62" s="46">
        <v>300</v>
      </c>
      <c r="J62" s="46">
        <v>215</v>
      </c>
      <c r="K62" s="46">
        <v>170</v>
      </c>
      <c r="L62" s="46">
        <v>3410</v>
      </c>
      <c r="M62">
        <f t="shared" si="1"/>
        <v>5.8282190710984439E-3</v>
      </c>
      <c r="N62">
        <f t="shared" si="2"/>
        <v>2.9723917262602068E-2</v>
      </c>
      <c r="O62">
        <f t="shared" si="3"/>
        <v>3.4969314426590667E-2</v>
      </c>
      <c r="P62">
        <f t="shared" si="4"/>
        <v>2.5061342005723308E-2</v>
      </c>
      <c r="Q62">
        <f t="shared" si="5"/>
        <v>1.9815944841734712E-2</v>
      </c>
      <c r="R62">
        <f t="shared" si="6"/>
        <v>0.39748454064891398</v>
      </c>
    </row>
    <row r="63" spans="1:18" hidden="1" x14ac:dyDescent="0.25">
      <c r="A63" s="46">
        <v>2020</v>
      </c>
      <c r="B63" s="56">
        <v>101</v>
      </c>
      <c r="C63" s="47" t="s">
        <v>54</v>
      </c>
      <c r="D63" s="47" t="s">
        <v>42</v>
      </c>
      <c r="E63" s="47" t="s">
        <v>50</v>
      </c>
      <c r="F63" s="46">
        <v>2705</v>
      </c>
      <c r="G63" s="46">
        <v>10</v>
      </c>
      <c r="H63" s="46">
        <v>45</v>
      </c>
      <c r="I63" s="46">
        <v>60</v>
      </c>
      <c r="J63" s="46">
        <v>60</v>
      </c>
      <c r="K63" s="46">
        <v>35</v>
      </c>
      <c r="L63" s="46">
        <v>2495</v>
      </c>
      <c r="M63">
        <f t="shared" si="1"/>
        <v>1.1656438142196889E-3</v>
      </c>
      <c r="N63">
        <f t="shared" si="2"/>
        <v>5.2453971639886002E-3</v>
      </c>
      <c r="O63">
        <f t="shared" si="3"/>
        <v>6.993862885318133E-3</v>
      </c>
      <c r="P63">
        <f t="shared" si="4"/>
        <v>6.993862885318133E-3</v>
      </c>
      <c r="Q63">
        <f t="shared" si="5"/>
        <v>4.0797533497689111E-3</v>
      </c>
      <c r="R63">
        <f t="shared" si="6"/>
        <v>0.29082813164781235</v>
      </c>
    </row>
    <row r="64" spans="1:18" hidden="1" x14ac:dyDescent="0.25">
      <c r="A64" s="46">
        <v>2020</v>
      </c>
      <c r="B64" s="56">
        <v>101</v>
      </c>
      <c r="C64" s="47" t="s">
        <v>54</v>
      </c>
      <c r="D64" s="47" t="s">
        <v>51</v>
      </c>
      <c r="E64" s="47" t="s">
        <v>43</v>
      </c>
      <c r="F64" s="46">
        <v>16600</v>
      </c>
      <c r="G64" s="46">
        <v>865</v>
      </c>
      <c r="H64" s="46">
        <v>3290</v>
      </c>
      <c r="I64" s="46">
        <v>3185</v>
      </c>
      <c r="J64" s="46">
        <v>1745</v>
      </c>
      <c r="K64" s="46">
        <v>910</v>
      </c>
      <c r="L64" s="46">
        <v>6600</v>
      </c>
      <c r="M64">
        <f t="shared" si="1"/>
        <v>0.10082818993000309</v>
      </c>
      <c r="N64">
        <f t="shared" si="2"/>
        <v>0.38349681487827764</v>
      </c>
      <c r="O64">
        <f t="shared" si="3"/>
        <v>0.37125755482897094</v>
      </c>
      <c r="P64">
        <f t="shared" si="4"/>
        <v>0.20340484558133573</v>
      </c>
      <c r="Q64">
        <f t="shared" si="5"/>
        <v>0.10607358709399169</v>
      </c>
      <c r="R64">
        <f t="shared" si="6"/>
        <v>0.76932491738499464</v>
      </c>
    </row>
    <row r="65" spans="1:18" hidden="1" x14ac:dyDescent="0.25">
      <c r="A65" s="46">
        <v>2020</v>
      </c>
      <c r="B65" s="56">
        <v>101</v>
      </c>
      <c r="C65" s="47" t="s">
        <v>54</v>
      </c>
      <c r="D65" s="47" t="s">
        <v>51</v>
      </c>
      <c r="E65" s="47" t="s">
        <v>44</v>
      </c>
      <c r="F65" s="46">
        <v>1705</v>
      </c>
      <c r="G65" s="46">
        <v>185</v>
      </c>
      <c r="H65" s="46">
        <v>620</v>
      </c>
      <c r="I65" s="46">
        <v>490</v>
      </c>
      <c r="J65" s="46">
        <v>200</v>
      </c>
      <c r="K65" s="46">
        <v>105</v>
      </c>
      <c r="L65" s="46">
        <v>105</v>
      </c>
      <c r="M65">
        <f t="shared" si="1"/>
        <v>2.1564410563064244E-2</v>
      </c>
      <c r="N65">
        <f t="shared" si="2"/>
        <v>7.2269916481620719E-2</v>
      </c>
      <c r="O65">
        <f t="shared" si="3"/>
        <v>5.7116546896764757E-2</v>
      </c>
      <c r="P65">
        <f t="shared" si="4"/>
        <v>2.3312876284393776E-2</v>
      </c>
      <c r="Q65">
        <f t="shared" si="5"/>
        <v>1.2239260049306732E-2</v>
      </c>
      <c r="R65">
        <f t="shared" si="6"/>
        <v>1.2239260049306732E-2</v>
      </c>
    </row>
    <row r="66" spans="1:18" hidden="1" x14ac:dyDescent="0.25">
      <c r="A66" s="46">
        <v>2020</v>
      </c>
      <c r="B66" s="56">
        <v>101</v>
      </c>
      <c r="C66" s="47" t="s">
        <v>54</v>
      </c>
      <c r="D66" s="47" t="s">
        <v>51</v>
      </c>
      <c r="E66" s="47" t="s">
        <v>45</v>
      </c>
      <c r="F66" s="46">
        <v>580</v>
      </c>
      <c r="G66" s="46">
        <v>55</v>
      </c>
      <c r="H66" s="46">
        <v>160</v>
      </c>
      <c r="I66" s="46">
        <v>150</v>
      </c>
      <c r="J66" s="46">
        <v>65</v>
      </c>
      <c r="K66" s="46">
        <v>35</v>
      </c>
      <c r="L66" s="46">
        <v>110</v>
      </c>
      <c r="M66">
        <f t="shared" si="1"/>
        <v>6.4110409782082893E-3</v>
      </c>
      <c r="N66">
        <f t="shared" si="2"/>
        <v>1.8650301027515023E-2</v>
      </c>
      <c r="O66">
        <f t="shared" si="3"/>
        <v>1.7484657213295333E-2</v>
      </c>
      <c r="P66">
        <f t="shared" si="4"/>
        <v>7.5766847924279776E-3</v>
      </c>
      <c r="Q66">
        <f t="shared" si="5"/>
        <v>4.0797533497689111E-3</v>
      </c>
      <c r="R66">
        <f t="shared" si="6"/>
        <v>1.2822081956416579E-2</v>
      </c>
    </row>
    <row r="67" spans="1:18" hidden="1" x14ac:dyDescent="0.25">
      <c r="A67" s="46">
        <v>2020</v>
      </c>
      <c r="B67" s="56">
        <v>101</v>
      </c>
      <c r="C67" s="47" t="s">
        <v>54</v>
      </c>
      <c r="D67" s="47" t="s">
        <v>51</v>
      </c>
      <c r="E67" s="47" t="s">
        <v>46</v>
      </c>
      <c r="F67" s="46">
        <v>1700</v>
      </c>
      <c r="G67" s="46">
        <v>160</v>
      </c>
      <c r="H67" s="46">
        <v>590</v>
      </c>
      <c r="I67" s="46">
        <v>505</v>
      </c>
      <c r="J67" s="46">
        <v>115</v>
      </c>
      <c r="K67" s="46">
        <v>25</v>
      </c>
      <c r="L67" s="46">
        <v>300</v>
      </c>
      <c r="M67">
        <f t="shared" si="1"/>
        <v>1.8650301027515023E-2</v>
      </c>
      <c r="N67">
        <f t="shared" si="2"/>
        <v>6.8772985038961648E-2</v>
      </c>
      <c r="O67">
        <f t="shared" si="3"/>
        <v>5.8865012618094292E-2</v>
      </c>
      <c r="P67">
        <f t="shared" si="4"/>
        <v>1.3404903863526422E-2</v>
      </c>
      <c r="Q67">
        <f t="shared" si="5"/>
        <v>2.914109535549222E-3</v>
      </c>
      <c r="R67">
        <f t="shared" si="6"/>
        <v>3.4969314426590667E-2</v>
      </c>
    </row>
    <row r="68" spans="1:18" hidden="1" x14ac:dyDescent="0.25">
      <c r="A68" s="46">
        <v>2020</v>
      </c>
      <c r="B68" s="56">
        <v>101</v>
      </c>
      <c r="C68" s="47" t="s">
        <v>54</v>
      </c>
      <c r="D68" s="47" t="s">
        <v>51</v>
      </c>
      <c r="E68" s="47" t="s">
        <v>47</v>
      </c>
      <c r="F68" s="46">
        <v>2670</v>
      </c>
      <c r="G68" s="46">
        <v>155</v>
      </c>
      <c r="H68" s="46">
        <v>820</v>
      </c>
      <c r="I68" s="46">
        <v>770</v>
      </c>
      <c r="J68" s="46">
        <v>390</v>
      </c>
      <c r="K68" s="46">
        <v>140</v>
      </c>
      <c r="L68" s="46">
        <v>395</v>
      </c>
      <c r="M68">
        <f t="shared" si="1"/>
        <v>1.806747912040518E-2</v>
      </c>
      <c r="N68">
        <f t="shared" si="2"/>
        <v>9.5582792766014488E-2</v>
      </c>
      <c r="O68">
        <f t="shared" si="3"/>
        <v>8.9754573694916046E-2</v>
      </c>
      <c r="P68">
        <f t="shared" si="4"/>
        <v>4.5460108754567866E-2</v>
      </c>
      <c r="Q68">
        <f t="shared" si="5"/>
        <v>1.6319013399075644E-2</v>
      </c>
      <c r="R68">
        <f t="shared" si="6"/>
        <v>4.6042930661677708E-2</v>
      </c>
    </row>
    <row r="69" spans="1:18" hidden="1" x14ac:dyDescent="0.25">
      <c r="A69" s="46">
        <v>2020</v>
      </c>
      <c r="B69" s="56">
        <v>101</v>
      </c>
      <c r="C69" s="47" t="s">
        <v>54</v>
      </c>
      <c r="D69" s="47" t="s">
        <v>51</v>
      </c>
      <c r="E69" s="47" t="s">
        <v>48</v>
      </c>
      <c r="F69" s="46">
        <v>6465</v>
      </c>
      <c r="G69" s="46">
        <v>275</v>
      </c>
      <c r="H69" s="46">
        <v>955</v>
      </c>
      <c r="I69" s="46">
        <v>1085</v>
      </c>
      <c r="J69" s="46">
        <v>840</v>
      </c>
      <c r="K69" s="46">
        <v>530</v>
      </c>
      <c r="L69" s="46">
        <v>2780</v>
      </c>
      <c r="M69">
        <f t="shared" si="1"/>
        <v>3.2055204891041446E-2</v>
      </c>
      <c r="N69">
        <f t="shared" si="2"/>
        <v>0.11131898425798029</v>
      </c>
      <c r="O69">
        <f t="shared" si="3"/>
        <v>0.12647235384283623</v>
      </c>
      <c r="P69">
        <f t="shared" si="4"/>
        <v>9.7914080394453859E-2</v>
      </c>
      <c r="Q69">
        <f t="shared" si="5"/>
        <v>6.1779122153643513E-2</v>
      </c>
      <c r="R69">
        <f t="shared" si="6"/>
        <v>0.3240489803530735</v>
      </c>
    </row>
    <row r="70" spans="1:18" hidden="1" x14ac:dyDescent="0.25">
      <c r="A70" s="46">
        <v>2020</v>
      </c>
      <c r="B70" s="56">
        <v>101</v>
      </c>
      <c r="C70" s="47" t="s">
        <v>54</v>
      </c>
      <c r="D70" s="47" t="s">
        <v>51</v>
      </c>
      <c r="E70" s="47" t="s">
        <v>49</v>
      </c>
      <c r="F70" s="46">
        <v>2205</v>
      </c>
      <c r="G70" s="46">
        <v>30</v>
      </c>
      <c r="H70" s="46">
        <v>135</v>
      </c>
      <c r="I70" s="46">
        <v>150</v>
      </c>
      <c r="J70" s="46">
        <v>110</v>
      </c>
      <c r="K70" s="46">
        <v>65</v>
      </c>
      <c r="L70" s="46">
        <v>1715</v>
      </c>
      <c r="M70">
        <f t="shared" si="1"/>
        <v>3.4969314426590665E-3</v>
      </c>
      <c r="N70">
        <f t="shared" si="2"/>
        <v>1.5736191491965801E-2</v>
      </c>
      <c r="O70">
        <f t="shared" si="3"/>
        <v>1.7484657213295333E-2</v>
      </c>
      <c r="P70">
        <f t="shared" si="4"/>
        <v>1.2822081956416579E-2</v>
      </c>
      <c r="Q70">
        <f t="shared" si="5"/>
        <v>7.5766847924279776E-3</v>
      </c>
      <c r="R70">
        <f t="shared" si="6"/>
        <v>0.19990791413867665</v>
      </c>
    </row>
    <row r="71" spans="1:18" hidden="1" x14ac:dyDescent="0.25">
      <c r="A71" s="46">
        <v>2020</v>
      </c>
      <c r="B71" s="56">
        <v>101</v>
      </c>
      <c r="C71" s="47" t="s">
        <v>54</v>
      </c>
      <c r="D71" s="47" t="s">
        <v>51</v>
      </c>
      <c r="E71" s="47" t="s">
        <v>50</v>
      </c>
      <c r="F71" s="46">
        <v>1280</v>
      </c>
      <c r="G71" s="46">
        <v>5</v>
      </c>
      <c r="H71" s="46">
        <v>15</v>
      </c>
      <c r="I71" s="46">
        <v>30</v>
      </c>
      <c r="J71" s="46">
        <v>30</v>
      </c>
      <c r="K71" s="46">
        <v>15</v>
      </c>
      <c r="L71" s="46">
        <v>1190</v>
      </c>
      <c r="M71">
        <f t="shared" si="1"/>
        <v>5.8282190710984446E-4</v>
      </c>
      <c r="N71">
        <f t="shared" si="2"/>
        <v>1.7484657213295333E-3</v>
      </c>
      <c r="O71">
        <f t="shared" si="3"/>
        <v>3.4969314426590665E-3</v>
      </c>
      <c r="P71">
        <f t="shared" si="4"/>
        <v>3.4969314426590665E-3</v>
      </c>
      <c r="Q71">
        <f t="shared" si="5"/>
        <v>1.7484657213295333E-3</v>
      </c>
      <c r="R71">
        <f t="shared" si="6"/>
        <v>0.13871161389214298</v>
      </c>
    </row>
    <row r="72" spans="1:18" hidden="1" x14ac:dyDescent="0.25">
      <c r="A72" s="46">
        <v>2020</v>
      </c>
      <c r="B72" s="56">
        <v>101</v>
      </c>
      <c r="C72" s="47" t="s">
        <v>54</v>
      </c>
      <c r="D72" s="47" t="s">
        <v>52</v>
      </c>
      <c r="E72" s="47" t="s">
        <v>43</v>
      </c>
      <c r="F72" s="46">
        <v>14350</v>
      </c>
      <c r="G72" s="46">
        <v>685</v>
      </c>
      <c r="H72" s="46">
        <v>2725</v>
      </c>
      <c r="I72" s="46">
        <v>2160</v>
      </c>
      <c r="J72" s="46">
        <v>1275</v>
      </c>
      <c r="K72" s="46">
        <v>830</v>
      </c>
      <c r="L72" s="46">
        <v>6670</v>
      </c>
      <c r="M72">
        <f t="shared" si="1"/>
        <v>7.984660127404869E-2</v>
      </c>
      <c r="N72">
        <f t="shared" si="2"/>
        <v>0.31763793937486523</v>
      </c>
      <c r="O72">
        <f t="shared" si="3"/>
        <v>0.25177906387145282</v>
      </c>
      <c r="P72">
        <f t="shared" si="4"/>
        <v>0.14861958631301034</v>
      </c>
      <c r="Q72">
        <f t="shared" si="5"/>
        <v>9.6748436580234173E-2</v>
      </c>
      <c r="R72">
        <f t="shared" si="6"/>
        <v>0.77748442408453244</v>
      </c>
    </row>
    <row r="73" spans="1:18" hidden="1" x14ac:dyDescent="0.25">
      <c r="A73" s="46">
        <v>2020</v>
      </c>
      <c r="B73" s="56">
        <v>101</v>
      </c>
      <c r="C73" s="47" t="s">
        <v>54</v>
      </c>
      <c r="D73" s="47" t="s">
        <v>52</v>
      </c>
      <c r="E73" s="47" t="s">
        <v>44</v>
      </c>
      <c r="F73" s="46">
        <v>1550</v>
      </c>
      <c r="G73" s="46">
        <v>195</v>
      </c>
      <c r="H73" s="46">
        <v>580</v>
      </c>
      <c r="I73" s="46">
        <v>415</v>
      </c>
      <c r="J73" s="46">
        <v>160</v>
      </c>
      <c r="K73" s="46">
        <v>90</v>
      </c>
      <c r="L73" s="46">
        <v>110</v>
      </c>
      <c r="M73">
        <f t="shared" ref="M73:M136" si="7">G73/$F$8*100</f>
        <v>2.2730054377283933E-2</v>
      </c>
      <c r="N73">
        <f t="shared" ref="N73:N136" si="8">H73/$F$8*100</f>
        <v>6.7607341224741963E-2</v>
      </c>
      <c r="O73">
        <f t="shared" ref="O73:O136" si="9">I73/$F$8*100</f>
        <v>4.8374218290117087E-2</v>
      </c>
      <c r="P73">
        <f t="shared" ref="P73:P136" si="10">J73/$F$8*100</f>
        <v>1.8650301027515023E-2</v>
      </c>
      <c r="Q73">
        <f t="shared" ref="Q73:Q136" si="11">K73/$F$8*100</f>
        <v>1.04907943279772E-2</v>
      </c>
      <c r="R73">
        <f t="shared" ref="R73:R136" si="12">L73/$F$8*100</f>
        <v>1.2822081956416579E-2</v>
      </c>
    </row>
    <row r="74" spans="1:18" hidden="1" x14ac:dyDescent="0.25">
      <c r="A74" s="46">
        <v>2020</v>
      </c>
      <c r="B74" s="56">
        <v>101</v>
      </c>
      <c r="C74" s="47" t="s">
        <v>54</v>
      </c>
      <c r="D74" s="47" t="s">
        <v>52</v>
      </c>
      <c r="E74" s="47" t="s">
        <v>45</v>
      </c>
      <c r="F74" s="46">
        <v>450</v>
      </c>
      <c r="G74" s="46">
        <v>45</v>
      </c>
      <c r="H74" s="46">
        <v>105</v>
      </c>
      <c r="I74" s="46">
        <v>85</v>
      </c>
      <c r="J74" s="46">
        <v>40</v>
      </c>
      <c r="K74" s="46">
        <v>30</v>
      </c>
      <c r="L74" s="46">
        <v>140</v>
      </c>
      <c r="M74">
        <f t="shared" si="7"/>
        <v>5.2453971639886002E-3</v>
      </c>
      <c r="N74">
        <f t="shared" si="8"/>
        <v>1.2239260049306732E-2</v>
      </c>
      <c r="O74">
        <f t="shared" si="9"/>
        <v>9.9079724208673559E-3</v>
      </c>
      <c r="P74">
        <f t="shared" si="10"/>
        <v>4.6625752568787556E-3</v>
      </c>
      <c r="Q74">
        <f t="shared" si="11"/>
        <v>3.4969314426590665E-3</v>
      </c>
      <c r="R74">
        <f t="shared" si="12"/>
        <v>1.6319013399075644E-2</v>
      </c>
    </row>
    <row r="75" spans="1:18" hidden="1" x14ac:dyDescent="0.25">
      <c r="A75" s="46">
        <v>2020</v>
      </c>
      <c r="B75" s="56">
        <v>101</v>
      </c>
      <c r="C75" s="47" t="s">
        <v>54</v>
      </c>
      <c r="D75" s="47" t="s">
        <v>52</v>
      </c>
      <c r="E75" s="47" t="s">
        <v>46</v>
      </c>
      <c r="F75" s="46">
        <v>1075</v>
      </c>
      <c r="G75" s="46">
        <v>85</v>
      </c>
      <c r="H75" s="46">
        <v>385</v>
      </c>
      <c r="I75" s="46">
        <v>225</v>
      </c>
      <c r="J75" s="46">
        <v>70</v>
      </c>
      <c r="K75" s="46">
        <v>20</v>
      </c>
      <c r="L75" s="46">
        <v>295</v>
      </c>
      <c r="M75">
        <f t="shared" si="7"/>
        <v>9.9079724208673559E-3</v>
      </c>
      <c r="N75">
        <f t="shared" si="8"/>
        <v>4.4877286847458023E-2</v>
      </c>
      <c r="O75">
        <f t="shared" si="9"/>
        <v>2.6226985819943E-2</v>
      </c>
      <c r="P75">
        <f t="shared" si="10"/>
        <v>8.1595066995378222E-3</v>
      </c>
      <c r="Q75">
        <f t="shared" si="11"/>
        <v>2.3312876284393778E-3</v>
      </c>
      <c r="R75">
        <f t="shared" si="12"/>
        <v>3.4386492519480824E-2</v>
      </c>
    </row>
    <row r="76" spans="1:18" hidden="1" x14ac:dyDescent="0.25">
      <c r="A76" s="46">
        <v>2020</v>
      </c>
      <c r="B76" s="56">
        <v>101</v>
      </c>
      <c r="C76" s="47" t="s">
        <v>54</v>
      </c>
      <c r="D76" s="47" t="s">
        <v>52</v>
      </c>
      <c r="E76" s="47" t="s">
        <v>47</v>
      </c>
      <c r="F76" s="46">
        <v>1850</v>
      </c>
      <c r="G76" s="46">
        <v>100</v>
      </c>
      <c r="H76" s="46">
        <v>615</v>
      </c>
      <c r="I76" s="46">
        <v>445</v>
      </c>
      <c r="J76" s="46">
        <v>245</v>
      </c>
      <c r="K76" s="46">
        <v>95</v>
      </c>
      <c r="L76" s="46">
        <v>350</v>
      </c>
      <c r="M76">
        <f t="shared" si="7"/>
        <v>1.1656438142196888E-2</v>
      </c>
      <c r="N76">
        <f t="shared" si="8"/>
        <v>7.1687094574510862E-2</v>
      </c>
      <c r="O76">
        <f t="shared" si="9"/>
        <v>5.1871149732776158E-2</v>
      </c>
      <c r="P76">
        <f t="shared" si="10"/>
        <v>2.8558273448382378E-2</v>
      </c>
      <c r="Q76">
        <f t="shared" si="11"/>
        <v>1.1073616235087045E-2</v>
      </c>
      <c r="R76">
        <f t="shared" si="12"/>
        <v>4.0797533497689109E-2</v>
      </c>
    </row>
    <row r="77" spans="1:18" hidden="1" x14ac:dyDescent="0.25">
      <c r="A77" s="46">
        <v>2020</v>
      </c>
      <c r="B77" s="56">
        <v>101</v>
      </c>
      <c r="C77" s="47" t="s">
        <v>54</v>
      </c>
      <c r="D77" s="47" t="s">
        <v>52</v>
      </c>
      <c r="E77" s="47" t="s">
        <v>48</v>
      </c>
      <c r="F77" s="46">
        <v>5800</v>
      </c>
      <c r="G77" s="46">
        <v>225</v>
      </c>
      <c r="H77" s="46">
        <v>890</v>
      </c>
      <c r="I77" s="46">
        <v>810</v>
      </c>
      <c r="J77" s="46">
        <v>625</v>
      </c>
      <c r="K77" s="46">
        <v>470</v>
      </c>
      <c r="L77" s="46">
        <v>2780</v>
      </c>
      <c r="M77">
        <f t="shared" si="7"/>
        <v>2.6226985819943E-2</v>
      </c>
      <c r="N77">
        <f t="shared" si="8"/>
        <v>0.10374229946555232</v>
      </c>
      <c r="O77">
        <f t="shared" si="9"/>
        <v>9.4417148951794802E-2</v>
      </c>
      <c r="P77">
        <f t="shared" si="10"/>
        <v>7.2852738388730562E-2</v>
      </c>
      <c r="Q77">
        <f t="shared" si="11"/>
        <v>5.4785259268325379E-2</v>
      </c>
      <c r="R77">
        <f t="shared" si="12"/>
        <v>0.3240489803530735</v>
      </c>
    </row>
    <row r="78" spans="1:18" hidden="1" x14ac:dyDescent="0.25">
      <c r="A78" s="46">
        <v>2020</v>
      </c>
      <c r="B78" s="56">
        <v>101</v>
      </c>
      <c r="C78" s="47" t="s">
        <v>54</v>
      </c>
      <c r="D78" s="47" t="s">
        <v>52</v>
      </c>
      <c r="E78" s="47" t="s">
        <v>49</v>
      </c>
      <c r="F78" s="46">
        <v>2195</v>
      </c>
      <c r="G78" s="46">
        <v>20</v>
      </c>
      <c r="H78" s="46">
        <v>120</v>
      </c>
      <c r="I78" s="46">
        <v>150</v>
      </c>
      <c r="J78" s="46">
        <v>105</v>
      </c>
      <c r="K78" s="46">
        <v>105</v>
      </c>
      <c r="L78" s="46">
        <v>1695</v>
      </c>
      <c r="M78">
        <f t="shared" si="7"/>
        <v>2.3312876284393778E-3</v>
      </c>
      <c r="N78">
        <f t="shared" si="8"/>
        <v>1.3987725770636266E-2</v>
      </c>
      <c r="O78">
        <f t="shared" si="9"/>
        <v>1.7484657213295333E-2</v>
      </c>
      <c r="P78">
        <f t="shared" si="10"/>
        <v>1.2239260049306732E-2</v>
      </c>
      <c r="Q78">
        <f t="shared" si="11"/>
        <v>1.2239260049306732E-2</v>
      </c>
      <c r="R78">
        <f t="shared" si="12"/>
        <v>0.19757662651023727</v>
      </c>
    </row>
    <row r="79" spans="1:18" hidden="1" x14ac:dyDescent="0.25">
      <c r="A79" s="46">
        <v>2020</v>
      </c>
      <c r="B79" s="56">
        <v>101</v>
      </c>
      <c r="C79" s="47" t="s">
        <v>54</v>
      </c>
      <c r="D79" s="47" t="s">
        <v>52</v>
      </c>
      <c r="E79" s="47" t="s">
        <v>50</v>
      </c>
      <c r="F79" s="46">
        <v>1425</v>
      </c>
      <c r="G79" s="46">
        <v>5</v>
      </c>
      <c r="H79" s="46">
        <v>30</v>
      </c>
      <c r="I79" s="46">
        <v>30</v>
      </c>
      <c r="J79" s="46">
        <v>35</v>
      </c>
      <c r="K79" s="46">
        <v>20</v>
      </c>
      <c r="L79" s="46">
        <v>1305</v>
      </c>
      <c r="M79">
        <f t="shared" si="7"/>
        <v>5.8282190710984446E-4</v>
      </c>
      <c r="N79">
        <f t="shared" si="8"/>
        <v>3.4969314426590665E-3</v>
      </c>
      <c r="O79">
        <f t="shared" si="9"/>
        <v>3.4969314426590665E-3</v>
      </c>
      <c r="P79">
        <f t="shared" si="10"/>
        <v>4.0797533497689111E-3</v>
      </c>
      <c r="Q79">
        <f t="shared" si="11"/>
        <v>2.3312876284393778E-3</v>
      </c>
      <c r="R79">
        <f t="shared" si="12"/>
        <v>0.15211651775566939</v>
      </c>
    </row>
    <row r="80" spans="1:18" x14ac:dyDescent="0.25">
      <c r="A80" s="46">
        <v>2020</v>
      </c>
      <c r="B80" s="56">
        <v>102</v>
      </c>
      <c r="C80" s="47" t="s">
        <v>55</v>
      </c>
      <c r="D80" s="47" t="s">
        <v>42</v>
      </c>
      <c r="E80" s="47" t="s">
        <v>43</v>
      </c>
      <c r="F80" s="46">
        <v>20785</v>
      </c>
      <c r="G80" s="46">
        <v>980</v>
      </c>
      <c r="H80" s="46">
        <v>4230</v>
      </c>
      <c r="I80" s="46">
        <v>5400</v>
      </c>
      <c r="J80" s="46">
        <v>1640</v>
      </c>
      <c r="K80" s="46">
        <v>685</v>
      </c>
      <c r="L80" s="46">
        <v>7845</v>
      </c>
      <c r="M80">
        <f t="shared" si="7"/>
        <v>0.11423309379352951</v>
      </c>
      <c r="N80">
        <f t="shared" si="8"/>
        <v>0.49306733341492837</v>
      </c>
      <c r="O80">
        <f t="shared" si="9"/>
        <v>0.62944765967863203</v>
      </c>
      <c r="P80">
        <f t="shared" si="10"/>
        <v>0.19116558553202898</v>
      </c>
      <c r="Q80">
        <f t="shared" si="11"/>
        <v>7.984660127404869E-2</v>
      </c>
      <c r="R80">
        <f t="shared" si="12"/>
        <v>0.9144475722553459</v>
      </c>
    </row>
    <row r="81" spans="1:18" hidden="1" x14ac:dyDescent="0.25">
      <c r="A81" s="46">
        <v>2020</v>
      </c>
      <c r="B81" s="56">
        <v>102</v>
      </c>
      <c r="C81" s="47" t="s">
        <v>55</v>
      </c>
      <c r="D81" s="47" t="s">
        <v>42</v>
      </c>
      <c r="E81" s="47" t="s">
        <v>44</v>
      </c>
      <c r="F81" s="46">
        <v>4020</v>
      </c>
      <c r="G81" s="46">
        <v>405</v>
      </c>
      <c r="H81" s="46">
        <v>1655</v>
      </c>
      <c r="I81" s="46">
        <v>1455</v>
      </c>
      <c r="J81" s="46">
        <v>270</v>
      </c>
      <c r="K81" s="46">
        <v>110</v>
      </c>
      <c r="L81" s="46">
        <v>125</v>
      </c>
      <c r="M81">
        <f t="shared" si="7"/>
        <v>4.7208574475897401E-2</v>
      </c>
      <c r="N81">
        <f t="shared" si="8"/>
        <v>0.19291405125335853</v>
      </c>
      <c r="O81">
        <f t="shared" si="9"/>
        <v>0.16960117496896474</v>
      </c>
      <c r="P81">
        <f t="shared" si="10"/>
        <v>3.1472382983931603E-2</v>
      </c>
      <c r="Q81">
        <f t="shared" si="11"/>
        <v>1.2822081956416579E-2</v>
      </c>
      <c r="R81">
        <f t="shared" si="12"/>
        <v>1.4570547677746111E-2</v>
      </c>
    </row>
    <row r="82" spans="1:18" hidden="1" x14ac:dyDescent="0.25">
      <c r="A82" s="46">
        <v>2020</v>
      </c>
      <c r="B82" s="56">
        <v>102</v>
      </c>
      <c r="C82" s="47" t="s">
        <v>55</v>
      </c>
      <c r="D82" s="47" t="s">
        <v>42</v>
      </c>
      <c r="E82" s="47" t="s">
        <v>45</v>
      </c>
      <c r="F82" s="46">
        <v>1070</v>
      </c>
      <c r="G82" s="46">
        <v>70</v>
      </c>
      <c r="H82" s="46">
        <v>270</v>
      </c>
      <c r="I82" s="46">
        <v>415</v>
      </c>
      <c r="J82" s="46">
        <v>105</v>
      </c>
      <c r="K82" s="46">
        <v>25</v>
      </c>
      <c r="L82" s="46">
        <v>190</v>
      </c>
      <c r="M82">
        <f t="shared" si="7"/>
        <v>8.1595066995378222E-3</v>
      </c>
      <c r="N82">
        <f t="shared" si="8"/>
        <v>3.1472382983931603E-2</v>
      </c>
      <c r="O82">
        <f t="shared" si="9"/>
        <v>4.8374218290117087E-2</v>
      </c>
      <c r="P82">
        <f t="shared" si="10"/>
        <v>1.2239260049306732E-2</v>
      </c>
      <c r="Q82">
        <f t="shared" si="11"/>
        <v>2.914109535549222E-3</v>
      </c>
      <c r="R82">
        <f t="shared" si="12"/>
        <v>2.214723247017409E-2</v>
      </c>
    </row>
    <row r="83" spans="1:18" hidden="1" x14ac:dyDescent="0.25">
      <c r="A83" s="46">
        <v>2020</v>
      </c>
      <c r="B83" s="56">
        <v>102</v>
      </c>
      <c r="C83" s="47" t="s">
        <v>55</v>
      </c>
      <c r="D83" s="47" t="s">
        <v>42</v>
      </c>
      <c r="E83" s="47" t="s">
        <v>46</v>
      </c>
      <c r="F83" s="46">
        <v>1640</v>
      </c>
      <c r="G83" s="46">
        <v>95</v>
      </c>
      <c r="H83" s="46">
        <v>380</v>
      </c>
      <c r="I83" s="46">
        <v>530</v>
      </c>
      <c r="J83" s="46">
        <v>95</v>
      </c>
      <c r="K83" s="46">
        <v>25</v>
      </c>
      <c r="L83" s="46">
        <v>510</v>
      </c>
      <c r="M83">
        <f t="shared" si="7"/>
        <v>1.1073616235087045E-2</v>
      </c>
      <c r="N83">
        <f t="shared" si="8"/>
        <v>4.429446494034818E-2</v>
      </c>
      <c r="O83">
        <f t="shared" si="9"/>
        <v>6.1779122153643513E-2</v>
      </c>
      <c r="P83">
        <f t="shared" si="10"/>
        <v>1.1073616235087045E-2</v>
      </c>
      <c r="Q83">
        <f t="shared" si="11"/>
        <v>2.914109535549222E-3</v>
      </c>
      <c r="R83">
        <f t="shared" si="12"/>
        <v>5.9447834525204135E-2</v>
      </c>
    </row>
    <row r="84" spans="1:18" hidden="1" x14ac:dyDescent="0.25">
      <c r="A84" s="46">
        <v>2020</v>
      </c>
      <c r="B84" s="56">
        <v>102</v>
      </c>
      <c r="C84" s="47" t="s">
        <v>55</v>
      </c>
      <c r="D84" s="47" t="s">
        <v>42</v>
      </c>
      <c r="E84" s="47" t="s">
        <v>47</v>
      </c>
      <c r="F84" s="46">
        <v>2015</v>
      </c>
      <c r="G84" s="46">
        <v>90</v>
      </c>
      <c r="H84" s="46">
        <v>410</v>
      </c>
      <c r="I84" s="46">
        <v>755</v>
      </c>
      <c r="J84" s="46">
        <v>175</v>
      </c>
      <c r="K84" s="46">
        <v>70</v>
      </c>
      <c r="L84" s="46">
        <v>515</v>
      </c>
      <c r="M84">
        <f t="shared" si="7"/>
        <v>1.04907943279772E-2</v>
      </c>
      <c r="N84">
        <f t="shared" si="8"/>
        <v>4.7791396383007244E-2</v>
      </c>
      <c r="O84">
        <f t="shared" si="9"/>
        <v>8.8006107973586503E-2</v>
      </c>
      <c r="P84">
        <f t="shared" si="10"/>
        <v>2.0398766748844555E-2</v>
      </c>
      <c r="Q84">
        <f t="shared" si="11"/>
        <v>8.1595066995378222E-3</v>
      </c>
      <c r="R84">
        <f t="shared" si="12"/>
        <v>6.0030656432313978E-2</v>
      </c>
    </row>
    <row r="85" spans="1:18" hidden="1" x14ac:dyDescent="0.25">
      <c r="A85" s="46">
        <v>2020</v>
      </c>
      <c r="B85" s="56">
        <v>102</v>
      </c>
      <c r="C85" s="47" t="s">
        <v>55</v>
      </c>
      <c r="D85" s="47" t="s">
        <v>42</v>
      </c>
      <c r="E85" s="47" t="s">
        <v>48</v>
      </c>
      <c r="F85" s="46">
        <v>7415</v>
      </c>
      <c r="G85" s="46">
        <v>260</v>
      </c>
      <c r="H85" s="46">
        <v>1185</v>
      </c>
      <c r="I85" s="46">
        <v>1845</v>
      </c>
      <c r="J85" s="46">
        <v>795</v>
      </c>
      <c r="K85" s="46">
        <v>345</v>
      </c>
      <c r="L85" s="46">
        <v>2990</v>
      </c>
      <c r="M85">
        <f t="shared" si="7"/>
        <v>3.030673916971191E-2</v>
      </c>
      <c r="N85">
        <f t="shared" si="8"/>
        <v>0.13812879198503311</v>
      </c>
      <c r="O85">
        <f t="shared" si="9"/>
        <v>0.21506128372353259</v>
      </c>
      <c r="P85">
        <f t="shared" si="10"/>
        <v>9.266868323046526E-2</v>
      </c>
      <c r="Q85">
        <f t="shared" si="11"/>
        <v>4.0214711590579266E-2</v>
      </c>
      <c r="R85">
        <f t="shared" si="12"/>
        <v>0.34852750045168701</v>
      </c>
    </row>
    <row r="86" spans="1:18" hidden="1" x14ac:dyDescent="0.25">
      <c r="A86" s="46">
        <v>2020</v>
      </c>
      <c r="B86" s="56">
        <v>102</v>
      </c>
      <c r="C86" s="47" t="s">
        <v>55</v>
      </c>
      <c r="D86" s="47" t="s">
        <v>42</v>
      </c>
      <c r="E86" s="47" t="s">
        <v>49</v>
      </c>
      <c r="F86" s="46">
        <v>2870</v>
      </c>
      <c r="G86" s="46">
        <v>55</v>
      </c>
      <c r="H86" s="46">
        <v>300</v>
      </c>
      <c r="I86" s="46">
        <v>355</v>
      </c>
      <c r="J86" s="46">
        <v>165</v>
      </c>
      <c r="K86" s="46">
        <v>85</v>
      </c>
      <c r="L86" s="46">
        <v>1910</v>
      </c>
      <c r="M86">
        <f t="shared" si="7"/>
        <v>6.4110409782082893E-3</v>
      </c>
      <c r="N86">
        <f t="shared" si="8"/>
        <v>3.4969314426590667E-2</v>
      </c>
      <c r="O86">
        <f t="shared" si="9"/>
        <v>4.1380355404798952E-2</v>
      </c>
      <c r="P86">
        <f t="shared" si="10"/>
        <v>1.9233122934624865E-2</v>
      </c>
      <c r="Q86">
        <f t="shared" si="11"/>
        <v>9.9079724208673559E-3</v>
      </c>
      <c r="R86">
        <f t="shared" si="12"/>
        <v>0.22263796851596057</v>
      </c>
    </row>
    <row r="87" spans="1:18" hidden="1" x14ac:dyDescent="0.25">
      <c r="A87" s="46">
        <v>2020</v>
      </c>
      <c r="B87" s="56">
        <v>102</v>
      </c>
      <c r="C87" s="47" t="s">
        <v>55</v>
      </c>
      <c r="D87" s="47" t="s">
        <v>42</v>
      </c>
      <c r="E87" s="47" t="s">
        <v>50</v>
      </c>
      <c r="F87" s="46">
        <v>1760</v>
      </c>
      <c r="G87" s="46">
        <v>5</v>
      </c>
      <c r="H87" s="46">
        <v>35</v>
      </c>
      <c r="I87" s="46">
        <v>50</v>
      </c>
      <c r="J87" s="46">
        <v>45</v>
      </c>
      <c r="K87" s="46">
        <v>20</v>
      </c>
      <c r="L87" s="46">
        <v>1610</v>
      </c>
      <c r="M87">
        <f t="shared" si="7"/>
        <v>5.8282190710984446E-4</v>
      </c>
      <c r="N87">
        <f t="shared" si="8"/>
        <v>4.0797533497689111E-3</v>
      </c>
      <c r="O87">
        <f t="shared" si="9"/>
        <v>5.8282190710984439E-3</v>
      </c>
      <c r="P87">
        <f t="shared" si="10"/>
        <v>5.2453971639886002E-3</v>
      </c>
      <c r="Q87">
        <f t="shared" si="11"/>
        <v>2.3312876284393778E-3</v>
      </c>
      <c r="R87">
        <f t="shared" si="12"/>
        <v>0.18766865408936992</v>
      </c>
    </row>
    <row r="88" spans="1:18" hidden="1" x14ac:dyDescent="0.25">
      <c r="A88" s="46">
        <v>2020</v>
      </c>
      <c r="B88" s="56">
        <v>102</v>
      </c>
      <c r="C88" s="47" t="s">
        <v>55</v>
      </c>
      <c r="D88" s="47" t="s">
        <v>51</v>
      </c>
      <c r="E88" s="47" t="s">
        <v>43</v>
      </c>
      <c r="F88" s="46">
        <v>11140</v>
      </c>
      <c r="G88" s="46">
        <v>530</v>
      </c>
      <c r="H88" s="46">
        <v>2220</v>
      </c>
      <c r="I88" s="46">
        <v>3120</v>
      </c>
      <c r="J88" s="46">
        <v>980</v>
      </c>
      <c r="K88" s="46">
        <v>385</v>
      </c>
      <c r="L88" s="46">
        <v>3900</v>
      </c>
      <c r="M88">
        <f t="shared" si="7"/>
        <v>6.1779122153643513E-2</v>
      </c>
      <c r="N88">
        <f t="shared" si="8"/>
        <v>0.25877292675677094</v>
      </c>
      <c r="O88">
        <f t="shared" si="9"/>
        <v>0.36368087003654292</v>
      </c>
      <c r="P88">
        <f t="shared" si="10"/>
        <v>0.11423309379352951</v>
      </c>
      <c r="Q88">
        <f t="shared" si="11"/>
        <v>4.4877286847458023E-2</v>
      </c>
      <c r="R88">
        <f t="shared" si="12"/>
        <v>0.45460108754567863</v>
      </c>
    </row>
    <row r="89" spans="1:18" hidden="1" x14ac:dyDescent="0.25">
      <c r="A89" s="46">
        <v>2020</v>
      </c>
      <c r="B89" s="56">
        <v>102</v>
      </c>
      <c r="C89" s="47" t="s">
        <v>55</v>
      </c>
      <c r="D89" s="47" t="s">
        <v>51</v>
      </c>
      <c r="E89" s="47" t="s">
        <v>44</v>
      </c>
      <c r="F89" s="46">
        <v>2075</v>
      </c>
      <c r="G89" s="46">
        <v>210</v>
      </c>
      <c r="H89" s="46">
        <v>860</v>
      </c>
      <c r="I89" s="46">
        <v>750</v>
      </c>
      <c r="J89" s="46">
        <v>125</v>
      </c>
      <c r="K89" s="46">
        <v>60</v>
      </c>
      <c r="L89" s="46">
        <v>65</v>
      </c>
      <c r="M89">
        <f t="shared" si="7"/>
        <v>2.4478520098613465E-2</v>
      </c>
      <c r="N89">
        <f t="shared" si="8"/>
        <v>0.10024536802289323</v>
      </c>
      <c r="O89">
        <f t="shared" si="9"/>
        <v>8.742328606647666E-2</v>
      </c>
      <c r="P89">
        <f t="shared" si="10"/>
        <v>1.4570547677746111E-2</v>
      </c>
      <c r="Q89">
        <f t="shared" si="11"/>
        <v>6.993862885318133E-3</v>
      </c>
      <c r="R89">
        <f t="shared" si="12"/>
        <v>7.5766847924279776E-3</v>
      </c>
    </row>
    <row r="90" spans="1:18" hidden="1" x14ac:dyDescent="0.25">
      <c r="A90" s="46">
        <v>2020</v>
      </c>
      <c r="B90" s="56">
        <v>102</v>
      </c>
      <c r="C90" s="47" t="s">
        <v>55</v>
      </c>
      <c r="D90" s="47" t="s">
        <v>51</v>
      </c>
      <c r="E90" s="47" t="s">
        <v>45</v>
      </c>
      <c r="F90" s="46">
        <v>595</v>
      </c>
      <c r="G90" s="46">
        <v>30</v>
      </c>
      <c r="H90" s="46">
        <v>145</v>
      </c>
      <c r="I90" s="46">
        <v>235</v>
      </c>
      <c r="J90" s="46">
        <v>55</v>
      </c>
      <c r="K90" s="46">
        <v>20</v>
      </c>
      <c r="L90" s="46">
        <v>105</v>
      </c>
      <c r="M90">
        <f t="shared" si="7"/>
        <v>3.4969314426590665E-3</v>
      </c>
      <c r="N90">
        <f t="shared" si="8"/>
        <v>1.6901835306185491E-2</v>
      </c>
      <c r="O90">
        <f t="shared" si="9"/>
        <v>2.7392629634162689E-2</v>
      </c>
      <c r="P90">
        <f t="shared" si="10"/>
        <v>6.4110409782082893E-3</v>
      </c>
      <c r="Q90">
        <f t="shared" si="11"/>
        <v>2.3312876284393778E-3</v>
      </c>
      <c r="R90">
        <f t="shared" si="12"/>
        <v>1.2239260049306732E-2</v>
      </c>
    </row>
    <row r="91" spans="1:18" hidden="1" x14ac:dyDescent="0.25">
      <c r="A91" s="46">
        <v>2020</v>
      </c>
      <c r="B91" s="56">
        <v>102</v>
      </c>
      <c r="C91" s="47" t="s">
        <v>55</v>
      </c>
      <c r="D91" s="47" t="s">
        <v>51</v>
      </c>
      <c r="E91" s="47" t="s">
        <v>46</v>
      </c>
      <c r="F91" s="46">
        <v>890</v>
      </c>
      <c r="G91" s="46">
        <v>50</v>
      </c>
      <c r="H91" s="46">
        <v>180</v>
      </c>
      <c r="I91" s="46">
        <v>345</v>
      </c>
      <c r="J91" s="46">
        <v>55</v>
      </c>
      <c r="K91" s="46">
        <v>15</v>
      </c>
      <c r="L91" s="46">
        <v>250</v>
      </c>
      <c r="M91">
        <f t="shared" si="7"/>
        <v>5.8282190710984439E-3</v>
      </c>
      <c r="N91">
        <f t="shared" si="8"/>
        <v>2.0981588655954401E-2</v>
      </c>
      <c r="O91">
        <f t="shared" si="9"/>
        <v>4.0214711590579266E-2</v>
      </c>
      <c r="P91">
        <f t="shared" si="10"/>
        <v>6.4110409782082893E-3</v>
      </c>
      <c r="Q91">
        <f t="shared" si="11"/>
        <v>1.7484657213295333E-3</v>
      </c>
      <c r="R91">
        <f t="shared" si="12"/>
        <v>2.9141095355492221E-2</v>
      </c>
    </row>
    <row r="92" spans="1:18" hidden="1" x14ac:dyDescent="0.25">
      <c r="A92" s="46">
        <v>2020</v>
      </c>
      <c r="B92" s="56">
        <v>102</v>
      </c>
      <c r="C92" s="47" t="s">
        <v>55</v>
      </c>
      <c r="D92" s="47" t="s">
        <v>51</v>
      </c>
      <c r="E92" s="47" t="s">
        <v>47</v>
      </c>
      <c r="F92" s="46">
        <v>1115</v>
      </c>
      <c r="G92" s="46">
        <v>40</v>
      </c>
      <c r="H92" s="46">
        <v>205</v>
      </c>
      <c r="I92" s="46">
        <v>455</v>
      </c>
      <c r="J92" s="46">
        <v>95</v>
      </c>
      <c r="K92" s="46">
        <v>35</v>
      </c>
      <c r="L92" s="46">
        <v>285</v>
      </c>
      <c r="M92">
        <f t="shared" si="7"/>
        <v>4.6625752568787556E-3</v>
      </c>
      <c r="N92">
        <f t="shared" si="8"/>
        <v>2.3895698191503622E-2</v>
      </c>
      <c r="O92">
        <f t="shared" si="9"/>
        <v>5.3036793546995843E-2</v>
      </c>
      <c r="P92">
        <f t="shared" si="10"/>
        <v>1.1073616235087045E-2</v>
      </c>
      <c r="Q92">
        <f t="shared" si="11"/>
        <v>4.0797533497689111E-3</v>
      </c>
      <c r="R92">
        <f t="shared" si="12"/>
        <v>3.3220848705261131E-2</v>
      </c>
    </row>
    <row r="93" spans="1:18" hidden="1" x14ac:dyDescent="0.25">
      <c r="A93" s="46">
        <v>2020</v>
      </c>
      <c r="B93" s="56">
        <v>102</v>
      </c>
      <c r="C93" s="47" t="s">
        <v>55</v>
      </c>
      <c r="D93" s="47" t="s">
        <v>51</v>
      </c>
      <c r="E93" s="47" t="s">
        <v>48</v>
      </c>
      <c r="F93" s="46">
        <v>4065</v>
      </c>
      <c r="G93" s="46">
        <v>160</v>
      </c>
      <c r="H93" s="46">
        <v>625</v>
      </c>
      <c r="I93" s="46">
        <v>1100</v>
      </c>
      <c r="J93" s="46">
        <v>520</v>
      </c>
      <c r="K93" s="46">
        <v>205</v>
      </c>
      <c r="L93" s="46">
        <v>1460</v>
      </c>
      <c r="M93">
        <f t="shared" si="7"/>
        <v>1.8650301027515023E-2</v>
      </c>
      <c r="N93">
        <f t="shared" si="8"/>
        <v>7.2852738388730562E-2</v>
      </c>
      <c r="O93">
        <f t="shared" si="9"/>
        <v>0.12822081956416578</v>
      </c>
      <c r="P93">
        <f t="shared" si="10"/>
        <v>6.0613478339423821E-2</v>
      </c>
      <c r="Q93">
        <f t="shared" si="11"/>
        <v>2.3895698191503622E-2</v>
      </c>
      <c r="R93">
        <f t="shared" si="12"/>
        <v>0.17018399687607458</v>
      </c>
    </row>
    <row r="94" spans="1:18" hidden="1" x14ac:dyDescent="0.25">
      <c r="A94" s="46">
        <v>2020</v>
      </c>
      <c r="B94" s="56">
        <v>102</v>
      </c>
      <c r="C94" s="47" t="s">
        <v>55</v>
      </c>
      <c r="D94" s="47" t="s">
        <v>51</v>
      </c>
      <c r="E94" s="47" t="s">
        <v>49</v>
      </c>
      <c r="F94" s="46">
        <v>1555</v>
      </c>
      <c r="G94" s="46">
        <v>35</v>
      </c>
      <c r="H94" s="46">
        <v>185</v>
      </c>
      <c r="I94" s="46">
        <v>210</v>
      </c>
      <c r="J94" s="46">
        <v>105</v>
      </c>
      <c r="K94" s="46">
        <v>45</v>
      </c>
      <c r="L94" s="46">
        <v>970</v>
      </c>
      <c r="M94">
        <f t="shared" si="7"/>
        <v>4.0797533497689111E-3</v>
      </c>
      <c r="N94">
        <f t="shared" si="8"/>
        <v>2.1564410563064244E-2</v>
      </c>
      <c r="O94">
        <f t="shared" si="9"/>
        <v>2.4478520098613465E-2</v>
      </c>
      <c r="P94">
        <f t="shared" si="10"/>
        <v>1.2239260049306732E-2</v>
      </c>
      <c r="Q94">
        <f t="shared" si="11"/>
        <v>5.2453971639886002E-3</v>
      </c>
      <c r="R94">
        <f t="shared" si="12"/>
        <v>0.11306744997930983</v>
      </c>
    </row>
    <row r="95" spans="1:18" hidden="1" x14ac:dyDescent="0.25">
      <c r="A95" s="46">
        <v>2020</v>
      </c>
      <c r="B95" s="56">
        <v>102</v>
      </c>
      <c r="C95" s="47" t="s">
        <v>55</v>
      </c>
      <c r="D95" s="47" t="s">
        <v>51</v>
      </c>
      <c r="E95" s="47" t="s">
        <v>50</v>
      </c>
      <c r="F95" s="46">
        <v>845</v>
      </c>
      <c r="G95" s="46">
        <v>0</v>
      </c>
      <c r="H95" s="46">
        <v>20</v>
      </c>
      <c r="I95" s="46">
        <v>25</v>
      </c>
      <c r="J95" s="46">
        <v>25</v>
      </c>
      <c r="K95" s="46">
        <v>10</v>
      </c>
      <c r="L95" s="46">
        <v>765</v>
      </c>
      <c r="M95">
        <f t="shared" si="7"/>
        <v>0</v>
      </c>
      <c r="N95">
        <f t="shared" si="8"/>
        <v>2.3312876284393778E-3</v>
      </c>
      <c r="O95">
        <f t="shared" si="9"/>
        <v>2.914109535549222E-3</v>
      </c>
      <c r="P95">
        <f t="shared" si="10"/>
        <v>2.914109535549222E-3</v>
      </c>
      <c r="Q95">
        <f t="shared" si="11"/>
        <v>1.1656438142196889E-3</v>
      </c>
      <c r="R95">
        <f t="shared" si="12"/>
        <v>8.9171751787806203E-2</v>
      </c>
    </row>
    <row r="96" spans="1:18" hidden="1" x14ac:dyDescent="0.25">
      <c r="A96" s="46">
        <v>2020</v>
      </c>
      <c r="B96" s="56">
        <v>102</v>
      </c>
      <c r="C96" s="47" t="s">
        <v>55</v>
      </c>
      <c r="D96" s="47" t="s">
        <v>52</v>
      </c>
      <c r="E96" s="47" t="s">
        <v>43</v>
      </c>
      <c r="F96" s="46">
        <v>9645</v>
      </c>
      <c r="G96" s="46">
        <v>450</v>
      </c>
      <c r="H96" s="46">
        <v>2010</v>
      </c>
      <c r="I96" s="46">
        <v>2280</v>
      </c>
      <c r="J96" s="46">
        <v>660</v>
      </c>
      <c r="K96" s="46">
        <v>300</v>
      </c>
      <c r="L96" s="46">
        <v>3945</v>
      </c>
      <c r="M96">
        <f t="shared" si="7"/>
        <v>5.2453971639886E-2</v>
      </c>
      <c r="N96">
        <f t="shared" si="8"/>
        <v>0.23429440665815746</v>
      </c>
      <c r="O96">
        <f t="shared" si="9"/>
        <v>0.26576678964208905</v>
      </c>
      <c r="P96">
        <f t="shared" si="10"/>
        <v>7.6932491738499462E-2</v>
      </c>
      <c r="Q96">
        <f t="shared" si="11"/>
        <v>3.4969314426590667E-2</v>
      </c>
      <c r="R96">
        <f t="shared" si="12"/>
        <v>0.45984648470966721</v>
      </c>
    </row>
    <row r="97" spans="1:18" hidden="1" x14ac:dyDescent="0.25">
      <c r="A97" s="46">
        <v>2020</v>
      </c>
      <c r="B97" s="56">
        <v>102</v>
      </c>
      <c r="C97" s="47" t="s">
        <v>55</v>
      </c>
      <c r="D97" s="47" t="s">
        <v>52</v>
      </c>
      <c r="E97" s="47" t="s">
        <v>44</v>
      </c>
      <c r="F97" s="46">
        <v>1945</v>
      </c>
      <c r="G97" s="46">
        <v>190</v>
      </c>
      <c r="H97" s="46">
        <v>795</v>
      </c>
      <c r="I97" s="46">
        <v>700</v>
      </c>
      <c r="J97" s="46">
        <v>140</v>
      </c>
      <c r="K97" s="46">
        <v>55</v>
      </c>
      <c r="L97" s="46">
        <v>60</v>
      </c>
      <c r="M97">
        <f t="shared" si="7"/>
        <v>2.214723247017409E-2</v>
      </c>
      <c r="N97">
        <f t="shared" si="8"/>
        <v>9.266868323046526E-2</v>
      </c>
      <c r="O97">
        <f t="shared" si="9"/>
        <v>8.1595066995378218E-2</v>
      </c>
      <c r="P97">
        <f t="shared" si="10"/>
        <v>1.6319013399075644E-2</v>
      </c>
      <c r="Q97">
        <f t="shared" si="11"/>
        <v>6.4110409782082893E-3</v>
      </c>
      <c r="R97">
        <f t="shared" si="12"/>
        <v>6.993862885318133E-3</v>
      </c>
    </row>
    <row r="98" spans="1:18" hidden="1" x14ac:dyDescent="0.25">
      <c r="A98" s="46">
        <v>2020</v>
      </c>
      <c r="B98" s="56">
        <v>102</v>
      </c>
      <c r="C98" s="47" t="s">
        <v>55</v>
      </c>
      <c r="D98" s="47" t="s">
        <v>52</v>
      </c>
      <c r="E98" s="47" t="s">
        <v>45</v>
      </c>
      <c r="F98" s="46">
        <v>480</v>
      </c>
      <c r="G98" s="46">
        <v>35</v>
      </c>
      <c r="H98" s="46">
        <v>125</v>
      </c>
      <c r="I98" s="46">
        <v>175</v>
      </c>
      <c r="J98" s="46">
        <v>45</v>
      </c>
      <c r="K98" s="46">
        <v>5</v>
      </c>
      <c r="L98" s="46">
        <v>90</v>
      </c>
      <c r="M98">
        <f t="shared" si="7"/>
        <v>4.0797533497689111E-3</v>
      </c>
      <c r="N98">
        <f t="shared" si="8"/>
        <v>1.4570547677746111E-2</v>
      </c>
      <c r="O98">
        <f t="shared" si="9"/>
        <v>2.0398766748844555E-2</v>
      </c>
      <c r="P98">
        <f t="shared" si="10"/>
        <v>5.2453971639886002E-3</v>
      </c>
      <c r="Q98">
        <f t="shared" si="11"/>
        <v>5.8282190710984446E-4</v>
      </c>
      <c r="R98">
        <f t="shared" si="12"/>
        <v>1.04907943279772E-2</v>
      </c>
    </row>
    <row r="99" spans="1:18" hidden="1" x14ac:dyDescent="0.25">
      <c r="A99" s="46">
        <v>2020</v>
      </c>
      <c r="B99" s="56">
        <v>102</v>
      </c>
      <c r="C99" s="47" t="s">
        <v>55</v>
      </c>
      <c r="D99" s="47" t="s">
        <v>52</v>
      </c>
      <c r="E99" s="47" t="s">
        <v>46</v>
      </c>
      <c r="F99" s="46">
        <v>745</v>
      </c>
      <c r="G99" s="46">
        <v>45</v>
      </c>
      <c r="H99" s="46">
        <v>205</v>
      </c>
      <c r="I99" s="46">
        <v>190</v>
      </c>
      <c r="J99" s="46">
        <v>40</v>
      </c>
      <c r="K99" s="46">
        <v>15</v>
      </c>
      <c r="L99" s="46">
        <v>255</v>
      </c>
      <c r="M99">
        <f t="shared" si="7"/>
        <v>5.2453971639886002E-3</v>
      </c>
      <c r="N99">
        <f t="shared" si="8"/>
        <v>2.3895698191503622E-2</v>
      </c>
      <c r="O99">
        <f t="shared" si="9"/>
        <v>2.214723247017409E-2</v>
      </c>
      <c r="P99">
        <f t="shared" si="10"/>
        <v>4.6625752568787556E-3</v>
      </c>
      <c r="Q99">
        <f t="shared" si="11"/>
        <v>1.7484657213295333E-3</v>
      </c>
      <c r="R99">
        <f t="shared" si="12"/>
        <v>2.9723917262602068E-2</v>
      </c>
    </row>
    <row r="100" spans="1:18" hidden="1" x14ac:dyDescent="0.25">
      <c r="A100" s="46">
        <v>2020</v>
      </c>
      <c r="B100" s="56">
        <v>102</v>
      </c>
      <c r="C100" s="47" t="s">
        <v>55</v>
      </c>
      <c r="D100" s="47" t="s">
        <v>52</v>
      </c>
      <c r="E100" s="47" t="s">
        <v>47</v>
      </c>
      <c r="F100" s="46">
        <v>900</v>
      </c>
      <c r="G100" s="46">
        <v>50</v>
      </c>
      <c r="H100" s="46">
        <v>205</v>
      </c>
      <c r="I100" s="46">
        <v>300</v>
      </c>
      <c r="J100" s="46">
        <v>80</v>
      </c>
      <c r="K100" s="46">
        <v>35</v>
      </c>
      <c r="L100" s="46">
        <v>230</v>
      </c>
      <c r="M100">
        <f t="shared" si="7"/>
        <v>5.8282190710984439E-3</v>
      </c>
      <c r="N100">
        <f t="shared" si="8"/>
        <v>2.3895698191503622E-2</v>
      </c>
      <c r="O100">
        <f t="shared" si="9"/>
        <v>3.4969314426590667E-2</v>
      </c>
      <c r="P100">
        <f t="shared" si="10"/>
        <v>9.3251505137575113E-3</v>
      </c>
      <c r="Q100">
        <f t="shared" si="11"/>
        <v>4.0797533497689111E-3</v>
      </c>
      <c r="R100">
        <f t="shared" si="12"/>
        <v>2.6809807727052843E-2</v>
      </c>
    </row>
    <row r="101" spans="1:18" hidden="1" x14ac:dyDescent="0.25">
      <c r="A101" s="46">
        <v>2020</v>
      </c>
      <c r="B101" s="56">
        <v>102</v>
      </c>
      <c r="C101" s="47" t="s">
        <v>55</v>
      </c>
      <c r="D101" s="47" t="s">
        <v>52</v>
      </c>
      <c r="E101" s="47" t="s">
        <v>48</v>
      </c>
      <c r="F101" s="46">
        <v>3350</v>
      </c>
      <c r="G101" s="46">
        <v>100</v>
      </c>
      <c r="H101" s="46">
        <v>555</v>
      </c>
      <c r="I101" s="46">
        <v>745</v>
      </c>
      <c r="J101" s="46">
        <v>275</v>
      </c>
      <c r="K101" s="46">
        <v>140</v>
      </c>
      <c r="L101" s="46">
        <v>1530</v>
      </c>
      <c r="M101">
        <f t="shared" si="7"/>
        <v>1.1656438142196888E-2</v>
      </c>
      <c r="N101">
        <f t="shared" si="8"/>
        <v>6.4693231689192734E-2</v>
      </c>
      <c r="O101">
        <f t="shared" si="9"/>
        <v>8.6840464159366818E-2</v>
      </c>
      <c r="P101">
        <f t="shared" si="10"/>
        <v>3.2055204891041446E-2</v>
      </c>
      <c r="Q101">
        <f t="shared" si="11"/>
        <v>1.6319013399075644E-2</v>
      </c>
      <c r="R101">
        <f t="shared" si="12"/>
        <v>0.17834350357561241</v>
      </c>
    </row>
    <row r="102" spans="1:18" hidden="1" x14ac:dyDescent="0.25">
      <c r="A102" s="46">
        <v>2020</v>
      </c>
      <c r="B102" s="56">
        <v>102</v>
      </c>
      <c r="C102" s="47" t="s">
        <v>55</v>
      </c>
      <c r="D102" s="47" t="s">
        <v>52</v>
      </c>
      <c r="E102" s="47" t="s">
        <v>49</v>
      </c>
      <c r="F102" s="46">
        <v>1315</v>
      </c>
      <c r="G102" s="46">
        <v>20</v>
      </c>
      <c r="H102" s="46">
        <v>115</v>
      </c>
      <c r="I102" s="46">
        <v>140</v>
      </c>
      <c r="J102" s="46">
        <v>60</v>
      </c>
      <c r="K102" s="46">
        <v>40</v>
      </c>
      <c r="L102" s="46">
        <v>940</v>
      </c>
      <c r="M102">
        <f t="shared" si="7"/>
        <v>2.3312876284393778E-3</v>
      </c>
      <c r="N102">
        <f t="shared" si="8"/>
        <v>1.3404903863526422E-2</v>
      </c>
      <c r="O102">
        <f t="shared" si="9"/>
        <v>1.6319013399075644E-2</v>
      </c>
      <c r="P102">
        <f t="shared" si="10"/>
        <v>6.993862885318133E-3</v>
      </c>
      <c r="Q102">
        <f t="shared" si="11"/>
        <v>4.6625752568787556E-3</v>
      </c>
      <c r="R102">
        <f t="shared" si="12"/>
        <v>0.10957051853665076</v>
      </c>
    </row>
    <row r="103" spans="1:18" hidden="1" x14ac:dyDescent="0.25">
      <c r="A103" s="46">
        <v>2020</v>
      </c>
      <c r="B103" s="56">
        <v>102</v>
      </c>
      <c r="C103" s="47" t="s">
        <v>55</v>
      </c>
      <c r="D103" s="47" t="s">
        <v>52</v>
      </c>
      <c r="E103" s="47" t="s">
        <v>50</v>
      </c>
      <c r="F103" s="46">
        <v>910</v>
      </c>
      <c r="G103" s="46">
        <v>0</v>
      </c>
      <c r="H103" s="46">
        <v>15</v>
      </c>
      <c r="I103" s="46">
        <v>25</v>
      </c>
      <c r="J103" s="46">
        <v>20</v>
      </c>
      <c r="K103" s="46">
        <v>10</v>
      </c>
      <c r="L103" s="46">
        <v>845</v>
      </c>
      <c r="M103">
        <f t="shared" si="7"/>
        <v>0</v>
      </c>
      <c r="N103">
        <f t="shared" si="8"/>
        <v>1.7484657213295333E-3</v>
      </c>
      <c r="O103">
        <f t="shared" si="9"/>
        <v>2.914109535549222E-3</v>
      </c>
      <c r="P103">
        <f t="shared" si="10"/>
        <v>2.3312876284393778E-3</v>
      </c>
      <c r="Q103">
        <f t="shared" si="11"/>
        <v>1.1656438142196889E-3</v>
      </c>
      <c r="R103">
        <f t="shared" si="12"/>
        <v>9.8496902301563716E-2</v>
      </c>
    </row>
    <row r="104" spans="1:18" x14ac:dyDescent="0.25">
      <c r="A104" s="46">
        <v>2020</v>
      </c>
      <c r="B104" s="56">
        <v>103</v>
      </c>
      <c r="C104" s="47" t="s">
        <v>56</v>
      </c>
      <c r="D104" s="47" t="s">
        <v>42</v>
      </c>
      <c r="E104" s="47" t="s">
        <v>43</v>
      </c>
      <c r="F104" s="46">
        <v>20265</v>
      </c>
      <c r="G104" s="46">
        <v>975</v>
      </c>
      <c r="H104" s="46">
        <v>4000</v>
      </c>
      <c r="I104" s="46">
        <v>3410</v>
      </c>
      <c r="J104" s="46">
        <v>2135</v>
      </c>
      <c r="K104" s="46">
        <v>975</v>
      </c>
      <c r="L104" s="46">
        <v>8765</v>
      </c>
      <c r="M104">
        <f t="shared" si="7"/>
        <v>0.11365027188641966</v>
      </c>
      <c r="N104">
        <f t="shared" si="8"/>
        <v>0.46625752568787554</v>
      </c>
      <c r="O104">
        <f t="shared" si="9"/>
        <v>0.39748454064891398</v>
      </c>
      <c r="P104">
        <f t="shared" si="10"/>
        <v>0.24886495433590355</v>
      </c>
      <c r="Q104">
        <f t="shared" si="11"/>
        <v>0.11365027188641966</v>
      </c>
      <c r="R104">
        <f t="shared" si="12"/>
        <v>1.0216868031635573</v>
      </c>
    </row>
    <row r="105" spans="1:18" hidden="1" x14ac:dyDescent="0.25">
      <c r="A105" s="46">
        <v>2020</v>
      </c>
      <c r="B105" s="56">
        <v>103</v>
      </c>
      <c r="C105" s="47" t="s">
        <v>56</v>
      </c>
      <c r="D105" s="47" t="s">
        <v>42</v>
      </c>
      <c r="E105" s="47" t="s">
        <v>44</v>
      </c>
      <c r="F105" s="46">
        <v>2855</v>
      </c>
      <c r="G105" s="46">
        <v>315</v>
      </c>
      <c r="H105" s="46">
        <v>1170</v>
      </c>
      <c r="I105" s="46">
        <v>765</v>
      </c>
      <c r="J105" s="46">
        <v>340</v>
      </c>
      <c r="K105" s="46">
        <v>135</v>
      </c>
      <c r="L105" s="46">
        <v>135</v>
      </c>
      <c r="M105">
        <f t="shared" si="7"/>
        <v>3.6717780147920202E-2</v>
      </c>
      <c r="N105">
        <f t="shared" si="8"/>
        <v>0.13638032626370361</v>
      </c>
      <c r="O105">
        <f t="shared" si="9"/>
        <v>8.9171751787806203E-2</v>
      </c>
      <c r="P105">
        <f t="shared" si="10"/>
        <v>3.9631889683469423E-2</v>
      </c>
      <c r="Q105">
        <f t="shared" si="11"/>
        <v>1.5736191491965801E-2</v>
      </c>
      <c r="R105">
        <f t="shared" si="12"/>
        <v>1.5736191491965801E-2</v>
      </c>
    </row>
    <row r="106" spans="1:18" hidden="1" x14ac:dyDescent="0.25">
      <c r="A106" s="46">
        <v>2020</v>
      </c>
      <c r="B106" s="56">
        <v>103</v>
      </c>
      <c r="C106" s="47" t="s">
        <v>56</v>
      </c>
      <c r="D106" s="47" t="s">
        <v>42</v>
      </c>
      <c r="E106" s="47" t="s">
        <v>45</v>
      </c>
      <c r="F106" s="46">
        <v>805</v>
      </c>
      <c r="G106" s="46">
        <v>55</v>
      </c>
      <c r="H106" s="46">
        <v>190</v>
      </c>
      <c r="I106" s="46">
        <v>175</v>
      </c>
      <c r="J106" s="46">
        <v>130</v>
      </c>
      <c r="K106" s="46">
        <v>40</v>
      </c>
      <c r="L106" s="46">
        <v>210</v>
      </c>
      <c r="M106">
        <f t="shared" si="7"/>
        <v>6.4110409782082893E-3</v>
      </c>
      <c r="N106">
        <f t="shared" si="8"/>
        <v>2.214723247017409E-2</v>
      </c>
      <c r="O106">
        <f t="shared" si="9"/>
        <v>2.0398766748844555E-2</v>
      </c>
      <c r="P106">
        <f t="shared" si="10"/>
        <v>1.5153369584855955E-2</v>
      </c>
      <c r="Q106">
        <f t="shared" si="11"/>
        <v>4.6625752568787556E-3</v>
      </c>
      <c r="R106">
        <f t="shared" si="12"/>
        <v>2.4478520098613465E-2</v>
      </c>
    </row>
    <row r="107" spans="1:18" hidden="1" x14ac:dyDescent="0.25">
      <c r="A107" s="46">
        <v>2020</v>
      </c>
      <c r="B107" s="56">
        <v>103</v>
      </c>
      <c r="C107" s="47" t="s">
        <v>56</v>
      </c>
      <c r="D107" s="47" t="s">
        <v>42</v>
      </c>
      <c r="E107" s="47" t="s">
        <v>46</v>
      </c>
      <c r="F107" s="46">
        <v>1345</v>
      </c>
      <c r="G107" s="46">
        <v>85</v>
      </c>
      <c r="H107" s="46">
        <v>395</v>
      </c>
      <c r="I107" s="46">
        <v>390</v>
      </c>
      <c r="J107" s="46">
        <v>110</v>
      </c>
      <c r="K107" s="46">
        <v>25</v>
      </c>
      <c r="L107" s="46">
        <v>340</v>
      </c>
      <c r="M107">
        <f t="shared" si="7"/>
        <v>9.9079724208673559E-3</v>
      </c>
      <c r="N107">
        <f t="shared" si="8"/>
        <v>4.6042930661677708E-2</v>
      </c>
      <c r="O107">
        <f t="shared" si="9"/>
        <v>4.5460108754567866E-2</v>
      </c>
      <c r="P107">
        <f t="shared" si="10"/>
        <v>1.2822081956416579E-2</v>
      </c>
      <c r="Q107">
        <f t="shared" si="11"/>
        <v>2.914109535549222E-3</v>
      </c>
      <c r="R107">
        <f t="shared" si="12"/>
        <v>3.9631889683469423E-2</v>
      </c>
    </row>
    <row r="108" spans="1:18" hidden="1" x14ac:dyDescent="0.25">
      <c r="A108" s="46">
        <v>2020</v>
      </c>
      <c r="B108" s="56">
        <v>103</v>
      </c>
      <c r="C108" s="47" t="s">
        <v>56</v>
      </c>
      <c r="D108" s="47" t="s">
        <v>42</v>
      </c>
      <c r="E108" s="47" t="s">
        <v>47</v>
      </c>
      <c r="F108" s="46">
        <v>2260</v>
      </c>
      <c r="G108" s="46">
        <v>155</v>
      </c>
      <c r="H108" s="46">
        <v>665</v>
      </c>
      <c r="I108" s="46">
        <v>610</v>
      </c>
      <c r="J108" s="46">
        <v>270</v>
      </c>
      <c r="K108" s="46">
        <v>95</v>
      </c>
      <c r="L108" s="46">
        <v>465</v>
      </c>
      <c r="M108">
        <f t="shared" si="7"/>
        <v>1.806747912040518E-2</v>
      </c>
      <c r="N108">
        <f t="shared" si="8"/>
        <v>7.7515313645609304E-2</v>
      </c>
      <c r="O108">
        <f t="shared" si="9"/>
        <v>7.1104272667401019E-2</v>
      </c>
      <c r="P108">
        <f t="shared" si="10"/>
        <v>3.1472382983931603E-2</v>
      </c>
      <c r="Q108">
        <f t="shared" si="11"/>
        <v>1.1073616235087045E-2</v>
      </c>
      <c r="R108">
        <f t="shared" si="12"/>
        <v>5.4202437361215529E-2</v>
      </c>
    </row>
    <row r="109" spans="1:18" hidden="1" x14ac:dyDescent="0.25">
      <c r="A109" s="46">
        <v>2020</v>
      </c>
      <c r="B109" s="56">
        <v>103</v>
      </c>
      <c r="C109" s="47" t="s">
        <v>56</v>
      </c>
      <c r="D109" s="47" t="s">
        <v>42</v>
      </c>
      <c r="E109" s="47" t="s">
        <v>48</v>
      </c>
      <c r="F109" s="46">
        <v>7990</v>
      </c>
      <c r="G109" s="46">
        <v>315</v>
      </c>
      <c r="H109" s="46">
        <v>1335</v>
      </c>
      <c r="I109" s="46">
        <v>1235</v>
      </c>
      <c r="J109" s="46">
        <v>1035</v>
      </c>
      <c r="K109" s="46">
        <v>570</v>
      </c>
      <c r="L109" s="46">
        <v>3500</v>
      </c>
      <c r="M109">
        <f t="shared" si="7"/>
        <v>3.6717780147920202E-2</v>
      </c>
      <c r="N109">
        <f t="shared" si="8"/>
        <v>0.15561344919832848</v>
      </c>
      <c r="O109">
        <f t="shared" si="9"/>
        <v>0.14395701105613157</v>
      </c>
      <c r="P109">
        <f t="shared" si="10"/>
        <v>0.1206441347717378</v>
      </c>
      <c r="Q109">
        <f t="shared" si="11"/>
        <v>6.6441697410522263E-2</v>
      </c>
      <c r="R109">
        <f t="shared" si="12"/>
        <v>0.40797533497689109</v>
      </c>
    </row>
    <row r="110" spans="1:18" hidden="1" x14ac:dyDescent="0.25">
      <c r="A110" s="46">
        <v>2020</v>
      </c>
      <c r="B110" s="56">
        <v>103</v>
      </c>
      <c r="C110" s="47" t="s">
        <v>56</v>
      </c>
      <c r="D110" s="47" t="s">
        <v>42</v>
      </c>
      <c r="E110" s="47" t="s">
        <v>49</v>
      </c>
      <c r="F110" s="46">
        <v>3010</v>
      </c>
      <c r="G110" s="46">
        <v>40</v>
      </c>
      <c r="H110" s="46">
        <v>205</v>
      </c>
      <c r="I110" s="46">
        <v>205</v>
      </c>
      <c r="J110" s="46">
        <v>190</v>
      </c>
      <c r="K110" s="46">
        <v>95</v>
      </c>
      <c r="L110" s="46">
        <v>2270</v>
      </c>
      <c r="M110">
        <f t="shared" si="7"/>
        <v>4.6625752568787556E-3</v>
      </c>
      <c r="N110">
        <f t="shared" si="8"/>
        <v>2.3895698191503622E-2</v>
      </c>
      <c r="O110">
        <f t="shared" si="9"/>
        <v>2.3895698191503622E-2</v>
      </c>
      <c r="P110">
        <f t="shared" si="10"/>
        <v>2.214723247017409E-2</v>
      </c>
      <c r="Q110">
        <f t="shared" si="11"/>
        <v>1.1073616235087045E-2</v>
      </c>
      <c r="R110">
        <f t="shared" si="12"/>
        <v>0.26460114582786937</v>
      </c>
    </row>
    <row r="111" spans="1:18" hidden="1" x14ac:dyDescent="0.25">
      <c r="A111" s="46">
        <v>2020</v>
      </c>
      <c r="B111" s="56">
        <v>103</v>
      </c>
      <c r="C111" s="47" t="s">
        <v>56</v>
      </c>
      <c r="D111" s="47" t="s">
        <v>42</v>
      </c>
      <c r="E111" s="47" t="s">
        <v>50</v>
      </c>
      <c r="F111" s="46">
        <v>2000</v>
      </c>
      <c r="G111" s="46">
        <v>10</v>
      </c>
      <c r="H111" s="46">
        <v>40</v>
      </c>
      <c r="I111" s="46">
        <v>35</v>
      </c>
      <c r="J111" s="46">
        <v>50</v>
      </c>
      <c r="K111" s="46">
        <v>15</v>
      </c>
      <c r="L111" s="46">
        <v>1845</v>
      </c>
      <c r="M111">
        <f t="shared" si="7"/>
        <v>1.1656438142196889E-3</v>
      </c>
      <c r="N111">
        <f t="shared" si="8"/>
        <v>4.6625752568787556E-3</v>
      </c>
      <c r="O111">
        <f t="shared" si="9"/>
        <v>4.0797533497689111E-3</v>
      </c>
      <c r="P111">
        <f t="shared" si="10"/>
        <v>5.8282190710984439E-3</v>
      </c>
      <c r="Q111">
        <f t="shared" si="11"/>
        <v>1.7484657213295333E-3</v>
      </c>
      <c r="R111">
        <f t="shared" si="12"/>
        <v>0.21506128372353259</v>
      </c>
    </row>
    <row r="112" spans="1:18" hidden="1" x14ac:dyDescent="0.25">
      <c r="A112" s="46">
        <v>2020</v>
      </c>
      <c r="B112" s="56">
        <v>103</v>
      </c>
      <c r="C112" s="47" t="s">
        <v>56</v>
      </c>
      <c r="D112" s="47" t="s">
        <v>51</v>
      </c>
      <c r="E112" s="47" t="s">
        <v>43</v>
      </c>
      <c r="F112" s="46">
        <v>10925</v>
      </c>
      <c r="G112" s="46">
        <v>525</v>
      </c>
      <c r="H112" s="46">
        <v>2090</v>
      </c>
      <c r="I112" s="46">
        <v>2050</v>
      </c>
      <c r="J112" s="46">
        <v>1180</v>
      </c>
      <c r="K112" s="46">
        <v>520</v>
      </c>
      <c r="L112" s="46">
        <v>4555</v>
      </c>
      <c r="M112">
        <f t="shared" si="7"/>
        <v>6.1196300246533664E-2</v>
      </c>
      <c r="N112">
        <f t="shared" si="8"/>
        <v>0.24361955717191497</v>
      </c>
      <c r="O112">
        <f t="shared" si="9"/>
        <v>0.23895698191503623</v>
      </c>
      <c r="P112">
        <f t="shared" si="10"/>
        <v>0.1375459700779233</v>
      </c>
      <c r="Q112">
        <f t="shared" si="11"/>
        <v>6.0613478339423821E-2</v>
      </c>
      <c r="R112">
        <f t="shared" si="12"/>
        <v>0.53095075737706832</v>
      </c>
    </row>
    <row r="113" spans="1:18" hidden="1" x14ac:dyDescent="0.25">
      <c r="A113" s="46">
        <v>2020</v>
      </c>
      <c r="B113" s="56">
        <v>103</v>
      </c>
      <c r="C113" s="47" t="s">
        <v>56</v>
      </c>
      <c r="D113" s="47" t="s">
        <v>51</v>
      </c>
      <c r="E113" s="47" t="s">
        <v>44</v>
      </c>
      <c r="F113" s="46">
        <v>1495</v>
      </c>
      <c r="G113" s="46">
        <v>165</v>
      </c>
      <c r="H113" s="46">
        <v>610</v>
      </c>
      <c r="I113" s="46">
        <v>410</v>
      </c>
      <c r="J113" s="46">
        <v>175</v>
      </c>
      <c r="K113" s="46">
        <v>70</v>
      </c>
      <c r="L113" s="46">
        <v>70</v>
      </c>
      <c r="M113">
        <f t="shared" si="7"/>
        <v>1.9233122934624865E-2</v>
      </c>
      <c r="N113">
        <f t="shared" si="8"/>
        <v>7.1104272667401019E-2</v>
      </c>
      <c r="O113">
        <f t="shared" si="9"/>
        <v>4.7791396383007244E-2</v>
      </c>
      <c r="P113">
        <f t="shared" si="10"/>
        <v>2.0398766748844555E-2</v>
      </c>
      <c r="Q113">
        <f t="shared" si="11"/>
        <v>8.1595066995378222E-3</v>
      </c>
      <c r="R113">
        <f t="shared" si="12"/>
        <v>8.1595066995378222E-3</v>
      </c>
    </row>
    <row r="114" spans="1:18" hidden="1" x14ac:dyDescent="0.25">
      <c r="A114" s="46">
        <v>2020</v>
      </c>
      <c r="B114" s="56">
        <v>103</v>
      </c>
      <c r="C114" s="47" t="s">
        <v>56</v>
      </c>
      <c r="D114" s="47" t="s">
        <v>51</v>
      </c>
      <c r="E114" s="47" t="s">
        <v>45</v>
      </c>
      <c r="F114" s="46">
        <v>460</v>
      </c>
      <c r="G114" s="46">
        <v>35</v>
      </c>
      <c r="H114" s="46">
        <v>120</v>
      </c>
      <c r="I114" s="46">
        <v>110</v>
      </c>
      <c r="J114" s="46">
        <v>75</v>
      </c>
      <c r="K114" s="46">
        <v>20</v>
      </c>
      <c r="L114" s="46">
        <v>105</v>
      </c>
      <c r="M114">
        <f t="shared" si="7"/>
        <v>4.0797533497689111E-3</v>
      </c>
      <c r="N114">
        <f t="shared" si="8"/>
        <v>1.3987725770636266E-2</v>
      </c>
      <c r="O114">
        <f t="shared" si="9"/>
        <v>1.2822081956416579E-2</v>
      </c>
      <c r="P114">
        <f t="shared" si="10"/>
        <v>8.7423286066476667E-3</v>
      </c>
      <c r="Q114">
        <f t="shared" si="11"/>
        <v>2.3312876284393778E-3</v>
      </c>
      <c r="R114">
        <f t="shared" si="12"/>
        <v>1.2239260049306732E-2</v>
      </c>
    </row>
    <row r="115" spans="1:18" hidden="1" x14ac:dyDescent="0.25">
      <c r="A115" s="46">
        <v>2020</v>
      </c>
      <c r="B115" s="56">
        <v>103</v>
      </c>
      <c r="C115" s="47" t="s">
        <v>56</v>
      </c>
      <c r="D115" s="47" t="s">
        <v>51</v>
      </c>
      <c r="E115" s="47" t="s">
        <v>46</v>
      </c>
      <c r="F115" s="46">
        <v>775</v>
      </c>
      <c r="G115" s="46">
        <v>45</v>
      </c>
      <c r="H115" s="46">
        <v>215</v>
      </c>
      <c r="I115" s="46">
        <v>275</v>
      </c>
      <c r="J115" s="46">
        <v>60</v>
      </c>
      <c r="K115" s="46">
        <v>10</v>
      </c>
      <c r="L115" s="46">
        <v>165</v>
      </c>
      <c r="M115">
        <f t="shared" si="7"/>
        <v>5.2453971639886002E-3</v>
      </c>
      <c r="N115">
        <f t="shared" si="8"/>
        <v>2.5061342005723308E-2</v>
      </c>
      <c r="O115">
        <f t="shared" si="9"/>
        <v>3.2055204891041446E-2</v>
      </c>
      <c r="P115">
        <f t="shared" si="10"/>
        <v>6.993862885318133E-3</v>
      </c>
      <c r="Q115">
        <f t="shared" si="11"/>
        <v>1.1656438142196889E-3</v>
      </c>
      <c r="R115">
        <f t="shared" si="12"/>
        <v>1.9233122934624865E-2</v>
      </c>
    </row>
    <row r="116" spans="1:18" hidden="1" x14ac:dyDescent="0.25">
      <c r="A116" s="46">
        <v>2020</v>
      </c>
      <c r="B116" s="56">
        <v>103</v>
      </c>
      <c r="C116" s="47" t="s">
        <v>56</v>
      </c>
      <c r="D116" s="47" t="s">
        <v>51</v>
      </c>
      <c r="E116" s="47" t="s">
        <v>47</v>
      </c>
      <c r="F116" s="46">
        <v>1285</v>
      </c>
      <c r="G116" s="46">
        <v>75</v>
      </c>
      <c r="H116" s="46">
        <v>340</v>
      </c>
      <c r="I116" s="46">
        <v>400</v>
      </c>
      <c r="J116" s="46">
        <v>170</v>
      </c>
      <c r="K116" s="46">
        <v>55</v>
      </c>
      <c r="L116" s="46">
        <v>245</v>
      </c>
      <c r="M116">
        <f t="shared" si="7"/>
        <v>8.7423286066476667E-3</v>
      </c>
      <c r="N116">
        <f t="shared" si="8"/>
        <v>3.9631889683469423E-2</v>
      </c>
      <c r="O116">
        <f t="shared" si="9"/>
        <v>4.6625752568787551E-2</v>
      </c>
      <c r="P116">
        <f t="shared" si="10"/>
        <v>1.9815944841734712E-2</v>
      </c>
      <c r="Q116">
        <f t="shared" si="11"/>
        <v>6.4110409782082893E-3</v>
      </c>
      <c r="R116">
        <f t="shared" si="12"/>
        <v>2.8558273448382378E-2</v>
      </c>
    </row>
    <row r="117" spans="1:18" hidden="1" x14ac:dyDescent="0.25">
      <c r="A117" s="46">
        <v>2020</v>
      </c>
      <c r="B117" s="56">
        <v>103</v>
      </c>
      <c r="C117" s="47" t="s">
        <v>56</v>
      </c>
      <c r="D117" s="47" t="s">
        <v>51</v>
      </c>
      <c r="E117" s="47" t="s">
        <v>48</v>
      </c>
      <c r="F117" s="46">
        <v>4275</v>
      </c>
      <c r="G117" s="46">
        <v>175</v>
      </c>
      <c r="H117" s="46">
        <v>685</v>
      </c>
      <c r="I117" s="46">
        <v>735</v>
      </c>
      <c r="J117" s="46">
        <v>585</v>
      </c>
      <c r="K117" s="46">
        <v>310</v>
      </c>
      <c r="L117" s="46">
        <v>1785</v>
      </c>
      <c r="M117">
        <f t="shared" si="7"/>
        <v>2.0398766748844555E-2</v>
      </c>
      <c r="N117">
        <f t="shared" si="8"/>
        <v>7.984660127404869E-2</v>
      </c>
      <c r="O117">
        <f t="shared" si="9"/>
        <v>8.5674820345147132E-2</v>
      </c>
      <c r="P117">
        <f t="shared" si="10"/>
        <v>6.8190163131851805E-2</v>
      </c>
      <c r="Q117">
        <f t="shared" si="11"/>
        <v>3.613495824081036E-2</v>
      </c>
      <c r="R117">
        <f t="shared" si="12"/>
        <v>0.20806742083821447</v>
      </c>
    </row>
    <row r="118" spans="1:18" hidden="1" x14ac:dyDescent="0.25">
      <c r="A118" s="46">
        <v>2020</v>
      </c>
      <c r="B118" s="56">
        <v>103</v>
      </c>
      <c r="C118" s="47" t="s">
        <v>56</v>
      </c>
      <c r="D118" s="47" t="s">
        <v>51</v>
      </c>
      <c r="E118" s="47" t="s">
        <v>49</v>
      </c>
      <c r="F118" s="46">
        <v>1505</v>
      </c>
      <c r="G118" s="46">
        <v>25</v>
      </c>
      <c r="H118" s="46">
        <v>105</v>
      </c>
      <c r="I118" s="46">
        <v>110</v>
      </c>
      <c r="J118" s="46">
        <v>95</v>
      </c>
      <c r="K118" s="46">
        <v>45</v>
      </c>
      <c r="L118" s="46">
        <v>1120</v>
      </c>
      <c r="M118">
        <f t="shared" si="7"/>
        <v>2.914109535549222E-3</v>
      </c>
      <c r="N118">
        <f t="shared" si="8"/>
        <v>1.2239260049306732E-2</v>
      </c>
      <c r="O118">
        <f t="shared" si="9"/>
        <v>1.2822081956416579E-2</v>
      </c>
      <c r="P118">
        <f t="shared" si="10"/>
        <v>1.1073616235087045E-2</v>
      </c>
      <c r="Q118">
        <f t="shared" si="11"/>
        <v>5.2453971639886002E-3</v>
      </c>
      <c r="R118">
        <f t="shared" si="12"/>
        <v>0.13055210719260515</v>
      </c>
    </row>
    <row r="119" spans="1:18" hidden="1" x14ac:dyDescent="0.25">
      <c r="A119" s="46">
        <v>2020</v>
      </c>
      <c r="B119" s="56">
        <v>103</v>
      </c>
      <c r="C119" s="47" t="s">
        <v>56</v>
      </c>
      <c r="D119" s="47" t="s">
        <v>51</v>
      </c>
      <c r="E119" s="47" t="s">
        <v>50</v>
      </c>
      <c r="F119" s="46">
        <v>1135</v>
      </c>
      <c r="G119" s="46">
        <v>0</v>
      </c>
      <c r="H119" s="46">
        <v>15</v>
      </c>
      <c r="I119" s="46">
        <v>20</v>
      </c>
      <c r="J119" s="46">
        <v>20</v>
      </c>
      <c r="K119" s="46">
        <v>10</v>
      </c>
      <c r="L119" s="46">
        <v>1070</v>
      </c>
      <c r="M119">
        <f t="shared" si="7"/>
        <v>0</v>
      </c>
      <c r="N119">
        <f t="shared" si="8"/>
        <v>1.7484657213295333E-3</v>
      </c>
      <c r="O119">
        <f t="shared" si="9"/>
        <v>2.3312876284393778E-3</v>
      </c>
      <c r="P119">
        <f t="shared" si="10"/>
        <v>2.3312876284393778E-3</v>
      </c>
      <c r="Q119">
        <f t="shared" si="11"/>
        <v>1.1656438142196889E-3</v>
      </c>
      <c r="R119">
        <f t="shared" si="12"/>
        <v>0.12472388812150671</v>
      </c>
    </row>
    <row r="120" spans="1:18" hidden="1" x14ac:dyDescent="0.25">
      <c r="A120" s="46">
        <v>2020</v>
      </c>
      <c r="B120" s="56">
        <v>103</v>
      </c>
      <c r="C120" s="47" t="s">
        <v>56</v>
      </c>
      <c r="D120" s="47" t="s">
        <v>52</v>
      </c>
      <c r="E120" s="47" t="s">
        <v>43</v>
      </c>
      <c r="F120" s="46">
        <v>9340</v>
      </c>
      <c r="G120" s="46">
        <v>450</v>
      </c>
      <c r="H120" s="46">
        <v>1910</v>
      </c>
      <c r="I120" s="46">
        <v>1360</v>
      </c>
      <c r="J120" s="46">
        <v>955</v>
      </c>
      <c r="K120" s="46">
        <v>455</v>
      </c>
      <c r="L120" s="46">
        <v>4210</v>
      </c>
      <c r="M120">
        <f t="shared" si="7"/>
        <v>5.2453971639886E-2</v>
      </c>
      <c r="N120">
        <f t="shared" si="8"/>
        <v>0.22263796851596057</v>
      </c>
      <c r="O120">
        <f t="shared" si="9"/>
        <v>0.15852755873387769</v>
      </c>
      <c r="P120">
        <f t="shared" si="10"/>
        <v>0.11131898425798029</v>
      </c>
      <c r="Q120">
        <f t="shared" si="11"/>
        <v>5.3036793546995843E-2</v>
      </c>
      <c r="R120">
        <f t="shared" si="12"/>
        <v>0.49073604578648905</v>
      </c>
    </row>
    <row r="121" spans="1:18" hidden="1" x14ac:dyDescent="0.25">
      <c r="A121" s="46">
        <v>2020</v>
      </c>
      <c r="B121" s="56">
        <v>103</v>
      </c>
      <c r="C121" s="47" t="s">
        <v>56</v>
      </c>
      <c r="D121" s="47" t="s">
        <v>52</v>
      </c>
      <c r="E121" s="47" t="s">
        <v>44</v>
      </c>
      <c r="F121" s="46">
        <v>1355</v>
      </c>
      <c r="G121" s="46">
        <v>145</v>
      </c>
      <c r="H121" s="46">
        <v>560</v>
      </c>
      <c r="I121" s="46">
        <v>355</v>
      </c>
      <c r="J121" s="46">
        <v>165</v>
      </c>
      <c r="K121" s="46">
        <v>65</v>
      </c>
      <c r="L121" s="46">
        <v>65</v>
      </c>
      <c r="M121">
        <f t="shared" si="7"/>
        <v>1.6901835306185491E-2</v>
      </c>
      <c r="N121">
        <f t="shared" si="8"/>
        <v>6.5276053596302577E-2</v>
      </c>
      <c r="O121">
        <f t="shared" si="9"/>
        <v>4.1380355404798952E-2</v>
      </c>
      <c r="P121">
        <f t="shared" si="10"/>
        <v>1.9233122934624865E-2</v>
      </c>
      <c r="Q121">
        <f t="shared" si="11"/>
        <v>7.5766847924279776E-3</v>
      </c>
      <c r="R121">
        <f t="shared" si="12"/>
        <v>7.5766847924279776E-3</v>
      </c>
    </row>
    <row r="122" spans="1:18" hidden="1" x14ac:dyDescent="0.25">
      <c r="A122" s="46">
        <v>2020</v>
      </c>
      <c r="B122" s="56">
        <v>103</v>
      </c>
      <c r="C122" s="47" t="s">
        <v>56</v>
      </c>
      <c r="D122" s="47" t="s">
        <v>52</v>
      </c>
      <c r="E122" s="47" t="s">
        <v>45</v>
      </c>
      <c r="F122" s="46">
        <v>345</v>
      </c>
      <c r="G122" s="46">
        <v>15</v>
      </c>
      <c r="H122" s="46">
        <v>75</v>
      </c>
      <c r="I122" s="46">
        <v>65</v>
      </c>
      <c r="J122" s="46">
        <v>60</v>
      </c>
      <c r="K122" s="46">
        <v>20</v>
      </c>
      <c r="L122" s="46">
        <v>110</v>
      </c>
      <c r="M122">
        <f t="shared" si="7"/>
        <v>1.7484657213295333E-3</v>
      </c>
      <c r="N122">
        <f t="shared" si="8"/>
        <v>8.7423286066476667E-3</v>
      </c>
      <c r="O122">
        <f t="shared" si="9"/>
        <v>7.5766847924279776E-3</v>
      </c>
      <c r="P122">
        <f t="shared" si="10"/>
        <v>6.993862885318133E-3</v>
      </c>
      <c r="Q122">
        <f t="shared" si="11"/>
        <v>2.3312876284393778E-3</v>
      </c>
      <c r="R122">
        <f t="shared" si="12"/>
        <v>1.2822081956416579E-2</v>
      </c>
    </row>
    <row r="123" spans="1:18" hidden="1" x14ac:dyDescent="0.25">
      <c r="A123" s="46">
        <v>2020</v>
      </c>
      <c r="B123" s="56">
        <v>103</v>
      </c>
      <c r="C123" s="47" t="s">
        <v>56</v>
      </c>
      <c r="D123" s="47" t="s">
        <v>52</v>
      </c>
      <c r="E123" s="47" t="s">
        <v>46</v>
      </c>
      <c r="F123" s="46">
        <v>575</v>
      </c>
      <c r="G123" s="46">
        <v>40</v>
      </c>
      <c r="H123" s="46">
        <v>180</v>
      </c>
      <c r="I123" s="46">
        <v>110</v>
      </c>
      <c r="J123" s="46">
        <v>50</v>
      </c>
      <c r="K123" s="46">
        <v>15</v>
      </c>
      <c r="L123" s="46">
        <v>175</v>
      </c>
      <c r="M123">
        <f t="shared" si="7"/>
        <v>4.6625752568787556E-3</v>
      </c>
      <c r="N123">
        <f t="shared" si="8"/>
        <v>2.0981588655954401E-2</v>
      </c>
      <c r="O123">
        <f t="shared" si="9"/>
        <v>1.2822081956416579E-2</v>
      </c>
      <c r="P123">
        <f t="shared" si="10"/>
        <v>5.8282190710984439E-3</v>
      </c>
      <c r="Q123">
        <f t="shared" si="11"/>
        <v>1.7484657213295333E-3</v>
      </c>
      <c r="R123">
        <f t="shared" si="12"/>
        <v>2.0398766748844555E-2</v>
      </c>
    </row>
    <row r="124" spans="1:18" hidden="1" x14ac:dyDescent="0.25">
      <c r="A124" s="46">
        <v>2020</v>
      </c>
      <c r="B124" s="56">
        <v>103</v>
      </c>
      <c r="C124" s="47" t="s">
        <v>56</v>
      </c>
      <c r="D124" s="47" t="s">
        <v>52</v>
      </c>
      <c r="E124" s="47" t="s">
        <v>47</v>
      </c>
      <c r="F124" s="46">
        <v>970</v>
      </c>
      <c r="G124" s="46">
        <v>80</v>
      </c>
      <c r="H124" s="46">
        <v>325</v>
      </c>
      <c r="I124" s="46">
        <v>210</v>
      </c>
      <c r="J124" s="46">
        <v>100</v>
      </c>
      <c r="K124" s="46">
        <v>40</v>
      </c>
      <c r="L124" s="46">
        <v>220</v>
      </c>
      <c r="M124">
        <f t="shared" si="7"/>
        <v>9.3251505137575113E-3</v>
      </c>
      <c r="N124">
        <f t="shared" si="8"/>
        <v>3.7883423962139888E-2</v>
      </c>
      <c r="O124">
        <f t="shared" si="9"/>
        <v>2.4478520098613465E-2</v>
      </c>
      <c r="P124">
        <f t="shared" si="10"/>
        <v>1.1656438142196888E-2</v>
      </c>
      <c r="Q124">
        <f t="shared" si="11"/>
        <v>4.6625752568787556E-3</v>
      </c>
      <c r="R124">
        <f t="shared" si="12"/>
        <v>2.5644163912833157E-2</v>
      </c>
    </row>
    <row r="125" spans="1:18" hidden="1" x14ac:dyDescent="0.25">
      <c r="A125" s="46">
        <v>2020</v>
      </c>
      <c r="B125" s="56">
        <v>103</v>
      </c>
      <c r="C125" s="47" t="s">
        <v>56</v>
      </c>
      <c r="D125" s="47" t="s">
        <v>52</v>
      </c>
      <c r="E125" s="47" t="s">
        <v>48</v>
      </c>
      <c r="F125" s="46">
        <v>3720</v>
      </c>
      <c r="G125" s="46">
        <v>140</v>
      </c>
      <c r="H125" s="46">
        <v>650</v>
      </c>
      <c r="I125" s="46">
        <v>500</v>
      </c>
      <c r="J125" s="46">
        <v>450</v>
      </c>
      <c r="K125" s="46">
        <v>260</v>
      </c>
      <c r="L125" s="46">
        <v>1715</v>
      </c>
      <c r="M125">
        <f t="shared" si="7"/>
        <v>1.6319013399075644E-2</v>
      </c>
      <c r="N125">
        <f t="shared" si="8"/>
        <v>7.5766847924279776E-2</v>
      </c>
      <c r="O125">
        <f t="shared" si="9"/>
        <v>5.8282190710984443E-2</v>
      </c>
      <c r="P125">
        <f t="shared" si="10"/>
        <v>5.2453971639886E-2</v>
      </c>
      <c r="Q125">
        <f t="shared" si="11"/>
        <v>3.030673916971191E-2</v>
      </c>
      <c r="R125">
        <f t="shared" si="12"/>
        <v>0.19990791413867665</v>
      </c>
    </row>
    <row r="126" spans="1:18" hidden="1" x14ac:dyDescent="0.25">
      <c r="A126" s="46">
        <v>2020</v>
      </c>
      <c r="B126" s="56">
        <v>103</v>
      </c>
      <c r="C126" s="47" t="s">
        <v>56</v>
      </c>
      <c r="D126" s="47" t="s">
        <v>52</v>
      </c>
      <c r="E126" s="47" t="s">
        <v>49</v>
      </c>
      <c r="F126" s="46">
        <v>1505</v>
      </c>
      <c r="G126" s="46">
        <v>15</v>
      </c>
      <c r="H126" s="46">
        <v>100</v>
      </c>
      <c r="I126" s="46">
        <v>95</v>
      </c>
      <c r="J126" s="46">
        <v>95</v>
      </c>
      <c r="K126" s="46">
        <v>50</v>
      </c>
      <c r="L126" s="46">
        <v>1150</v>
      </c>
      <c r="M126">
        <f t="shared" si="7"/>
        <v>1.7484657213295333E-3</v>
      </c>
      <c r="N126">
        <f t="shared" si="8"/>
        <v>1.1656438142196888E-2</v>
      </c>
      <c r="O126">
        <f t="shared" si="9"/>
        <v>1.1073616235087045E-2</v>
      </c>
      <c r="P126">
        <f t="shared" si="10"/>
        <v>1.1073616235087045E-2</v>
      </c>
      <c r="Q126">
        <f t="shared" si="11"/>
        <v>5.8282190710984439E-3</v>
      </c>
      <c r="R126">
        <f t="shared" si="12"/>
        <v>0.13404903863526424</v>
      </c>
    </row>
    <row r="127" spans="1:18" hidden="1" x14ac:dyDescent="0.25">
      <c r="A127" s="46">
        <v>2020</v>
      </c>
      <c r="B127" s="56">
        <v>103</v>
      </c>
      <c r="C127" s="47" t="s">
        <v>56</v>
      </c>
      <c r="D127" s="47" t="s">
        <v>52</v>
      </c>
      <c r="E127" s="47" t="s">
        <v>50</v>
      </c>
      <c r="F127" s="46">
        <v>870</v>
      </c>
      <c r="G127" s="46">
        <v>10</v>
      </c>
      <c r="H127" s="46">
        <v>25</v>
      </c>
      <c r="I127" s="46">
        <v>20</v>
      </c>
      <c r="J127" s="46">
        <v>30</v>
      </c>
      <c r="K127" s="46">
        <v>10</v>
      </c>
      <c r="L127" s="46">
        <v>775</v>
      </c>
      <c r="M127">
        <f t="shared" si="7"/>
        <v>1.1656438142196889E-3</v>
      </c>
      <c r="N127">
        <f t="shared" si="8"/>
        <v>2.914109535549222E-3</v>
      </c>
      <c r="O127">
        <f t="shared" si="9"/>
        <v>2.3312876284393778E-3</v>
      </c>
      <c r="P127">
        <f t="shared" si="10"/>
        <v>3.4969314426590665E-3</v>
      </c>
      <c r="Q127">
        <f t="shared" si="11"/>
        <v>1.1656438142196889E-3</v>
      </c>
      <c r="R127">
        <f t="shared" si="12"/>
        <v>9.0337395602025888E-2</v>
      </c>
    </row>
    <row r="128" spans="1:18" x14ac:dyDescent="0.25">
      <c r="A128" s="46">
        <v>2020</v>
      </c>
      <c r="B128" s="56">
        <v>151</v>
      </c>
      <c r="C128" s="47" t="s">
        <v>57</v>
      </c>
      <c r="D128" s="47" t="s">
        <v>42</v>
      </c>
      <c r="E128" s="47" t="s">
        <v>43</v>
      </c>
      <c r="F128" s="46">
        <v>12955</v>
      </c>
      <c r="G128" s="46">
        <v>575</v>
      </c>
      <c r="H128" s="46">
        <v>2750</v>
      </c>
      <c r="I128" s="46">
        <v>2420</v>
      </c>
      <c r="J128" s="46">
        <v>1010</v>
      </c>
      <c r="K128" s="46">
        <v>580</v>
      </c>
      <c r="L128" s="46">
        <v>5615</v>
      </c>
      <c r="M128">
        <f t="shared" si="7"/>
        <v>6.702451931763212E-2</v>
      </c>
      <c r="N128">
        <f t="shared" si="8"/>
        <v>0.32055204891041444</v>
      </c>
      <c r="O128">
        <f t="shared" si="9"/>
        <v>0.28208580304116471</v>
      </c>
      <c r="P128">
        <f t="shared" si="10"/>
        <v>0.11773002523618858</v>
      </c>
      <c r="Q128">
        <f t="shared" si="11"/>
        <v>6.7607341224741963E-2</v>
      </c>
      <c r="R128">
        <f t="shared" si="12"/>
        <v>0.65450900168435533</v>
      </c>
    </row>
    <row r="129" spans="1:18" hidden="1" x14ac:dyDescent="0.25">
      <c r="A129" s="46">
        <v>2020</v>
      </c>
      <c r="B129" s="56">
        <v>151</v>
      </c>
      <c r="C129" s="47" t="s">
        <v>57</v>
      </c>
      <c r="D129" s="47" t="s">
        <v>42</v>
      </c>
      <c r="E129" s="47" t="s">
        <v>44</v>
      </c>
      <c r="F129" s="46">
        <v>1965</v>
      </c>
      <c r="G129" s="46">
        <v>215</v>
      </c>
      <c r="H129" s="46">
        <v>815</v>
      </c>
      <c r="I129" s="46">
        <v>535</v>
      </c>
      <c r="J129" s="46">
        <v>200</v>
      </c>
      <c r="K129" s="46">
        <v>90</v>
      </c>
      <c r="L129" s="46">
        <v>110</v>
      </c>
      <c r="M129">
        <f t="shared" si="7"/>
        <v>2.5061342005723308E-2</v>
      </c>
      <c r="N129">
        <f t="shared" si="8"/>
        <v>9.4999970858904645E-2</v>
      </c>
      <c r="O129">
        <f t="shared" si="9"/>
        <v>6.2361944060753356E-2</v>
      </c>
      <c r="P129">
        <f t="shared" si="10"/>
        <v>2.3312876284393776E-2</v>
      </c>
      <c r="Q129">
        <f t="shared" si="11"/>
        <v>1.04907943279772E-2</v>
      </c>
      <c r="R129">
        <f t="shared" si="12"/>
        <v>1.2822081956416579E-2</v>
      </c>
    </row>
    <row r="130" spans="1:18" hidden="1" x14ac:dyDescent="0.25">
      <c r="A130" s="46">
        <v>2020</v>
      </c>
      <c r="B130" s="56">
        <v>151</v>
      </c>
      <c r="C130" s="47" t="s">
        <v>57</v>
      </c>
      <c r="D130" s="47" t="s">
        <v>42</v>
      </c>
      <c r="E130" s="47" t="s">
        <v>45</v>
      </c>
      <c r="F130" s="46">
        <v>580</v>
      </c>
      <c r="G130" s="46">
        <v>30</v>
      </c>
      <c r="H130" s="46">
        <v>145</v>
      </c>
      <c r="I130" s="46">
        <v>160</v>
      </c>
      <c r="J130" s="46">
        <v>60</v>
      </c>
      <c r="K130" s="46">
        <v>15</v>
      </c>
      <c r="L130" s="46">
        <v>165</v>
      </c>
      <c r="M130">
        <f t="shared" si="7"/>
        <v>3.4969314426590665E-3</v>
      </c>
      <c r="N130">
        <f t="shared" si="8"/>
        <v>1.6901835306185491E-2</v>
      </c>
      <c r="O130">
        <f t="shared" si="9"/>
        <v>1.8650301027515023E-2</v>
      </c>
      <c r="P130">
        <f t="shared" si="10"/>
        <v>6.993862885318133E-3</v>
      </c>
      <c r="Q130">
        <f t="shared" si="11"/>
        <v>1.7484657213295333E-3</v>
      </c>
      <c r="R130">
        <f t="shared" si="12"/>
        <v>1.9233122934624865E-2</v>
      </c>
    </row>
    <row r="131" spans="1:18" hidden="1" x14ac:dyDescent="0.25">
      <c r="A131" s="46">
        <v>2020</v>
      </c>
      <c r="B131" s="56">
        <v>151</v>
      </c>
      <c r="C131" s="47" t="s">
        <v>57</v>
      </c>
      <c r="D131" s="47" t="s">
        <v>42</v>
      </c>
      <c r="E131" s="47" t="s">
        <v>46</v>
      </c>
      <c r="F131" s="46">
        <v>1040</v>
      </c>
      <c r="G131" s="46">
        <v>70</v>
      </c>
      <c r="H131" s="46">
        <v>310</v>
      </c>
      <c r="I131" s="46">
        <v>325</v>
      </c>
      <c r="J131" s="46">
        <v>45</v>
      </c>
      <c r="K131" s="46">
        <v>25</v>
      </c>
      <c r="L131" s="46">
        <v>270</v>
      </c>
      <c r="M131">
        <f t="shared" si="7"/>
        <v>8.1595066995378222E-3</v>
      </c>
      <c r="N131">
        <f t="shared" si="8"/>
        <v>3.613495824081036E-2</v>
      </c>
      <c r="O131">
        <f t="shared" si="9"/>
        <v>3.7883423962139888E-2</v>
      </c>
      <c r="P131">
        <f t="shared" si="10"/>
        <v>5.2453971639886002E-3</v>
      </c>
      <c r="Q131">
        <f t="shared" si="11"/>
        <v>2.914109535549222E-3</v>
      </c>
      <c r="R131">
        <f t="shared" si="12"/>
        <v>3.1472382983931603E-2</v>
      </c>
    </row>
    <row r="132" spans="1:18" hidden="1" x14ac:dyDescent="0.25">
      <c r="A132" s="46">
        <v>2020</v>
      </c>
      <c r="B132" s="56">
        <v>151</v>
      </c>
      <c r="C132" s="47" t="s">
        <v>57</v>
      </c>
      <c r="D132" s="47" t="s">
        <v>42</v>
      </c>
      <c r="E132" s="47" t="s">
        <v>47</v>
      </c>
      <c r="F132" s="46">
        <v>1240</v>
      </c>
      <c r="G132" s="46">
        <v>75</v>
      </c>
      <c r="H132" s="46">
        <v>390</v>
      </c>
      <c r="I132" s="46">
        <v>335</v>
      </c>
      <c r="J132" s="46">
        <v>105</v>
      </c>
      <c r="K132" s="46">
        <v>45</v>
      </c>
      <c r="L132" s="46">
        <v>290</v>
      </c>
      <c r="M132">
        <f t="shared" si="7"/>
        <v>8.7423286066476667E-3</v>
      </c>
      <c r="N132">
        <f t="shared" si="8"/>
        <v>4.5460108754567866E-2</v>
      </c>
      <c r="O132">
        <f t="shared" si="9"/>
        <v>3.9049067776359581E-2</v>
      </c>
      <c r="P132">
        <f t="shared" si="10"/>
        <v>1.2239260049306732E-2</v>
      </c>
      <c r="Q132">
        <f t="shared" si="11"/>
        <v>5.2453971639886002E-3</v>
      </c>
      <c r="R132">
        <f t="shared" si="12"/>
        <v>3.3803670612370981E-2</v>
      </c>
    </row>
    <row r="133" spans="1:18" hidden="1" x14ac:dyDescent="0.25">
      <c r="A133" s="46">
        <v>2020</v>
      </c>
      <c r="B133" s="56">
        <v>151</v>
      </c>
      <c r="C133" s="47" t="s">
        <v>57</v>
      </c>
      <c r="D133" s="47" t="s">
        <v>42</v>
      </c>
      <c r="E133" s="47" t="s">
        <v>48</v>
      </c>
      <c r="F133" s="46">
        <v>4970</v>
      </c>
      <c r="G133" s="46">
        <v>160</v>
      </c>
      <c r="H133" s="46">
        <v>890</v>
      </c>
      <c r="I133" s="46">
        <v>885</v>
      </c>
      <c r="J133" s="46">
        <v>460</v>
      </c>
      <c r="K133" s="46">
        <v>315</v>
      </c>
      <c r="L133" s="46">
        <v>2265</v>
      </c>
      <c r="M133">
        <f t="shared" si="7"/>
        <v>1.8650301027515023E-2</v>
      </c>
      <c r="N133">
        <f t="shared" si="8"/>
        <v>0.10374229946555232</v>
      </c>
      <c r="O133">
        <f t="shared" si="9"/>
        <v>0.10315947755844246</v>
      </c>
      <c r="P133">
        <f t="shared" si="10"/>
        <v>5.3619615454105686E-2</v>
      </c>
      <c r="Q133">
        <f t="shared" si="11"/>
        <v>3.6717780147920202E-2</v>
      </c>
      <c r="R133">
        <f t="shared" si="12"/>
        <v>0.26401832392075952</v>
      </c>
    </row>
    <row r="134" spans="1:18" hidden="1" x14ac:dyDescent="0.25">
      <c r="A134" s="46">
        <v>2020</v>
      </c>
      <c r="B134" s="56">
        <v>151</v>
      </c>
      <c r="C134" s="47" t="s">
        <v>57</v>
      </c>
      <c r="D134" s="47" t="s">
        <v>42</v>
      </c>
      <c r="E134" s="47" t="s">
        <v>49</v>
      </c>
      <c r="F134" s="46">
        <v>2115</v>
      </c>
      <c r="G134" s="46">
        <v>20</v>
      </c>
      <c r="H134" s="46">
        <v>175</v>
      </c>
      <c r="I134" s="46">
        <v>155</v>
      </c>
      <c r="J134" s="46">
        <v>125</v>
      </c>
      <c r="K134" s="46">
        <v>80</v>
      </c>
      <c r="L134" s="46">
        <v>1560</v>
      </c>
      <c r="M134">
        <f t="shared" si="7"/>
        <v>2.3312876284393778E-3</v>
      </c>
      <c r="N134">
        <f t="shared" si="8"/>
        <v>2.0398766748844555E-2</v>
      </c>
      <c r="O134">
        <f t="shared" si="9"/>
        <v>1.806747912040518E-2</v>
      </c>
      <c r="P134">
        <f t="shared" si="10"/>
        <v>1.4570547677746111E-2</v>
      </c>
      <c r="Q134">
        <f t="shared" si="11"/>
        <v>9.3251505137575113E-3</v>
      </c>
      <c r="R134">
        <f t="shared" si="12"/>
        <v>0.18184043501827146</v>
      </c>
    </row>
    <row r="135" spans="1:18" hidden="1" x14ac:dyDescent="0.25">
      <c r="A135" s="46">
        <v>2020</v>
      </c>
      <c r="B135" s="56">
        <v>151</v>
      </c>
      <c r="C135" s="47" t="s">
        <v>57</v>
      </c>
      <c r="D135" s="47" t="s">
        <v>42</v>
      </c>
      <c r="E135" s="47" t="s">
        <v>50</v>
      </c>
      <c r="F135" s="46">
        <v>1050</v>
      </c>
      <c r="G135" s="46">
        <v>5</v>
      </c>
      <c r="H135" s="46">
        <v>25</v>
      </c>
      <c r="I135" s="46">
        <v>30</v>
      </c>
      <c r="J135" s="46">
        <v>20</v>
      </c>
      <c r="K135" s="46">
        <v>15</v>
      </c>
      <c r="L135" s="46">
        <v>955</v>
      </c>
      <c r="M135">
        <f t="shared" si="7"/>
        <v>5.8282190710984446E-4</v>
      </c>
      <c r="N135">
        <f t="shared" si="8"/>
        <v>2.914109535549222E-3</v>
      </c>
      <c r="O135">
        <f t="shared" si="9"/>
        <v>3.4969314426590665E-3</v>
      </c>
      <c r="P135">
        <f t="shared" si="10"/>
        <v>2.3312876284393778E-3</v>
      </c>
      <c r="Q135">
        <f t="shared" si="11"/>
        <v>1.7484657213295333E-3</v>
      </c>
      <c r="R135">
        <f t="shared" si="12"/>
        <v>0.11131898425798029</v>
      </c>
    </row>
    <row r="136" spans="1:18" hidden="1" x14ac:dyDescent="0.25">
      <c r="A136" s="46">
        <v>2020</v>
      </c>
      <c r="B136" s="56">
        <v>151</v>
      </c>
      <c r="C136" s="47" t="s">
        <v>57</v>
      </c>
      <c r="D136" s="47" t="s">
        <v>51</v>
      </c>
      <c r="E136" s="47" t="s">
        <v>43</v>
      </c>
      <c r="F136" s="46">
        <v>6905</v>
      </c>
      <c r="G136" s="46">
        <v>320</v>
      </c>
      <c r="H136" s="46">
        <v>1490</v>
      </c>
      <c r="I136" s="46">
        <v>1480</v>
      </c>
      <c r="J136" s="46">
        <v>560</v>
      </c>
      <c r="K136" s="46">
        <v>295</v>
      </c>
      <c r="L136" s="46">
        <v>2760</v>
      </c>
      <c r="M136">
        <f t="shared" si="7"/>
        <v>3.7300602055030045E-2</v>
      </c>
      <c r="N136">
        <f t="shared" si="8"/>
        <v>0.17368092831873364</v>
      </c>
      <c r="O136">
        <f t="shared" si="9"/>
        <v>0.17251528450451395</v>
      </c>
      <c r="P136">
        <f t="shared" si="10"/>
        <v>6.5276053596302577E-2</v>
      </c>
      <c r="Q136">
        <f t="shared" si="11"/>
        <v>3.4386492519480824E-2</v>
      </c>
      <c r="R136">
        <f t="shared" si="12"/>
        <v>0.32171769272463413</v>
      </c>
    </row>
    <row r="137" spans="1:18" hidden="1" x14ac:dyDescent="0.25">
      <c r="A137" s="46">
        <v>2020</v>
      </c>
      <c r="B137" s="56">
        <v>151</v>
      </c>
      <c r="C137" s="47" t="s">
        <v>57</v>
      </c>
      <c r="D137" s="47" t="s">
        <v>51</v>
      </c>
      <c r="E137" s="47" t="s">
        <v>44</v>
      </c>
      <c r="F137" s="46">
        <v>1060</v>
      </c>
      <c r="G137" s="46">
        <v>115</v>
      </c>
      <c r="H137" s="46">
        <v>430</v>
      </c>
      <c r="I137" s="46">
        <v>290</v>
      </c>
      <c r="J137" s="46">
        <v>125</v>
      </c>
      <c r="K137" s="46">
        <v>40</v>
      </c>
      <c r="L137" s="46">
        <v>60</v>
      </c>
      <c r="M137">
        <f t="shared" ref="M137:M200" si="13">G137/$F$8*100</f>
        <v>1.3404903863526422E-2</v>
      </c>
      <c r="N137">
        <f t="shared" ref="N137:N200" si="14">H137/$F$8*100</f>
        <v>5.0122684011446615E-2</v>
      </c>
      <c r="O137">
        <f t="shared" ref="O137:O200" si="15">I137/$F$8*100</f>
        <v>3.3803670612370981E-2</v>
      </c>
      <c r="P137">
        <f t="shared" ref="P137:P200" si="16">J137/$F$8*100</f>
        <v>1.4570547677746111E-2</v>
      </c>
      <c r="Q137">
        <f t="shared" ref="Q137:Q200" si="17">K137/$F$8*100</f>
        <v>4.6625752568787556E-3</v>
      </c>
      <c r="R137">
        <f t="shared" ref="R137:R200" si="18">L137/$F$8*100</f>
        <v>6.993862885318133E-3</v>
      </c>
    </row>
    <row r="138" spans="1:18" hidden="1" x14ac:dyDescent="0.25">
      <c r="A138" s="46">
        <v>2020</v>
      </c>
      <c r="B138" s="56">
        <v>151</v>
      </c>
      <c r="C138" s="47" t="s">
        <v>57</v>
      </c>
      <c r="D138" s="47" t="s">
        <v>51</v>
      </c>
      <c r="E138" s="47" t="s">
        <v>45</v>
      </c>
      <c r="F138" s="46">
        <v>295</v>
      </c>
      <c r="G138" s="46">
        <v>20</v>
      </c>
      <c r="H138" s="46">
        <v>60</v>
      </c>
      <c r="I138" s="46">
        <v>95</v>
      </c>
      <c r="J138" s="46">
        <v>25</v>
      </c>
      <c r="K138" s="46">
        <v>10</v>
      </c>
      <c r="L138" s="46">
        <v>90</v>
      </c>
      <c r="M138">
        <f t="shared" si="13"/>
        <v>2.3312876284393778E-3</v>
      </c>
      <c r="N138">
        <f t="shared" si="14"/>
        <v>6.993862885318133E-3</v>
      </c>
      <c r="O138">
        <f t="shared" si="15"/>
        <v>1.1073616235087045E-2</v>
      </c>
      <c r="P138">
        <f t="shared" si="16"/>
        <v>2.914109535549222E-3</v>
      </c>
      <c r="Q138">
        <f t="shared" si="17"/>
        <v>1.1656438142196889E-3</v>
      </c>
      <c r="R138">
        <f t="shared" si="18"/>
        <v>1.04907943279772E-2</v>
      </c>
    </row>
    <row r="139" spans="1:18" hidden="1" x14ac:dyDescent="0.25">
      <c r="A139" s="46">
        <v>2020</v>
      </c>
      <c r="B139" s="56">
        <v>151</v>
      </c>
      <c r="C139" s="47" t="s">
        <v>57</v>
      </c>
      <c r="D139" s="47" t="s">
        <v>51</v>
      </c>
      <c r="E139" s="47" t="s">
        <v>46</v>
      </c>
      <c r="F139" s="46">
        <v>625</v>
      </c>
      <c r="G139" s="46">
        <v>30</v>
      </c>
      <c r="H139" s="46">
        <v>170</v>
      </c>
      <c r="I139" s="46">
        <v>245</v>
      </c>
      <c r="J139" s="46">
        <v>25</v>
      </c>
      <c r="K139" s="46">
        <v>10</v>
      </c>
      <c r="L139" s="46">
        <v>150</v>
      </c>
      <c r="M139">
        <f t="shared" si="13"/>
        <v>3.4969314426590665E-3</v>
      </c>
      <c r="N139">
        <f t="shared" si="14"/>
        <v>1.9815944841734712E-2</v>
      </c>
      <c r="O139">
        <f t="shared" si="15"/>
        <v>2.8558273448382378E-2</v>
      </c>
      <c r="P139">
        <f t="shared" si="16"/>
        <v>2.914109535549222E-3</v>
      </c>
      <c r="Q139">
        <f t="shared" si="17"/>
        <v>1.1656438142196889E-3</v>
      </c>
      <c r="R139">
        <f t="shared" si="18"/>
        <v>1.7484657213295333E-2</v>
      </c>
    </row>
    <row r="140" spans="1:18" hidden="1" x14ac:dyDescent="0.25">
      <c r="A140" s="46">
        <v>2020</v>
      </c>
      <c r="B140" s="56">
        <v>151</v>
      </c>
      <c r="C140" s="47" t="s">
        <v>57</v>
      </c>
      <c r="D140" s="47" t="s">
        <v>51</v>
      </c>
      <c r="E140" s="47" t="s">
        <v>47</v>
      </c>
      <c r="F140" s="46">
        <v>720</v>
      </c>
      <c r="G140" s="46">
        <v>45</v>
      </c>
      <c r="H140" s="46">
        <v>220</v>
      </c>
      <c r="I140" s="46">
        <v>225</v>
      </c>
      <c r="J140" s="46">
        <v>55</v>
      </c>
      <c r="K140" s="46">
        <v>15</v>
      </c>
      <c r="L140" s="46">
        <v>160</v>
      </c>
      <c r="M140">
        <f t="shared" si="13"/>
        <v>5.2453971639886002E-3</v>
      </c>
      <c r="N140">
        <f t="shared" si="14"/>
        <v>2.5644163912833157E-2</v>
      </c>
      <c r="O140">
        <f t="shared" si="15"/>
        <v>2.6226985819943E-2</v>
      </c>
      <c r="P140">
        <f t="shared" si="16"/>
        <v>6.4110409782082893E-3</v>
      </c>
      <c r="Q140">
        <f t="shared" si="17"/>
        <v>1.7484657213295333E-3</v>
      </c>
      <c r="R140">
        <f t="shared" si="18"/>
        <v>1.8650301027515023E-2</v>
      </c>
    </row>
    <row r="141" spans="1:18" hidden="1" x14ac:dyDescent="0.25">
      <c r="A141" s="46">
        <v>2020</v>
      </c>
      <c r="B141" s="56">
        <v>151</v>
      </c>
      <c r="C141" s="47" t="s">
        <v>57</v>
      </c>
      <c r="D141" s="47" t="s">
        <v>51</v>
      </c>
      <c r="E141" s="47" t="s">
        <v>48</v>
      </c>
      <c r="F141" s="46">
        <v>2575</v>
      </c>
      <c r="G141" s="46">
        <v>95</v>
      </c>
      <c r="H141" s="46">
        <v>490</v>
      </c>
      <c r="I141" s="46">
        <v>515</v>
      </c>
      <c r="J141" s="46">
        <v>255</v>
      </c>
      <c r="K141" s="46">
        <v>165</v>
      </c>
      <c r="L141" s="46">
        <v>1055</v>
      </c>
      <c r="M141">
        <f t="shared" si="13"/>
        <v>1.1073616235087045E-2</v>
      </c>
      <c r="N141">
        <f t="shared" si="14"/>
        <v>5.7116546896764757E-2</v>
      </c>
      <c r="O141">
        <f t="shared" si="15"/>
        <v>6.0030656432313978E-2</v>
      </c>
      <c r="P141">
        <f t="shared" si="16"/>
        <v>2.9723917262602068E-2</v>
      </c>
      <c r="Q141">
        <f t="shared" si="17"/>
        <v>1.9233122934624865E-2</v>
      </c>
      <c r="R141">
        <f t="shared" si="18"/>
        <v>0.12297542240017718</v>
      </c>
    </row>
    <row r="142" spans="1:18" hidden="1" x14ac:dyDescent="0.25">
      <c r="A142" s="46">
        <v>2020</v>
      </c>
      <c r="B142" s="56">
        <v>151</v>
      </c>
      <c r="C142" s="47" t="s">
        <v>57</v>
      </c>
      <c r="D142" s="47" t="s">
        <v>51</v>
      </c>
      <c r="E142" s="47" t="s">
        <v>49</v>
      </c>
      <c r="F142" s="46">
        <v>1110</v>
      </c>
      <c r="G142" s="46">
        <v>15</v>
      </c>
      <c r="H142" s="46">
        <v>105</v>
      </c>
      <c r="I142" s="46">
        <v>100</v>
      </c>
      <c r="J142" s="46">
        <v>70</v>
      </c>
      <c r="K142" s="46">
        <v>50</v>
      </c>
      <c r="L142" s="46">
        <v>775</v>
      </c>
      <c r="M142">
        <f t="shared" si="13"/>
        <v>1.7484657213295333E-3</v>
      </c>
      <c r="N142">
        <f t="shared" si="14"/>
        <v>1.2239260049306732E-2</v>
      </c>
      <c r="O142">
        <f t="shared" si="15"/>
        <v>1.1656438142196888E-2</v>
      </c>
      <c r="P142">
        <f t="shared" si="16"/>
        <v>8.1595066995378222E-3</v>
      </c>
      <c r="Q142">
        <f t="shared" si="17"/>
        <v>5.8282190710984439E-3</v>
      </c>
      <c r="R142">
        <f t="shared" si="18"/>
        <v>9.0337395602025888E-2</v>
      </c>
    </row>
    <row r="143" spans="1:18" hidden="1" x14ac:dyDescent="0.25">
      <c r="A143" s="46">
        <v>2020</v>
      </c>
      <c r="B143" s="56">
        <v>151</v>
      </c>
      <c r="C143" s="47" t="s">
        <v>57</v>
      </c>
      <c r="D143" s="47" t="s">
        <v>51</v>
      </c>
      <c r="E143" s="47" t="s">
        <v>50</v>
      </c>
      <c r="F143" s="46">
        <v>515</v>
      </c>
      <c r="G143" s="46">
        <v>5</v>
      </c>
      <c r="H143" s="46">
        <v>10</v>
      </c>
      <c r="I143" s="46">
        <v>15</v>
      </c>
      <c r="J143" s="46">
        <v>10</v>
      </c>
      <c r="K143" s="46">
        <v>10</v>
      </c>
      <c r="L143" s="46">
        <v>470</v>
      </c>
      <c r="M143">
        <f t="shared" si="13"/>
        <v>5.8282190710984446E-4</v>
      </c>
      <c r="N143">
        <f t="shared" si="14"/>
        <v>1.1656438142196889E-3</v>
      </c>
      <c r="O143">
        <f t="shared" si="15"/>
        <v>1.7484657213295333E-3</v>
      </c>
      <c r="P143">
        <f t="shared" si="16"/>
        <v>1.1656438142196889E-3</v>
      </c>
      <c r="Q143">
        <f t="shared" si="17"/>
        <v>1.1656438142196889E-3</v>
      </c>
      <c r="R143">
        <f t="shared" si="18"/>
        <v>5.4785259268325379E-2</v>
      </c>
    </row>
    <row r="144" spans="1:18" hidden="1" x14ac:dyDescent="0.25">
      <c r="A144" s="46">
        <v>2020</v>
      </c>
      <c r="B144" s="56">
        <v>151</v>
      </c>
      <c r="C144" s="47" t="s">
        <v>57</v>
      </c>
      <c r="D144" s="47" t="s">
        <v>52</v>
      </c>
      <c r="E144" s="47" t="s">
        <v>43</v>
      </c>
      <c r="F144" s="46">
        <v>6050</v>
      </c>
      <c r="G144" s="46">
        <v>255</v>
      </c>
      <c r="H144" s="46">
        <v>1260</v>
      </c>
      <c r="I144" s="46">
        <v>940</v>
      </c>
      <c r="J144" s="46">
        <v>450</v>
      </c>
      <c r="K144" s="46">
        <v>285</v>
      </c>
      <c r="L144" s="46">
        <v>2855</v>
      </c>
      <c r="M144">
        <f t="shared" si="13"/>
        <v>2.9723917262602068E-2</v>
      </c>
      <c r="N144">
        <f t="shared" si="14"/>
        <v>0.14687112059168081</v>
      </c>
      <c r="O144">
        <f t="shared" si="15"/>
        <v>0.10957051853665076</v>
      </c>
      <c r="P144">
        <f t="shared" si="16"/>
        <v>5.2453971639886E-2</v>
      </c>
      <c r="Q144">
        <f t="shared" si="17"/>
        <v>3.3220848705261131E-2</v>
      </c>
      <c r="R144">
        <f t="shared" si="18"/>
        <v>0.33279130895972114</v>
      </c>
    </row>
    <row r="145" spans="1:18" hidden="1" x14ac:dyDescent="0.25">
      <c r="A145" s="46">
        <v>2020</v>
      </c>
      <c r="B145" s="56">
        <v>151</v>
      </c>
      <c r="C145" s="47" t="s">
        <v>57</v>
      </c>
      <c r="D145" s="47" t="s">
        <v>52</v>
      </c>
      <c r="E145" s="47" t="s">
        <v>44</v>
      </c>
      <c r="F145" s="46">
        <v>905</v>
      </c>
      <c r="G145" s="46">
        <v>100</v>
      </c>
      <c r="H145" s="46">
        <v>390</v>
      </c>
      <c r="I145" s="46">
        <v>245</v>
      </c>
      <c r="J145" s="46">
        <v>75</v>
      </c>
      <c r="K145" s="46">
        <v>45</v>
      </c>
      <c r="L145" s="46">
        <v>50</v>
      </c>
      <c r="M145">
        <f t="shared" si="13"/>
        <v>1.1656438142196888E-2</v>
      </c>
      <c r="N145">
        <f t="shared" si="14"/>
        <v>4.5460108754567866E-2</v>
      </c>
      <c r="O145">
        <f t="shared" si="15"/>
        <v>2.8558273448382378E-2</v>
      </c>
      <c r="P145">
        <f t="shared" si="16"/>
        <v>8.7423286066476667E-3</v>
      </c>
      <c r="Q145">
        <f t="shared" si="17"/>
        <v>5.2453971639886002E-3</v>
      </c>
      <c r="R145">
        <f t="shared" si="18"/>
        <v>5.8282190710984439E-3</v>
      </c>
    </row>
    <row r="146" spans="1:18" hidden="1" x14ac:dyDescent="0.25">
      <c r="A146" s="46">
        <v>2020</v>
      </c>
      <c r="B146" s="56">
        <v>151</v>
      </c>
      <c r="C146" s="47" t="s">
        <v>57</v>
      </c>
      <c r="D146" s="47" t="s">
        <v>52</v>
      </c>
      <c r="E146" s="47" t="s">
        <v>45</v>
      </c>
      <c r="F146" s="46">
        <v>280</v>
      </c>
      <c r="G146" s="46">
        <v>10</v>
      </c>
      <c r="H146" s="46">
        <v>85</v>
      </c>
      <c r="I146" s="46">
        <v>70</v>
      </c>
      <c r="J146" s="46">
        <v>35</v>
      </c>
      <c r="K146" s="46">
        <v>5</v>
      </c>
      <c r="L146" s="46">
        <v>75</v>
      </c>
      <c r="M146">
        <f t="shared" si="13"/>
        <v>1.1656438142196889E-3</v>
      </c>
      <c r="N146">
        <f t="shared" si="14"/>
        <v>9.9079724208673559E-3</v>
      </c>
      <c r="O146">
        <f t="shared" si="15"/>
        <v>8.1595066995378222E-3</v>
      </c>
      <c r="P146">
        <f t="shared" si="16"/>
        <v>4.0797533497689111E-3</v>
      </c>
      <c r="Q146">
        <f t="shared" si="17"/>
        <v>5.8282190710984446E-4</v>
      </c>
      <c r="R146">
        <f t="shared" si="18"/>
        <v>8.7423286066476667E-3</v>
      </c>
    </row>
    <row r="147" spans="1:18" hidden="1" x14ac:dyDescent="0.25">
      <c r="A147" s="46">
        <v>2020</v>
      </c>
      <c r="B147" s="56">
        <v>151</v>
      </c>
      <c r="C147" s="47" t="s">
        <v>57</v>
      </c>
      <c r="D147" s="47" t="s">
        <v>52</v>
      </c>
      <c r="E147" s="47" t="s">
        <v>46</v>
      </c>
      <c r="F147" s="46">
        <v>415</v>
      </c>
      <c r="G147" s="46">
        <v>40</v>
      </c>
      <c r="H147" s="46">
        <v>135</v>
      </c>
      <c r="I147" s="46">
        <v>80</v>
      </c>
      <c r="J147" s="46">
        <v>20</v>
      </c>
      <c r="K147" s="46">
        <v>15</v>
      </c>
      <c r="L147" s="46">
        <v>120</v>
      </c>
      <c r="M147">
        <f t="shared" si="13"/>
        <v>4.6625752568787556E-3</v>
      </c>
      <c r="N147">
        <f t="shared" si="14"/>
        <v>1.5736191491965801E-2</v>
      </c>
      <c r="O147">
        <f t="shared" si="15"/>
        <v>9.3251505137575113E-3</v>
      </c>
      <c r="P147">
        <f t="shared" si="16"/>
        <v>2.3312876284393778E-3</v>
      </c>
      <c r="Q147">
        <f t="shared" si="17"/>
        <v>1.7484657213295333E-3</v>
      </c>
      <c r="R147">
        <f t="shared" si="18"/>
        <v>1.3987725770636266E-2</v>
      </c>
    </row>
    <row r="148" spans="1:18" hidden="1" x14ac:dyDescent="0.25">
      <c r="A148" s="46">
        <v>2020</v>
      </c>
      <c r="B148" s="56">
        <v>151</v>
      </c>
      <c r="C148" s="47" t="s">
        <v>57</v>
      </c>
      <c r="D148" s="47" t="s">
        <v>52</v>
      </c>
      <c r="E148" s="47" t="s">
        <v>47</v>
      </c>
      <c r="F148" s="46">
        <v>515</v>
      </c>
      <c r="G148" s="46">
        <v>30</v>
      </c>
      <c r="H148" s="46">
        <v>170</v>
      </c>
      <c r="I148" s="46">
        <v>110</v>
      </c>
      <c r="J148" s="46">
        <v>50</v>
      </c>
      <c r="K148" s="46">
        <v>30</v>
      </c>
      <c r="L148" s="46">
        <v>125</v>
      </c>
      <c r="M148">
        <f t="shared" si="13"/>
        <v>3.4969314426590665E-3</v>
      </c>
      <c r="N148">
        <f t="shared" si="14"/>
        <v>1.9815944841734712E-2</v>
      </c>
      <c r="O148">
        <f t="shared" si="15"/>
        <v>1.2822081956416579E-2</v>
      </c>
      <c r="P148">
        <f t="shared" si="16"/>
        <v>5.8282190710984439E-3</v>
      </c>
      <c r="Q148">
        <f t="shared" si="17"/>
        <v>3.4969314426590665E-3</v>
      </c>
      <c r="R148">
        <f t="shared" si="18"/>
        <v>1.4570547677746111E-2</v>
      </c>
    </row>
    <row r="149" spans="1:18" hidden="1" x14ac:dyDescent="0.25">
      <c r="A149" s="46">
        <v>2020</v>
      </c>
      <c r="B149" s="56">
        <v>151</v>
      </c>
      <c r="C149" s="47" t="s">
        <v>57</v>
      </c>
      <c r="D149" s="47" t="s">
        <v>52</v>
      </c>
      <c r="E149" s="47" t="s">
        <v>48</v>
      </c>
      <c r="F149" s="46">
        <v>2395</v>
      </c>
      <c r="G149" s="46">
        <v>65</v>
      </c>
      <c r="H149" s="46">
        <v>395</v>
      </c>
      <c r="I149" s="46">
        <v>370</v>
      </c>
      <c r="J149" s="46">
        <v>205</v>
      </c>
      <c r="K149" s="46">
        <v>145</v>
      </c>
      <c r="L149" s="46">
        <v>1210</v>
      </c>
      <c r="M149">
        <f t="shared" si="13"/>
        <v>7.5766847924279776E-3</v>
      </c>
      <c r="N149">
        <f t="shared" si="14"/>
        <v>4.6042930661677708E-2</v>
      </c>
      <c r="O149">
        <f t="shared" si="15"/>
        <v>4.3128821126128487E-2</v>
      </c>
      <c r="P149">
        <f t="shared" si="16"/>
        <v>2.3895698191503622E-2</v>
      </c>
      <c r="Q149">
        <f t="shared" si="17"/>
        <v>1.6901835306185491E-2</v>
      </c>
      <c r="R149">
        <f t="shared" si="18"/>
        <v>0.14104290152058235</v>
      </c>
    </row>
    <row r="150" spans="1:18" hidden="1" x14ac:dyDescent="0.25">
      <c r="A150" s="46">
        <v>2020</v>
      </c>
      <c r="B150" s="56">
        <v>151</v>
      </c>
      <c r="C150" s="47" t="s">
        <v>57</v>
      </c>
      <c r="D150" s="47" t="s">
        <v>52</v>
      </c>
      <c r="E150" s="47" t="s">
        <v>49</v>
      </c>
      <c r="F150" s="46">
        <v>1000</v>
      </c>
      <c r="G150" s="46">
        <v>10</v>
      </c>
      <c r="H150" s="46">
        <v>70</v>
      </c>
      <c r="I150" s="46">
        <v>55</v>
      </c>
      <c r="J150" s="46">
        <v>55</v>
      </c>
      <c r="K150" s="46">
        <v>30</v>
      </c>
      <c r="L150" s="46">
        <v>785</v>
      </c>
      <c r="M150">
        <f t="shared" si="13"/>
        <v>1.1656438142196889E-3</v>
      </c>
      <c r="N150">
        <f t="shared" si="14"/>
        <v>8.1595066995378222E-3</v>
      </c>
      <c r="O150">
        <f t="shared" si="15"/>
        <v>6.4110409782082893E-3</v>
      </c>
      <c r="P150">
        <f t="shared" si="16"/>
        <v>6.4110409782082893E-3</v>
      </c>
      <c r="Q150">
        <f t="shared" si="17"/>
        <v>3.4969314426590665E-3</v>
      </c>
      <c r="R150">
        <f t="shared" si="18"/>
        <v>9.1503039416245574E-2</v>
      </c>
    </row>
    <row r="151" spans="1:18" hidden="1" x14ac:dyDescent="0.25">
      <c r="A151" s="46">
        <v>2020</v>
      </c>
      <c r="B151" s="56">
        <v>151</v>
      </c>
      <c r="C151" s="47" t="s">
        <v>57</v>
      </c>
      <c r="D151" s="47" t="s">
        <v>52</v>
      </c>
      <c r="E151" s="47" t="s">
        <v>50</v>
      </c>
      <c r="F151" s="46">
        <v>530</v>
      </c>
      <c r="G151" s="46">
        <v>5</v>
      </c>
      <c r="H151" s="46">
        <v>15</v>
      </c>
      <c r="I151" s="46">
        <v>15</v>
      </c>
      <c r="J151" s="46">
        <v>10</v>
      </c>
      <c r="K151" s="46">
        <v>5</v>
      </c>
      <c r="L151" s="46">
        <v>480</v>
      </c>
      <c r="M151">
        <f t="shared" si="13"/>
        <v>5.8282190710984446E-4</v>
      </c>
      <c r="N151">
        <f t="shared" si="14"/>
        <v>1.7484657213295333E-3</v>
      </c>
      <c r="O151">
        <f t="shared" si="15"/>
        <v>1.7484657213295333E-3</v>
      </c>
      <c r="P151">
        <f t="shared" si="16"/>
        <v>1.1656438142196889E-3</v>
      </c>
      <c r="Q151">
        <f t="shared" si="17"/>
        <v>5.8282190710984446E-4</v>
      </c>
      <c r="R151">
        <f t="shared" si="18"/>
        <v>5.5950903082545064E-2</v>
      </c>
    </row>
    <row r="152" spans="1:18" x14ac:dyDescent="0.25">
      <c r="A152" s="46">
        <v>2020</v>
      </c>
      <c r="B152" s="56">
        <v>153</v>
      </c>
      <c r="C152" s="47" t="s">
        <v>58</v>
      </c>
      <c r="D152" s="47" t="s">
        <v>42</v>
      </c>
      <c r="E152" s="47" t="s">
        <v>43</v>
      </c>
      <c r="F152" s="46">
        <v>13830</v>
      </c>
      <c r="G152" s="46">
        <v>1005</v>
      </c>
      <c r="H152" s="46">
        <v>3485</v>
      </c>
      <c r="I152" s="46">
        <v>3265</v>
      </c>
      <c r="J152" s="46">
        <v>1070</v>
      </c>
      <c r="K152" s="46">
        <v>515</v>
      </c>
      <c r="L152" s="46">
        <v>4485</v>
      </c>
      <c r="M152">
        <f t="shared" si="13"/>
        <v>0.11714720332907873</v>
      </c>
      <c r="N152">
        <f t="shared" si="14"/>
        <v>0.40622686925556162</v>
      </c>
      <c r="O152">
        <f t="shared" si="15"/>
        <v>0.38058270534272842</v>
      </c>
      <c r="P152">
        <f t="shared" si="16"/>
        <v>0.12472388812150671</v>
      </c>
      <c r="Q152">
        <f t="shared" si="17"/>
        <v>6.0030656432313978E-2</v>
      </c>
      <c r="R152">
        <f t="shared" si="18"/>
        <v>0.52279125067753041</v>
      </c>
    </row>
    <row r="153" spans="1:18" hidden="1" x14ac:dyDescent="0.25">
      <c r="A153" s="46">
        <v>2020</v>
      </c>
      <c r="B153" s="56">
        <v>153</v>
      </c>
      <c r="C153" s="47" t="s">
        <v>58</v>
      </c>
      <c r="D153" s="47" t="s">
        <v>42</v>
      </c>
      <c r="E153" s="47" t="s">
        <v>44</v>
      </c>
      <c r="F153" s="46">
        <v>1910</v>
      </c>
      <c r="G153" s="46">
        <v>160</v>
      </c>
      <c r="H153" s="46">
        <v>720</v>
      </c>
      <c r="I153" s="46">
        <v>700</v>
      </c>
      <c r="J153" s="46">
        <v>175</v>
      </c>
      <c r="K153" s="46">
        <v>60</v>
      </c>
      <c r="L153" s="46">
        <v>90</v>
      </c>
      <c r="M153">
        <f t="shared" si="13"/>
        <v>1.8650301027515023E-2</v>
      </c>
      <c r="N153">
        <f t="shared" si="14"/>
        <v>8.3926354623817603E-2</v>
      </c>
      <c r="O153">
        <f t="shared" si="15"/>
        <v>8.1595066995378218E-2</v>
      </c>
      <c r="P153">
        <f t="shared" si="16"/>
        <v>2.0398766748844555E-2</v>
      </c>
      <c r="Q153">
        <f t="shared" si="17"/>
        <v>6.993862885318133E-3</v>
      </c>
      <c r="R153">
        <f t="shared" si="18"/>
        <v>1.04907943279772E-2</v>
      </c>
    </row>
    <row r="154" spans="1:18" hidden="1" x14ac:dyDescent="0.25">
      <c r="A154" s="46">
        <v>2020</v>
      </c>
      <c r="B154" s="56">
        <v>153</v>
      </c>
      <c r="C154" s="47" t="s">
        <v>58</v>
      </c>
      <c r="D154" s="47" t="s">
        <v>42</v>
      </c>
      <c r="E154" s="47" t="s">
        <v>45</v>
      </c>
      <c r="F154" s="46">
        <v>680</v>
      </c>
      <c r="G154" s="46">
        <v>95</v>
      </c>
      <c r="H154" s="46">
        <v>175</v>
      </c>
      <c r="I154" s="46">
        <v>215</v>
      </c>
      <c r="J154" s="46">
        <v>55</v>
      </c>
      <c r="K154" s="46">
        <v>15</v>
      </c>
      <c r="L154" s="46">
        <v>125</v>
      </c>
      <c r="M154">
        <f t="shared" si="13"/>
        <v>1.1073616235087045E-2</v>
      </c>
      <c r="N154">
        <f t="shared" si="14"/>
        <v>2.0398766748844555E-2</v>
      </c>
      <c r="O154">
        <f t="shared" si="15"/>
        <v>2.5061342005723308E-2</v>
      </c>
      <c r="P154">
        <f t="shared" si="16"/>
        <v>6.4110409782082893E-3</v>
      </c>
      <c r="Q154">
        <f t="shared" si="17"/>
        <v>1.7484657213295333E-3</v>
      </c>
      <c r="R154">
        <f t="shared" si="18"/>
        <v>1.4570547677746111E-2</v>
      </c>
    </row>
    <row r="155" spans="1:18" hidden="1" x14ac:dyDescent="0.25">
      <c r="A155" s="46">
        <v>2020</v>
      </c>
      <c r="B155" s="56">
        <v>153</v>
      </c>
      <c r="C155" s="47" t="s">
        <v>58</v>
      </c>
      <c r="D155" s="47" t="s">
        <v>42</v>
      </c>
      <c r="E155" s="47" t="s">
        <v>46</v>
      </c>
      <c r="F155" s="46">
        <v>1655</v>
      </c>
      <c r="G155" s="46">
        <v>235</v>
      </c>
      <c r="H155" s="46">
        <v>735</v>
      </c>
      <c r="I155" s="46">
        <v>415</v>
      </c>
      <c r="J155" s="46">
        <v>70</v>
      </c>
      <c r="K155" s="46">
        <v>20</v>
      </c>
      <c r="L155" s="46">
        <v>185</v>
      </c>
      <c r="M155">
        <f t="shared" si="13"/>
        <v>2.7392629634162689E-2</v>
      </c>
      <c r="N155">
        <f t="shared" si="14"/>
        <v>8.5674820345147132E-2</v>
      </c>
      <c r="O155">
        <f t="shared" si="15"/>
        <v>4.8374218290117087E-2</v>
      </c>
      <c r="P155">
        <f t="shared" si="16"/>
        <v>8.1595066995378222E-3</v>
      </c>
      <c r="Q155">
        <f t="shared" si="17"/>
        <v>2.3312876284393778E-3</v>
      </c>
      <c r="R155">
        <f t="shared" si="18"/>
        <v>2.1564410563064244E-2</v>
      </c>
    </row>
    <row r="156" spans="1:18" hidden="1" x14ac:dyDescent="0.25">
      <c r="A156" s="46">
        <v>2020</v>
      </c>
      <c r="B156" s="56">
        <v>153</v>
      </c>
      <c r="C156" s="47" t="s">
        <v>58</v>
      </c>
      <c r="D156" s="47" t="s">
        <v>42</v>
      </c>
      <c r="E156" s="47" t="s">
        <v>47</v>
      </c>
      <c r="F156" s="46">
        <v>1960</v>
      </c>
      <c r="G156" s="46">
        <v>185</v>
      </c>
      <c r="H156" s="46">
        <v>785</v>
      </c>
      <c r="I156" s="46">
        <v>550</v>
      </c>
      <c r="J156" s="46">
        <v>185</v>
      </c>
      <c r="K156" s="46">
        <v>75</v>
      </c>
      <c r="L156" s="46">
        <v>175</v>
      </c>
      <c r="M156">
        <f t="shared" si="13"/>
        <v>2.1564410563064244E-2</v>
      </c>
      <c r="N156">
        <f t="shared" si="14"/>
        <v>9.1503039416245574E-2</v>
      </c>
      <c r="O156">
        <f t="shared" si="15"/>
        <v>6.4110409782082892E-2</v>
      </c>
      <c r="P156">
        <f t="shared" si="16"/>
        <v>2.1564410563064244E-2</v>
      </c>
      <c r="Q156">
        <f t="shared" si="17"/>
        <v>8.7423286066476667E-3</v>
      </c>
      <c r="R156">
        <f t="shared" si="18"/>
        <v>2.0398766748844555E-2</v>
      </c>
    </row>
    <row r="157" spans="1:18" hidden="1" x14ac:dyDescent="0.25">
      <c r="A157" s="46">
        <v>2020</v>
      </c>
      <c r="B157" s="56">
        <v>153</v>
      </c>
      <c r="C157" s="47" t="s">
        <v>58</v>
      </c>
      <c r="D157" s="47" t="s">
        <v>42</v>
      </c>
      <c r="E157" s="47" t="s">
        <v>48</v>
      </c>
      <c r="F157" s="46">
        <v>4445</v>
      </c>
      <c r="G157" s="46">
        <v>245</v>
      </c>
      <c r="H157" s="46">
        <v>825</v>
      </c>
      <c r="I157" s="46">
        <v>1105</v>
      </c>
      <c r="J157" s="46">
        <v>460</v>
      </c>
      <c r="K157" s="46">
        <v>275</v>
      </c>
      <c r="L157" s="46">
        <v>1535</v>
      </c>
      <c r="M157">
        <f t="shared" si="13"/>
        <v>2.8558273448382378E-2</v>
      </c>
      <c r="N157">
        <f t="shared" si="14"/>
        <v>9.6165614673124331E-2</v>
      </c>
      <c r="O157">
        <f t="shared" si="15"/>
        <v>0.12880364147127563</v>
      </c>
      <c r="P157">
        <f t="shared" si="16"/>
        <v>5.3619615454105686E-2</v>
      </c>
      <c r="Q157">
        <f t="shared" si="17"/>
        <v>3.2055204891041446E-2</v>
      </c>
      <c r="R157">
        <f t="shared" si="18"/>
        <v>0.17892632548272225</v>
      </c>
    </row>
    <row r="158" spans="1:18" hidden="1" x14ac:dyDescent="0.25">
      <c r="A158" s="46">
        <v>2020</v>
      </c>
      <c r="B158" s="56">
        <v>153</v>
      </c>
      <c r="C158" s="47" t="s">
        <v>58</v>
      </c>
      <c r="D158" s="47" t="s">
        <v>42</v>
      </c>
      <c r="E158" s="47" t="s">
        <v>49</v>
      </c>
      <c r="F158" s="46">
        <v>1935</v>
      </c>
      <c r="G158" s="46">
        <v>70</v>
      </c>
      <c r="H158" s="46">
        <v>205</v>
      </c>
      <c r="I158" s="46">
        <v>240</v>
      </c>
      <c r="J158" s="46">
        <v>105</v>
      </c>
      <c r="K158" s="46">
        <v>55</v>
      </c>
      <c r="L158" s="46">
        <v>1265</v>
      </c>
      <c r="M158">
        <f t="shared" si="13"/>
        <v>8.1595066995378222E-3</v>
      </c>
      <c r="N158">
        <f t="shared" si="14"/>
        <v>2.3895698191503622E-2</v>
      </c>
      <c r="O158">
        <f t="shared" si="15"/>
        <v>2.7975451541272532E-2</v>
      </c>
      <c r="P158">
        <f t="shared" si="16"/>
        <v>1.2239260049306732E-2</v>
      </c>
      <c r="Q158">
        <f t="shared" si="17"/>
        <v>6.4110409782082893E-3</v>
      </c>
      <c r="R158">
        <f t="shared" si="18"/>
        <v>0.14745394249879062</v>
      </c>
    </row>
    <row r="159" spans="1:18" hidden="1" x14ac:dyDescent="0.25">
      <c r="A159" s="46">
        <v>2020</v>
      </c>
      <c r="B159" s="56">
        <v>153</v>
      </c>
      <c r="C159" s="47" t="s">
        <v>58</v>
      </c>
      <c r="D159" s="47" t="s">
        <v>42</v>
      </c>
      <c r="E159" s="47" t="s">
        <v>50</v>
      </c>
      <c r="F159" s="46">
        <v>1245</v>
      </c>
      <c r="G159" s="46">
        <v>15</v>
      </c>
      <c r="H159" s="46">
        <v>40</v>
      </c>
      <c r="I159" s="46">
        <v>35</v>
      </c>
      <c r="J159" s="46">
        <v>30</v>
      </c>
      <c r="K159" s="46">
        <v>15</v>
      </c>
      <c r="L159" s="46">
        <v>1110</v>
      </c>
      <c r="M159">
        <f t="shared" si="13"/>
        <v>1.7484657213295333E-3</v>
      </c>
      <c r="N159">
        <f t="shared" si="14"/>
        <v>4.6625752568787556E-3</v>
      </c>
      <c r="O159">
        <f t="shared" si="15"/>
        <v>4.0797533497689111E-3</v>
      </c>
      <c r="P159">
        <f t="shared" si="16"/>
        <v>3.4969314426590665E-3</v>
      </c>
      <c r="Q159">
        <f t="shared" si="17"/>
        <v>1.7484657213295333E-3</v>
      </c>
      <c r="R159">
        <f t="shared" si="18"/>
        <v>0.12938646337838547</v>
      </c>
    </row>
    <row r="160" spans="1:18" hidden="1" x14ac:dyDescent="0.25">
      <c r="A160" s="46">
        <v>2020</v>
      </c>
      <c r="B160" s="56">
        <v>153</v>
      </c>
      <c r="C160" s="47" t="s">
        <v>58</v>
      </c>
      <c r="D160" s="47" t="s">
        <v>51</v>
      </c>
      <c r="E160" s="47" t="s">
        <v>43</v>
      </c>
      <c r="F160" s="46">
        <v>7780</v>
      </c>
      <c r="G160" s="46">
        <v>640</v>
      </c>
      <c r="H160" s="46">
        <v>2010</v>
      </c>
      <c r="I160" s="46">
        <v>1895</v>
      </c>
      <c r="J160" s="46">
        <v>620</v>
      </c>
      <c r="K160" s="46">
        <v>305</v>
      </c>
      <c r="L160" s="46">
        <v>2310</v>
      </c>
      <c r="M160">
        <f t="shared" si="13"/>
        <v>7.460120411006009E-2</v>
      </c>
      <c r="N160">
        <f t="shared" si="14"/>
        <v>0.23429440665815746</v>
      </c>
      <c r="O160">
        <f t="shared" si="15"/>
        <v>0.22088950279463104</v>
      </c>
      <c r="P160">
        <f t="shared" si="16"/>
        <v>7.2269916481620719E-2</v>
      </c>
      <c r="Q160">
        <f t="shared" si="17"/>
        <v>3.555213633370051E-2</v>
      </c>
      <c r="R160">
        <f t="shared" si="18"/>
        <v>0.26926372108474811</v>
      </c>
    </row>
    <row r="161" spans="1:18" hidden="1" x14ac:dyDescent="0.25">
      <c r="A161" s="46">
        <v>2020</v>
      </c>
      <c r="B161" s="56">
        <v>153</v>
      </c>
      <c r="C161" s="47" t="s">
        <v>58</v>
      </c>
      <c r="D161" s="47" t="s">
        <v>51</v>
      </c>
      <c r="E161" s="47" t="s">
        <v>44</v>
      </c>
      <c r="F161" s="46">
        <v>970</v>
      </c>
      <c r="G161" s="46">
        <v>80</v>
      </c>
      <c r="H161" s="46">
        <v>365</v>
      </c>
      <c r="I161" s="46">
        <v>350</v>
      </c>
      <c r="J161" s="46">
        <v>100</v>
      </c>
      <c r="K161" s="46">
        <v>35</v>
      </c>
      <c r="L161" s="46">
        <v>40</v>
      </c>
      <c r="M161">
        <f t="shared" si="13"/>
        <v>9.3251505137575113E-3</v>
      </c>
      <c r="N161">
        <f t="shared" si="14"/>
        <v>4.2545999219018645E-2</v>
      </c>
      <c r="O161">
        <f t="shared" si="15"/>
        <v>4.0797533497689109E-2</v>
      </c>
      <c r="P161">
        <f t="shared" si="16"/>
        <v>1.1656438142196888E-2</v>
      </c>
      <c r="Q161">
        <f t="shared" si="17"/>
        <v>4.0797533497689111E-3</v>
      </c>
      <c r="R161">
        <f t="shared" si="18"/>
        <v>4.6625752568787556E-3</v>
      </c>
    </row>
    <row r="162" spans="1:18" hidden="1" x14ac:dyDescent="0.25">
      <c r="A162" s="46">
        <v>2020</v>
      </c>
      <c r="B162" s="56">
        <v>153</v>
      </c>
      <c r="C162" s="47" t="s">
        <v>58</v>
      </c>
      <c r="D162" s="47" t="s">
        <v>51</v>
      </c>
      <c r="E162" s="47" t="s">
        <v>45</v>
      </c>
      <c r="F162" s="46">
        <v>385</v>
      </c>
      <c r="G162" s="46">
        <v>65</v>
      </c>
      <c r="H162" s="46">
        <v>90</v>
      </c>
      <c r="I162" s="46">
        <v>120</v>
      </c>
      <c r="J162" s="46">
        <v>30</v>
      </c>
      <c r="K162" s="46">
        <v>10</v>
      </c>
      <c r="L162" s="46">
        <v>70</v>
      </c>
      <c r="M162">
        <f t="shared" si="13"/>
        <v>7.5766847924279776E-3</v>
      </c>
      <c r="N162">
        <f t="shared" si="14"/>
        <v>1.04907943279772E-2</v>
      </c>
      <c r="O162">
        <f t="shared" si="15"/>
        <v>1.3987725770636266E-2</v>
      </c>
      <c r="P162">
        <f t="shared" si="16"/>
        <v>3.4969314426590665E-3</v>
      </c>
      <c r="Q162">
        <f t="shared" si="17"/>
        <v>1.1656438142196889E-3</v>
      </c>
      <c r="R162">
        <f t="shared" si="18"/>
        <v>8.1595066995378222E-3</v>
      </c>
    </row>
    <row r="163" spans="1:18" hidden="1" x14ac:dyDescent="0.25">
      <c r="A163" s="46">
        <v>2020</v>
      </c>
      <c r="B163" s="56">
        <v>153</v>
      </c>
      <c r="C163" s="47" t="s">
        <v>58</v>
      </c>
      <c r="D163" s="47" t="s">
        <v>51</v>
      </c>
      <c r="E163" s="47" t="s">
        <v>46</v>
      </c>
      <c r="F163" s="46">
        <v>1085</v>
      </c>
      <c r="G163" s="46">
        <v>165</v>
      </c>
      <c r="H163" s="46">
        <v>485</v>
      </c>
      <c r="I163" s="46">
        <v>290</v>
      </c>
      <c r="J163" s="46">
        <v>35</v>
      </c>
      <c r="K163" s="46">
        <v>10</v>
      </c>
      <c r="L163" s="46">
        <v>100</v>
      </c>
      <c r="M163">
        <f t="shared" si="13"/>
        <v>1.9233122934624865E-2</v>
      </c>
      <c r="N163">
        <f t="shared" si="14"/>
        <v>5.6533724989654914E-2</v>
      </c>
      <c r="O163">
        <f t="shared" si="15"/>
        <v>3.3803670612370981E-2</v>
      </c>
      <c r="P163">
        <f t="shared" si="16"/>
        <v>4.0797533497689111E-3</v>
      </c>
      <c r="Q163">
        <f t="shared" si="17"/>
        <v>1.1656438142196889E-3</v>
      </c>
      <c r="R163">
        <f t="shared" si="18"/>
        <v>1.1656438142196888E-2</v>
      </c>
    </row>
    <row r="164" spans="1:18" hidden="1" x14ac:dyDescent="0.25">
      <c r="A164" s="46">
        <v>2020</v>
      </c>
      <c r="B164" s="56">
        <v>153</v>
      </c>
      <c r="C164" s="47" t="s">
        <v>58</v>
      </c>
      <c r="D164" s="47" t="s">
        <v>51</v>
      </c>
      <c r="E164" s="47" t="s">
        <v>47</v>
      </c>
      <c r="F164" s="46">
        <v>1230</v>
      </c>
      <c r="G164" s="46">
        <v>135</v>
      </c>
      <c r="H164" s="46">
        <v>475</v>
      </c>
      <c r="I164" s="46">
        <v>340</v>
      </c>
      <c r="J164" s="46">
        <v>120</v>
      </c>
      <c r="K164" s="46">
        <v>55</v>
      </c>
      <c r="L164" s="46">
        <v>110</v>
      </c>
      <c r="M164">
        <f t="shared" si="13"/>
        <v>1.5736191491965801E-2</v>
      </c>
      <c r="N164">
        <f t="shared" si="14"/>
        <v>5.5368081175435221E-2</v>
      </c>
      <c r="O164">
        <f t="shared" si="15"/>
        <v>3.9631889683469423E-2</v>
      </c>
      <c r="P164">
        <f t="shared" si="16"/>
        <v>1.3987725770636266E-2</v>
      </c>
      <c r="Q164">
        <f t="shared" si="17"/>
        <v>6.4110409782082893E-3</v>
      </c>
      <c r="R164">
        <f t="shared" si="18"/>
        <v>1.2822081956416579E-2</v>
      </c>
    </row>
    <row r="165" spans="1:18" hidden="1" x14ac:dyDescent="0.25">
      <c r="A165" s="46">
        <v>2020</v>
      </c>
      <c r="B165" s="56">
        <v>153</v>
      </c>
      <c r="C165" s="47" t="s">
        <v>58</v>
      </c>
      <c r="D165" s="47" t="s">
        <v>51</v>
      </c>
      <c r="E165" s="47" t="s">
        <v>48</v>
      </c>
      <c r="F165" s="46">
        <v>2425</v>
      </c>
      <c r="G165" s="46">
        <v>155</v>
      </c>
      <c r="H165" s="46">
        <v>450</v>
      </c>
      <c r="I165" s="46">
        <v>640</v>
      </c>
      <c r="J165" s="46">
        <v>255</v>
      </c>
      <c r="K165" s="46">
        <v>160</v>
      </c>
      <c r="L165" s="46">
        <v>765</v>
      </c>
      <c r="M165">
        <f t="shared" si="13"/>
        <v>1.806747912040518E-2</v>
      </c>
      <c r="N165">
        <f t="shared" si="14"/>
        <v>5.2453971639886E-2</v>
      </c>
      <c r="O165">
        <f t="shared" si="15"/>
        <v>7.460120411006009E-2</v>
      </c>
      <c r="P165">
        <f t="shared" si="16"/>
        <v>2.9723917262602068E-2</v>
      </c>
      <c r="Q165">
        <f t="shared" si="17"/>
        <v>1.8650301027515023E-2</v>
      </c>
      <c r="R165">
        <f t="shared" si="18"/>
        <v>8.9171751787806203E-2</v>
      </c>
    </row>
    <row r="166" spans="1:18" hidden="1" x14ac:dyDescent="0.25">
      <c r="A166" s="46">
        <v>2020</v>
      </c>
      <c r="B166" s="56">
        <v>153</v>
      </c>
      <c r="C166" s="47" t="s">
        <v>58</v>
      </c>
      <c r="D166" s="47" t="s">
        <v>51</v>
      </c>
      <c r="E166" s="47" t="s">
        <v>49</v>
      </c>
      <c r="F166" s="46">
        <v>1085</v>
      </c>
      <c r="G166" s="46">
        <v>35</v>
      </c>
      <c r="H166" s="46">
        <v>120</v>
      </c>
      <c r="I166" s="46">
        <v>135</v>
      </c>
      <c r="J166" s="46">
        <v>65</v>
      </c>
      <c r="K166" s="46">
        <v>35</v>
      </c>
      <c r="L166" s="46">
        <v>695</v>
      </c>
      <c r="M166">
        <f t="shared" si="13"/>
        <v>4.0797533497689111E-3</v>
      </c>
      <c r="N166">
        <f t="shared" si="14"/>
        <v>1.3987725770636266E-2</v>
      </c>
      <c r="O166">
        <f t="shared" si="15"/>
        <v>1.5736191491965801E-2</v>
      </c>
      <c r="P166">
        <f t="shared" si="16"/>
        <v>7.5766847924279776E-3</v>
      </c>
      <c r="Q166">
        <f t="shared" si="17"/>
        <v>4.0797533497689111E-3</v>
      </c>
      <c r="R166">
        <f t="shared" si="18"/>
        <v>8.1012245088268375E-2</v>
      </c>
    </row>
    <row r="167" spans="1:18" hidden="1" x14ac:dyDescent="0.25">
      <c r="A167" s="46">
        <v>2020</v>
      </c>
      <c r="B167" s="56">
        <v>153</v>
      </c>
      <c r="C167" s="47" t="s">
        <v>58</v>
      </c>
      <c r="D167" s="47" t="s">
        <v>51</v>
      </c>
      <c r="E167" s="47" t="s">
        <v>50</v>
      </c>
      <c r="F167" s="46">
        <v>605</v>
      </c>
      <c r="G167" s="46">
        <v>10</v>
      </c>
      <c r="H167" s="46">
        <v>20</v>
      </c>
      <c r="I167" s="46">
        <v>20</v>
      </c>
      <c r="J167" s="46">
        <v>15</v>
      </c>
      <c r="K167" s="46">
        <v>5</v>
      </c>
      <c r="L167" s="46">
        <v>535</v>
      </c>
      <c r="M167">
        <f t="shared" si="13"/>
        <v>1.1656438142196889E-3</v>
      </c>
      <c r="N167">
        <f t="shared" si="14"/>
        <v>2.3312876284393778E-3</v>
      </c>
      <c r="O167">
        <f t="shared" si="15"/>
        <v>2.3312876284393778E-3</v>
      </c>
      <c r="P167">
        <f t="shared" si="16"/>
        <v>1.7484657213295333E-3</v>
      </c>
      <c r="Q167">
        <f t="shared" si="17"/>
        <v>5.8282190710984446E-4</v>
      </c>
      <c r="R167">
        <f t="shared" si="18"/>
        <v>6.2361944060753356E-2</v>
      </c>
    </row>
    <row r="168" spans="1:18" hidden="1" x14ac:dyDescent="0.25">
      <c r="A168" s="46">
        <v>2020</v>
      </c>
      <c r="B168" s="56">
        <v>153</v>
      </c>
      <c r="C168" s="47" t="s">
        <v>58</v>
      </c>
      <c r="D168" s="47" t="s">
        <v>52</v>
      </c>
      <c r="E168" s="47" t="s">
        <v>43</v>
      </c>
      <c r="F168" s="46">
        <v>6045</v>
      </c>
      <c r="G168" s="46">
        <v>365</v>
      </c>
      <c r="H168" s="46">
        <v>1475</v>
      </c>
      <c r="I168" s="46">
        <v>1370</v>
      </c>
      <c r="J168" s="46">
        <v>455</v>
      </c>
      <c r="K168" s="46">
        <v>210</v>
      </c>
      <c r="L168" s="46">
        <v>2175</v>
      </c>
      <c r="M168">
        <f t="shared" si="13"/>
        <v>4.2545999219018645E-2</v>
      </c>
      <c r="N168">
        <f t="shared" si="14"/>
        <v>0.17193246259740413</v>
      </c>
      <c r="O168">
        <f t="shared" si="15"/>
        <v>0.15969320254809738</v>
      </c>
      <c r="P168">
        <f t="shared" si="16"/>
        <v>5.3036793546995843E-2</v>
      </c>
      <c r="Q168">
        <f t="shared" si="17"/>
        <v>2.4478520098613465E-2</v>
      </c>
      <c r="R168">
        <f t="shared" si="18"/>
        <v>0.25352752959278235</v>
      </c>
    </row>
    <row r="169" spans="1:18" hidden="1" x14ac:dyDescent="0.25">
      <c r="A169" s="46">
        <v>2020</v>
      </c>
      <c r="B169" s="56">
        <v>153</v>
      </c>
      <c r="C169" s="47" t="s">
        <v>58</v>
      </c>
      <c r="D169" s="47" t="s">
        <v>52</v>
      </c>
      <c r="E169" s="47" t="s">
        <v>44</v>
      </c>
      <c r="F169" s="46">
        <v>940</v>
      </c>
      <c r="G169" s="46">
        <v>80</v>
      </c>
      <c r="H169" s="46">
        <v>350</v>
      </c>
      <c r="I169" s="46">
        <v>355</v>
      </c>
      <c r="J169" s="46">
        <v>75</v>
      </c>
      <c r="K169" s="46">
        <v>25</v>
      </c>
      <c r="L169" s="46">
        <v>50</v>
      </c>
      <c r="M169">
        <f t="shared" si="13"/>
        <v>9.3251505137575113E-3</v>
      </c>
      <c r="N169">
        <f t="shared" si="14"/>
        <v>4.0797533497689109E-2</v>
      </c>
      <c r="O169">
        <f t="shared" si="15"/>
        <v>4.1380355404798952E-2</v>
      </c>
      <c r="P169">
        <f t="shared" si="16"/>
        <v>8.7423286066476667E-3</v>
      </c>
      <c r="Q169">
        <f t="shared" si="17"/>
        <v>2.914109535549222E-3</v>
      </c>
      <c r="R169">
        <f t="shared" si="18"/>
        <v>5.8282190710984439E-3</v>
      </c>
    </row>
    <row r="170" spans="1:18" hidden="1" x14ac:dyDescent="0.25">
      <c r="A170" s="46">
        <v>2020</v>
      </c>
      <c r="B170" s="56">
        <v>153</v>
      </c>
      <c r="C170" s="47" t="s">
        <v>58</v>
      </c>
      <c r="D170" s="47" t="s">
        <v>52</v>
      </c>
      <c r="E170" s="47" t="s">
        <v>45</v>
      </c>
      <c r="F170" s="46">
        <v>295</v>
      </c>
      <c r="G170" s="46">
        <v>30</v>
      </c>
      <c r="H170" s="46">
        <v>85</v>
      </c>
      <c r="I170" s="46">
        <v>95</v>
      </c>
      <c r="J170" s="46">
        <v>25</v>
      </c>
      <c r="K170" s="46">
        <v>5</v>
      </c>
      <c r="L170" s="46">
        <v>55</v>
      </c>
      <c r="M170">
        <f t="shared" si="13"/>
        <v>3.4969314426590665E-3</v>
      </c>
      <c r="N170">
        <f t="shared" si="14"/>
        <v>9.9079724208673559E-3</v>
      </c>
      <c r="O170">
        <f t="shared" si="15"/>
        <v>1.1073616235087045E-2</v>
      </c>
      <c r="P170">
        <f t="shared" si="16"/>
        <v>2.914109535549222E-3</v>
      </c>
      <c r="Q170">
        <f t="shared" si="17"/>
        <v>5.8282190710984446E-4</v>
      </c>
      <c r="R170">
        <f t="shared" si="18"/>
        <v>6.4110409782082893E-3</v>
      </c>
    </row>
    <row r="171" spans="1:18" hidden="1" x14ac:dyDescent="0.25">
      <c r="A171" s="46">
        <v>2020</v>
      </c>
      <c r="B171" s="56">
        <v>153</v>
      </c>
      <c r="C171" s="47" t="s">
        <v>58</v>
      </c>
      <c r="D171" s="47" t="s">
        <v>52</v>
      </c>
      <c r="E171" s="47" t="s">
        <v>46</v>
      </c>
      <c r="F171" s="46">
        <v>575</v>
      </c>
      <c r="G171" s="46">
        <v>70</v>
      </c>
      <c r="H171" s="46">
        <v>250</v>
      </c>
      <c r="I171" s="46">
        <v>125</v>
      </c>
      <c r="J171" s="46">
        <v>35</v>
      </c>
      <c r="K171" s="46">
        <v>10</v>
      </c>
      <c r="L171" s="46">
        <v>85</v>
      </c>
      <c r="M171">
        <f t="shared" si="13"/>
        <v>8.1595066995378222E-3</v>
      </c>
      <c r="N171">
        <f t="shared" si="14"/>
        <v>2.9141095355492221E-2</v>
      </c>
      <c r="O171">
        <f t="shared" si="15"/>
        <v>1.4570547677746111E-2</v>
      </c>
      <c r="P171">
        <f t="shared" si="16"/>
        <v>4.0797533497689111E-3</v>
      </c>
      <c r="Q171">
        <f t="shared" si="17"/>
        <v>1.1656438142196889E-3</v>
      </c>
      <c r="R171">
        <f t="shared" si="18"/>
        <v>9.9079724208673559E-3</v>
      </c>
    </row>
    <row r="172" spans="1:18" hidden="1" x14ac:dyDescent="0.25">
      <c r="A172" s="46">
        <v>2020</v>
      </c>
      <c r="B172" s="56">
        <v>153</v>
      </c>
      <c r="C172" s="47" t="s">
        <v>58</v>
      </c>
      <c r="D172" s="47" t="s">
        <v>52</v>
      </c>
      <c r="E172" s="47" t="s">
        <v>47</v>
      </c>
      <c r="F172" s="46">
        <v>730</v>
      </c>
      <c r="G172" s="46">
        <v>55</v>
      </c>
      <c r="H172" s="46">
        <v>315</v>
      </c>
      <c r="I172" s="46">
        <v>215</v>
      </c>
      <c r="J172" s="46">
        <v>60</v>
      </c>
      <c r="K172" s="46">
        <v>20</v>
      </c>
      <c r="L172" s="46">
        <v>70</v>
      </c>
      <c r="M172">
        <f t="shared" si="13"/>
        <v>6.4110409782082893E-3</v>
      </c>
      <c r="N172">
        <f t="shared" si="14"/>
        <v>3.6717780147920202E-2</v>
      </c>
      <c r="O172">
        <f t="shared" si="15"/>
        <v>2.5061342005723308E-2</v>
      </c>
      <c r="P172">
        <f t="shared" si="16"/>
        <v>6.993862885318133E-3</v>
      </c>
      <c r="Q172">
        <f t="shared" si="17"/>
        <v>2.3312876284393778E-3</v>
      </c>
      <c r="R172">
        <f t="shared" si="18"/>
        <v>8.1595066995378222E-3</v>
      </c>
    </row>
    <row r="173" spans="1:18" hidden="1" x14ac:dyDescent="0.25">
      <c r="A173" s="46">
        <v>2020</v>
      </c>
      <c r="B173" s="56">
        <v>153</v>
      </c>
      <c r="C173" s="47" t="s">
        <v>58</v>
      </c>
      <c r="D173" s="47" t="s">
        <v>52</v>
      </c>
      <c r="E173" s="47" t="s">
        <v>48</v>
      </c>
      <c r="F173" s="46">
        <v>2020</v>
      </c>
      <c r="G173" s="46">
        <v>90</v>
      </c>
      <c r="H173" s="46">
        <v>375</v>
      </c>
      <c r="I173" s="46">
        <v>465</v>
      </c>
      <c r="J173" s="46">
        <v>205</v>
      </c>
      <c r="K173" s="46">
        <v>115</v>
      </c>
      <c r="L173" s="46">
        <v>770</v>
      </c>
      <c r="M173">
        <f t="shared" si="13"/>
        <v>1.04907943279772E-2</v>
      </c>
      <c r="N173">
        <f t="shared" si="14"/>
        <v>4.371164303323833E-2</v>
      </c>
      <c r="O173">
        <f t="shared" si="15"/>
        <v>5.4202437361215529E-2</v>
      </c>
      <c r="P173">
        <f t="shared" si="16"/>
        <v>2.3895698191503622E-2</v>
      </c>
      <c r="Q173">
        <f t="shared" si="17"/>
        <v>1.3404903863526422E-2</v>
      </c>
      <c r="R173">
        <f t="shared" si="18"/>
        <v>8.9754573694916046E-2</v>
      </c>
    </row>
    <row r="174" spans="1:18" hidden="1" x14ac:dyDescent="0.25">
      <c r="A174" s="46">
        <v>2020</v>
      </c>
      <c r="B174" s="56">
        <v>153</v>
      </c>
      <c r="C174" s="47" t="s">
        <v>58</v>
      </c>
      <c r="D174" s="47" t="s">
        <v>52</v>
      </c>
      <c r="E174" s="47" t="s">
        <v>49</v>
      </c>
      <c r="F174" s="46">
        <v>850</v>
      </c>
      <c r="G174" s="46">
        <v>35</v>
      </c>
      <c r="H174" s="46">
        <v>80</v>
      </c>
      <c r="I174" s="46">
        <v>100</v>
      </c>
      <c r="J174" s="46">
        <v>40</v>
      </c>
      <c r="K174" s="46">
        <v>20</v>
      </c>
      <c r="L174" s="46">
        <v>570</v>
      </c>
      <c r="M174">
        <f t="shared" si="13"/>
        <v>4.0797533497689111E-3</v>
      </c>
      <c r="N174">
        <f t="shared" si="14"/>
        <v>9.3251505137575113E-3</v>
      </c>
      <c r="O174">
        <f t="shared" si="15"/>
        <v>1.1656438142196888E-2</v>
      </c>
      <c r="P174">
        <f t="shared" si="16"/>
        <v>4.6625752568787556E-3</v>
      </c>
      <c r="Q174">
        <f t="shared" si="17"/>
        <v>2.3312876284393778E-3</v>
      </c>
      <c r="R174">
        <f t="shared" si="18"/>
        <v>6.6441697410522263E-2</v>
      </c>
    </row>
    <row r="175" spans="1:18" hidden="1" x14ac:dyDescent="0.25">
      <c r="A175" s="46">
        <v>2020</v>
      </c>
      <c r="B175" s="56">
        <v>153</v>
      </c>
      <c r="C175" s="47" t="s">
        <v>58</v>
      </c>
      <c r="D175" s="47" t="s">
        <v>52</v>
      </c>
      <c r="E175" s="47" t="s">
        <v>50</v>
      </c>
      <c r="F175" s="46">
        <v>640</v>
      </c>
      <c r="G175" s="46">
        <v>5</v>
      </c>
      <c r="H175" s="46">
        <v>20</v>
      </c>
      <c r="I175" s="46">
        <v>15</v>
      </c>
      <c r="J175" s="46">
        <v>15</v>
      </c>
      <c r="K175" s="46">
        <v>10</v>
      </c>
      <c r="L175" s="46">
        <v>575</v>
      </c>
      <c r="M175">
        <f t="shared" si="13"/>
        <v>5.8282190710984446E-4</v>
      </c>
      <c r="N175">
        <f t="shared" si="14"/>
        <v>2.3312876284393778E-3</v>
      </c>
      <c r="O175">
        <f t="shared" si="15"/>
        <v>1.7484657213295333E-3</v>
      </c>
      <c r="P175">
        <f t="shared" si="16"/>
        <v>1.7484657213295333E-3</v>
      </c>
      <c r="Q175">
        <f t="shared" si="17"/>
        <v>1.1656438142196889E-3</v>
      </c>
      <c r="R175">
        <f t="shared" si="18"/>
        <v>6.702451931763212E-2</v>
      </c>
    </row>
    <row r="176" spans="1:18" x14ac:dyDescent="0.25">
      <c r="A176" s="46">
        <v>2020</v>
      </c>
      <c r="B176" s="56">
        <v>154</v>
      </c>
      <c r="C176" s="47" t="s">
        <v>59</v>
      </c>
      <c r="D176" s="47" t="s">
        <v>42</v>
      </c>
      <c r="E176" s="47" t="s">
        <v>43</v>
      </c>
      <c r="F176" s="46">
        <v>6760</v>
      </c>
      <c r="G176" s="46">
        <v>375</v>
      </c>
      <c r="H176" s="46">
        <v>1225</v>
      </c>
      <c r="I176" s="46">
        <v>1445</v>
      </c>
      <c r="J176" s="46">
        <v>695</v>
      </c>
      <c r="K176" s="46">
        <v>310</v>
      </c>
      <c r="L176" s="46">
        <v>2705</v>
      </c>
      <c r="M176">
        <f t="shared" si="13"/>
        <v>4.371164303323833E-2</v>
      </c>
      <c r="N176">
        <f t="shared" si="14"/>
        <v>0.14279136724191188</v>
      </c>
      <c r="O176">
        <f t="shared" si="15"/>
        <v>0.16843553115474505</v>
      </c>
      <c r="P176">
        <f t="shared" si="16"/>
        <v>8.1012245088268375E-2</v>
      </c>
      <c r="Q176">
        <f t="shared" si="17"/>
        <v>3.613495824081036E-2</v>
      </c>
      <c r="R176">
        <f t="shared" si="18"/>
        <v>0.31530665174642586</v>
      </c>
    </row>
    <row r="177" spans="1:18" hidden="1" x14ac:dyDescent="0.25">
      <c r="A177" s="46">
        <v>2020</v>
      </c>
      <c r="B177" s="56">
        <v>154</v>
      </c>
      <c r="C177" s="47" t="s">
        <v>59</v>
      </c>
      <c r="D177" s="47" t="s">
        <v>42</v>
      </c>
      <c r="E177" s="47" t="s">
        <v>44</v>
      </c>
      <c r="F177" s="46">
        <v>1090</v>
      </c>
      <c r="G177" s="46">
        <v>120</v>
      </c>
      <c r="H177" s="46">
        <v>415</v>
      </c>
      <c r="I177" s="46">
        <v>365</v>
      </c>
      <c r="J177" s="46">
        <v>105</v>
      </c>
      <c r="K177" s="46">
        <v>45</v>
      </c>
      <c r="L177" s="46">
        <v>40</v>
      </c>
      <c r="M177">
        <f t="shared" si="13"/>
        <v>1.3987725770636266E-2</v>
      </c>
      <c r="N177">
        <f t="shared" si="14"/>
        <v>4.8374218290117087E-2</v>
      </c>
      <c r="O177">
        <f t="shared" si="15"/>
        <v>4.2545999219018645E-2</v>
      </c>
      <c r="P177">
        <f t="shared" si="16"/>
        <v>1.2239260049306732E-2</v>
      </c>
      <c r="Q177">
        <f t="shared" si="17"/>
        <v>5.2453971639886002E-3</v>
      </c>
      <c r="R177">
        <f t="shared" si="18"/>
        <v>4.6625752568787556E-3</v>
      </c>
    </row>
    <row r="178" spans="1:18" hidden="1" x14ac:dyDescent="0.25">
      <c r="A178" s="46">
        <v>2020</v>
      </c>
      <c r="B178" s="56">
        <v>154</v>
      </c>
      <c r="C178" s="47" t="s">
        <v>59</v>
      </c>
      <c r="D178" s="47" t="s">
        <v>42</v>
      </c>
      <c r="E178" s="47" t="s">
        <v>45</v>
      </c>
      <c r="F178" s="46">
        <v>315</v>
      </c>
      <c r="G178" s="46">
        <v>20</v>
      </c>
      <c r="H178" s="46">
        <v>55</v>
      </c>
      <c r="I178" s="46">
        <v>110</v>
      </c>
      <c r="J178" s="46">
        <v>40</v>
      </c>
      <c r="K178" s="46">
        <v>20</v>
      </c>
      <c r="L178" s="46">
        <v>70</v>
      </c>
      <c r="M178">
        <f t="shared" si="13"/>
        <v>2.3312876284393778E-3</v>
      </c>
      <c r="N178">
        <f t="shared" si="14"/>
        <v>6.4110409782082893E-3</v>
      </c>
      <c r="O178">
        <f t="shared" si="15"/>
        <v>1.2822081956416579E-2</v>
      </c>
      <c r="P178">
        <f t="shared" si="16"/>
        <v>4.6625752568787556E-3</v>
      </c>
      <c r="Q178">
        <f t="shared" si="17"/>
        <v>2.3312876284393778E-3</v>
      </c>
      <c r="R178">
        <f t="shared" si="18"/>
        <v>8.1595066995378222E-3</v>
      </c>
    </row>
    <row r="179" spans="1:18" hidden="1" x14ac:dyDescent="0.25">
      <c r="A179" s="46">
        <v>2020</v>
      </c>
      <c r="B179" s="56">
        <v>154</v>
      </c>
      <c r="C179" s="47" t="s">
        <v>59</v>
      </c>
      <c r="D179" s="47" t="s">
        <v>42</v>
      </c>
      <c r="E179" s="47" t="s">
        <v>46</v>
      </c>
      <c r="F179" s="46">
        <v>490</v>
      </c>
      <c r="G179" s="46">
        <v>40</v>
      </c>
      <c r="H179" s="46">
        <v>135</v>
      </c>
      <c r="I179" s="46">
        <v>155</v>
      </c>
      <c r="J179" s="46">
        <v>35</v>
      </c>
      <c r="K179" s="46">
        <v>10</v>
      </c>
      <c r="L179" s="46">
        <v>115</v>
      </c>
      <c r="M179">
        <f t="shared" si="13"/>
        <v>4.6625752568787556E-3</v>
      </c>
      <c r="N179">
        <f t="shared" si="14"/>
        <v>1.5736191491965801E-2</v>
      </c>
      <c r="O179">
        <f t="shared" si="15"/>
        <v>1.806747912040518E-2</v>
      </c>
      <c r="P179">
        <f t="shared" si="16"/>
        <v>4.0797533497689111E-3</v>
      </c>
      <c r="Q179">
        <f t="shared" si="17"/>
        <v>1.1656438142196889E-3</v>
      </c>
      <c r="R179">
        <f t="shared" si="18"/>
        <v>1.3404903863526422E-2</v>
      </c>
    </row>
    <row r="180" spans="1:18" hidden="1" x14ac:dyDescent="0.25">
      <c r="A180" s="46">
        <v>2020</v>
      </c>
      <c r="B180" s="56">
        <v>154</v>
      </c>
      <c r="C180" s="47" t="s">
        <v>59</v>
      </c>
      <c r="D180" s="47" t="s">
        <v>42</v>
      </c>
      <c r="E180" s="47" t="s">
        <v>47</v>
      </c>
      <c r="F180" s="46">
        <v>640</v>
      </c>
      <c r="G180" s="46">
        <v>40</v>
      </c>
      <c r="H180" s="46">
        <v>135</v>
      </c>
      <c r="I180" s="46">
        <v>200</v>
      </c>
      <c r="J180" s="46">
        <v>100</v>
      </c>
      <c r="K180" s="46">
        <v>25</v>
      </c>
      <c r="L180" s="46">
        <v>140</v>
      </c>
      <c r="M180">
        <f t="shared" si="13"/>
        <v>4.6625752568787556E-3</v>
      </c>
      <c r="N180">
        <f t="shared" si="14"/>
        <v>1.5736191491965801E-2</v>
      </c>
      <c r="O180">
        <f t="shared" si="15"/>
        <v>2.3312876284393776E-2</v>
      </c>
      <c r="P180">
        <f t="shared" si="16"/>
        <v>1.1656438142196888E-2</v>
      </c>
      <c r="Q180">
        <f t="shared" si="17"/>
        <v>2.914109535549222E-3</v>
      </c>
      <c r="R180">
        <f t="shared" si="18"/>
        <v>1.6319013399075644E-2</v>
      </c>
    </row>
    <row r="181" spans="1:18" hidden="1" x14ac:dyDescent="0.25">
      <c r="A181" s="46">
        <v>2020</v>
      </c>
      <c r="B181" s="56">
        <v>154</v>
      </c>
      <c r="C181" s="47" t="s">
        <v>59</v>
      </c>
      <c r="D181" s="47" t="s">
        <v>42</v>
      </c>
      <c r="E181" s="47" t="s">
        <v>48</v>
      </c>
      <c r="F181" s="46">
        <v>2595</v>
      </c>
      <c r="G181" s="46">
        <v>125</v>
      </c>
      <c r="H181" s="46">
        <v>390</v>
      </c>
      <c r="I181" s="46">
        <v>505</v>
      </c>
      <c r="J181" s="46">
        <v>345</v>
      </c>
      <c r="K181" s="46">
        <v>165</v>
      </c>
      <c r="L181" s="46">
        <v>1065</v>
      </c>
      <c r="M181">
        <f t="shared" si="13"/>
        <v>1.4570547677746111E-2</v>
      </c>
      <c r="N181">
        <f t="shared" si="14"/>
        <v>4.5460108754567866E-2</v>
      </c>
      <c r="O181">
        <f t="shared" si="15"/>
        <v>5.8865012618094292E-2</v>
      </c>
      <c r="P181">
        <f t="shared" si="16"/>
        <v>4.0214711590579266E-2</v>
      </c>
      <c r="Q181">
        <f t="shared" si="17"/>
        <v>1.9233122934624865E-2</v>
      </c>
      <c r="R181">
        <f t="shared" si="18"/>
        <v>0.12414106621439687</v>
      </c>
    </row>
    <row r="182" spans="1:18" hidden="1" x14ac:dyDescent="0.25">
      <c r="A182" s="46">
        <v>2020</v>
      </c>
      <c r="B182" s="56">
        <v>154</v>
      </c>
      <c r="C182" s="47" t="s">
        <v>59</v>
      </c>
      <c r="D182" s="47" t="s">
        <v>42</v>
      </c>
      <c r="E182" s="47" t="s">
        <v>49</v>
      </c>
      <c r="F182" s="46">
        <v>1085</v>
      </c>
      <c r="G182" s="46">
        <v>30</v>
      </c>
      <c r="H182" s="46">
        <v>80</v>
      </c>
      <c r="I182" s="46">
        <v>90</v>
      </c>
      <c r="J182" s="46">
        <v>55</v>
      </c>
      <c r="K182" s="46">
        <v>45</v>
      </c>
      <c r="L182" s="46">
        <v>785</v>
      </c>
      <c r="M182">
        <f t="shared" si="13"/>
        <v>3.4969314426590665E-3</v>
      </c>
      <c r="N182">
        <f t="shared" si="14"/>
        <v>9.3251505137575113E-3</v>
      </c>
      <c r="O182">
        <f t="shared" si="15"/>
        <v>1.04907943279772E-2</v>
      </c>
      <c r="P182">
        <f t="shared" si="16"/>
        <v>6.4110409782082893E-3</v>
      </c>
      <c r="Q182">
        <f t="shared" si="17"/>
        <v>5.2453971639886002E-3</v>
      </c>
      <c r="R182">
        <f t="shared" si="18"/>
        <v>9.1503039416245574E-2</v>
      </c>
    </row>
    <row r="183" spans="1:18" hidden="1" x14ac:dyDescent="0.25">
      <c r="A183" s="46">
        <v>2020</v>
      </c>
      <c r="B183" s="56">
        <v>154</v>
      </c>
      <c r="C183" s="47" t="s">
        <v>59</v>
      </c>
      <c r="D183" s="47" t="s">
        <v>42</v>
      </c>
      <c r="E183" s="47" t="s">
        <v>50</v>
      </c>
      <c r="F183" s="46">
        <v>550</v>
      </c>
      <c r="G183" s="46">
        <v>5</v>
      </c>
      <c r="H183" s="46">
        <v>15</v>
      </c>
      <c r="I183" s="46">
        <v>20</v>
      </c>
      <c r="J183" s="46">
        <v>15</v>
      </c>
      <c r="K183" s="46">
        <v>5</v>
      </c>
      <c r="L183" s="46">
        <v>495</v>
      </c>
      <c r="M183">
        <f t="shared" si="13"/>
        <v>5.8282190710984446E-4</v>
      </c>
      <c r="N183">
        <f t="shared" si="14"/>
        <v>1.7484657213295333E-3</v>
      </c>
      <c r="O183">
        <f t="shared" si="15"/>
        <v>2.3312876284393778E-3</v>
      </c>
      <c r="P183">
        <f t="shared" si="16"/>
        <v>1.7484657213295333E-3</v>
      </c>
      <c r="Q183">
        <f t="shared" si="17"/>
        <v>5.8282190710984446E-4</v>
      </c>
      <c r="R183">
        <f t="shared" si="18"/>
        <v>5.76993688038746E-2</v>
      </c>
    </row>
    <row r="184" spans="1:18" hidden="1" x14ac:dyDescent="0.25">
      <c r="A184" s="46">
        <v>2020</v>
      </c>
      <c r="B184" s="56">
        <v>154</v>
      </c>
      <c r="C184" s="47" t="s">
        <v>59</v>
      </c>
      <c r="D184" s="47" t="s">
        <v>51</v>
      </c>
      <c r="E184" s="47" t="s">
        <v>43</v>
      </c>
      <c r="F184" s="46">
        <v>3705</v>
      </c>
      <c r="G184" s="46">
        <v>220</v>
      </c>
      <c r="H184" s="46">
        <v>670</v>
      </c>
      <c r="I184" s="46">
        <v>850</v>
      </c>
      <c r="J184" s="46">
        <v>410</v>
      </c>
      <c r="K184" s="46">
        <v>155</v>
      </c>
      <c r="L184" s="46">
        <v>1405</v>
      </c>
      <c r="M184">
        <f t="shared" si="13"/>
        <v>2.5644163912833157E-2</v>
      </c>
      <c r="N184">
        <f t="shared" si="14"/>
        <v>7.8098135552719161E-2</v>
      </c>
      <c r="O184">
        <f t="shared" si="15"/>
        <v>9.9079724208673545E-2</v>
      </c>
      <c r="P184">
        <f t="shared" si="16"/>
        <v>4.7791396383007244E-2</v>
      </c>
      <c r="Q184">
        <f t="shared" si="17"/>
        <v>1.806747912040518E-2</v>
      </c>
      <c r="R184">
        <f t="shared" si="18"/>
        <v>0.16377295589786628</v>
      </c>
    </row>
    <row r="185" spans="1:18" hidden="1" x14ac:dyDescent="0.25">
      <c r="A185" s="46">
        <v>2020</v>
      </c>
      <c r="B185" s="56">
        <v>154</v>
      </c>
      <c r="C185" s="47" t="s">
        <v>59</v>
      </c>
      <c r="D185" s="47" t="s">
        <v>51</v>
      </c>
      <c r="E185" s="47" t="s">
        <v>44</v>
      </c>
      <c r="F185" s="46">
        <v>570</v>
      </c>
      <c r="G185" s="46">
        <v>60</v>
      </c>
      <c r="H185" s="46">
        <v>210</v>
      </c>
      <c r="I185" s="46">
        <v>195</v>
      </c>
      <c r="J185" s="46">
        <v>60</v>
      </c>
      <c r="K185" s="46">
        <v>20</v>
      </c>
      <c r="L185" s="46">
        <v>25</v>
      </c>
      <c r="M185">
        <f t="shared" si="13"/>
        <v>6.993862885318133E-3</v>
      </c>
      <c r="N185">
        <f t="shared" si="14"/>
        <v>2.4478520098613465E-2</v>
      </c>
      <c r="O185">
        <f t="shared" si="15"/>
        <v>2.2730054377283933E-2</v>
      </c>
      <c r="P185">
        <f t="shared" si="16"/>
        <v>6.993862885318133E-3</v>
      </c>
      <c r="Q185">
        <f t="shared" si="17"/>
        <v>2.3312876284393778E-3</v>
      </c>
      <c r="R185">
        <f t="shared" si="18"/>
        <v>2.914109535549222E-3</v>
      </c>
    </row>
    <row r="186" spans="1:18" hidden="1" x14ac:dyDescent="0.25">
      <c r="A186" s="46">
        <v>2020</v>
      </c>
      <c r="B186" s="56">
        <v>154</v>
      </c>
      <c r="C186" s="47" t="s">
        <v>59</v>
      </c>
      <c r="D186" s="47" t="s">
        <v>51</v>
      </c>
      <c r="E186" s="47" t="s">
        <v>45</v>
      </c>
      <c r="F186" s="46">
        <v>180</v>
      </c>
      <c r="G186" s="46">
        <v>15</v>
      </c>
      <c r="H186" s="46">
        <v>25</v>
      </c>
      <c r="I186" s="46">
        <v>70</v>
      </c>
      <c r="J186" s="46">
        <v>15</v>
      </c>
      <c r="K186" s="46">
        <v>10</v>
      </c>
      <c r="L186" s="46">
        <v>40</v>
      </c>
      <c r="M186">
        <f t="shared" si="13"/>
        <v>1.7484657213295333E-3</v>
      </c>
      <c r="N186">
        <f t="shared" si="14"/>
        <v>2.914109535549222E-3</v>
      </c>
      <c r="O186">
        <f t="shared" si="15"/>
        <v>8.1595066995378222E-3</v>
      </c>
      <c r="P186">
        <f t="shared" si="16"/>
        <v>1.7484657213295333E-3</v>
      </c>
      <c r="Q186">
        <f t="shared" si="17"/>
        <v>1.1656438142196889E-3</v>
      </c>
      <c r="R186">
        <f t="shared" si="18"/>
        <v>4.6625752568787556E-3</v>
      </c>
    </row>
    <row r="187" spans="1:18" hidden="1" x14ac:dyDescent="0.25">
      <c r="A187" s="46">
        <v>2020</v>
      </c>
      <c r="B187" s="56">
        <v>154</v>
      </c>
      <c r="C187" s="47" t="s">
        <v>59</v>
      </c>
      <c r="D187" s="47" t="s">
        <v>51</v>
      </c>
      <c r="E187" s="47" t="s">
        <v>46</v>
      </c>
      <c r="F187" s="46">
        <v>305</v>
      </c>
      <c r="G187" s="46">
        <v>25</v>
      </c>
      <c r="H187" s="46">
        <v>75</v>
      </c>
      <c r="I187" s="46">
        <v>110</v>
      </c>
      <c r="J187" s="46">
        <v>25</v>
      </c>
      <c r="K187" s="46">
        <v>5</v>
      </c>
      <c r="L187" s="46">
        <v>70</v>
      </c>
      <c r="M187">
        <f t="shared" si="13"/>
        <v>2.914109535549222E-3</v>
      </c>
      <c r="N187">
        <f t="shared" si="14"/>
        <v>8.7423286066476667E-3</v>
      </c>
      <c r="O187">
        <f t="shared" si="15"/>
        <v>1.2822081956416579E-2</v>
      </c>
      <c r="P187">
        <f t="shared" si="16"/>
        <v>2.914109535549222E-3</v>
      </c>
      <c r="Q187">
        <f t="shared" si="17"/>
        <v>5.8282190710984446E-4</v>
      </c>
      <c r="R187">
        <f t="shared" si="18"/>
        <v>8.1595066995378222E-3</v>
      </c>
    </row>
    <row r="188" spans="1:18" hidden="1" x14ac:dyDescent="0.25">
      <c r="A188" s="46">
        <v>2020</v>
      </c>
      <c r="B188" s="56">
        <v>154</v>
      </c>
      <c r="C188" s="47" t="s">
        <v>59</v>
      </c>
      <c r="D188" s="47" t="s">
        <v>51</v>
      </c>
      <c r="E188" s="47" t="s">
        <v>47</v>
      </c>
      <c r="F188" s="46">
        <v>365</v>
      </c>
      <c r="G188" s="46">
        <v>20</v>
      </c>
      <c r="H188" s="46">
        <v>75</v>
      </c>
      <c r="I188" s="46">
        <v>125</v>
      </c>
      <c r="J188" s="46">
        <v>70</v>
      </c>
      <c r="K188" s="46">
        <v>15</v>
      </c>
      <c r="L188" s="46">
        <v>60</v>
      </c>
      <c r="M188">
        <f t="shared" si="13"/>
        <v>2.3312876284393778E-3</v>
      </c>
      <c r="N188">
        <f t="shared" si="14"/>
        <v>8.7423286066476667E-3</v>
      </c>
      <c r="O188">
        <f t="shared" si="15"/>
        <v>1.4570547677746111E-2</v>
      </c>
      <c r="P188">
        <f t="shared" si="16"/>
        <v>8.1595066995378222E-3</v>
      </c>
      <c r="Q188">
        <f t="shared" si="17"/>
        <v>1.7484657213295333E-3</v>
      </c>
      <c r="R188">
        <f t="shared" si="18"/>
        <v>6.993862885318133E-3</v>
      </c>
    </row>
    <row r="189" spans="1:18" hidden="1" x14ac:dyDescent="0.25">
      <c r="A189" s="46">
        <v>2020</v>
      </c>
      <c r="B189" s="56">
        <v>154</v>
      </c>
      <c r="C189" s="47" t="s">
        <v>59</v>
      </c>
      <c r="D189" s="47" t="s">
        <v>51</v>
      </c>
      <c r="E189" s="47" t="s">
        <v>48</v>
      </c>
      <c r="F189" s="46">
        <v>1400</v>
      </c>
      <c r="G189" s="46">
        <v>75</v>
      </c>
      <c r="H189" s="46">
        <v>225</v>
      </c>
      <c r="I189" s="46">
        <v>300</v>
      </c>
      <c r="J189" s="46">
        <v>200</v>
      </c>
      <c r="K189" s="46">
        <v>75</v>
      </c>
      <c r="L189" s="46">
        <v>520</v>
      </c>
      <c r="M189">
        <f t="shared" si="13"/>
        <v>8.7423286066476667E-3</v>
      </c>
      <c r="N189">
        <f t="shared" si="14"/>
        <v>2.6226985819943E-2</v>
      </c>
      <c r="O189">
        <f t="shared" si="15"/>
        <v>3.4969314426590667E-2</v>
      </c>
      <c r="P189">
        <f t="shared" si="16"/>
        <v>2.3312876284393776E-2</v>
      </c>
      <c r="Q189">
        <f t="shared" si="17"/>
        <v>8.7423286066476667E-3</v>
      </c>
      <c r="R189">
        <f t="shared" si="18"/>
        <v>6.0613478339423821E-2</v>
      </c>
    </row>
    <row r="190" spans="1:18" hidden="1" x14ac:dyDescent="0.25">
      <c r="A190" s="46">
        <v>2020</v>
      </c>
      <c r="B190" s="56">
        <v>154</v>
      </c>
      <c r="C190" s="47" t="s">
        <v>59</v>
      </c>
      <c r="D190" s="47" t="s">
        <v>51</v>
      </c>
      <c r="E190" s="47" t="s">
        <v>49</v>
      </c>
      <c r="F190" s="46">
        <v>610</v>
      </c>
      <c r="G190" s="46">
        <v>20</v>
      </c>
      <c r="H190" s="46">
        <v>50</v>
      </c>
      <c r="I190" s="46">
        <v>50</v>
      </c>
      <c r="J190" s="46">
        <v>35</v>
      </c>
      <c r="K190" s="46">
        <v>25</v>
      </c>
      <c r="L190" s="46">
        <v>435</v>
      </c>
      <c r="M190">
        <f t="shared" si="13"/>
        <v>2.3312876284393778E-3</v>
      </c>
      <c r="N190">
        <f t="shared" si="14"/>
        <v>5.8282190710984439E-3</v>
      </c>
      <c r="O190">
        <f t="shared" si="15"/>
        <v>5.8282190710984439E-3</v>
      </c>
      <c r="P190">
        <f t="shared" si="16"/>
        <v>4.0797533497689111E-3</v>
      </c>
      <c r="Q190">
        <f t="shared" si="17"/>
        <v>2.914109535549222E-3</v>
      </c>
      <c r="R190">
        <f t="shared" si="18"/>
        <v>5.0705505918556465E-2</v>
      </c>
    </row>
    <row r="191" spans="1:18" hidden="1" x14ac:dyDescent="0.25">
      <c r="A191" s="46">
        <v>2020</v>
      </c>
      <c r="B191" s="56">
        <v>154</v>
      </c>
      <c r="C191" s="47" t="s">
        <v>59</v>
      </c>
      <c r="D191" s="47" t="s">
        <v>51</v>
      </c>
      <c r="E191" s="47" t="s">
        <v>50</v>
      </c>
      <c r="F191" s="46">
        <v>280</v>
      </c>
      <c r="G191" s="46">
        <v>0</v>
      </c>
      <c r="H191" s="46">
        <v>10</v>
      </c>
      <c r="I191" s="46">
        <v>5</v>
      </c>
      <c r="J191" s="46">
        <v>10</v>
      </c>
      <c r="K191" s="46">
        <v>0</v>
      </c>
      <c r="L191" s="46">
        <v>255</v>
      </c>
      <c r="M191">
        <f t="shared" si="13"/>
        <v>0</v>
      </c>
      <c r="N191">
        <f t="shared" si="14"/>
        <v>1.1656438142196889E-3</v>
      </c>
      <c r="O191">
        <f t="shared" si="15"/>
        <v>5.8282190710984446E-4</v>
      </c>
      <c r="P191">
        <f t="shared" si="16"/>
        <v>1.1656438142196889E-3</v>
      </c>
      <c r="Q191">
        <f t="shared" si="17"/>
        <v>0</v>
      </c>
      <c r="R191">
        <f t="shared" si="18"/>
        <v>2.9723917262602068E-2</v>
      </c>
    </row>
    <row r="192" spans="1:18" hidden="1" x14ac:dyDescent="0.25">
      <c r="A192" s="46">
        <v>2020</v>
      </c>
      <c r="B192" s="56">
        <v>154</v>
      </c>
      <c r="C192" s="47" t="s">
        <v>59</v>
      </c>
      <c r="D192" s="47" t="s">
        <v>52</v>
      </c>
      <c r="E192" s="47" t="s">
        <v>43</v>
      </c>
      <c r="F192" s="46">
        <v>3055</v>
      </c>
      <c r="G192" s="46">
        <v>160</v>
      </c>
      <c r="H192" s="46">
        <v>555</v>
      </c>
      <c r="I192" s="46">
        <v>595</v>
      </c>
      <c r="J192" s="46">
        <v>285</v>
      </c>
      <c r="K192" s="46">
        <v>160</v>
      </c>
      <c r="L192" s="46">
        <v>1305</v>
      </c>
      <c r="M192">
        <f t="shared" si="13"/>
        <v>1.8650301027515023E-2</v>
      </c>
      <c r="N192">
        <f t="shared" si="14"/>
        <v>6.4693231689192734E-2</v>
      </c>
      <c r="O192">
        <f t="shared" si="15"/>
        <v>6.9355806946071491E-2</v>
      </c>
      <c r="P192">
        <f t="shared" si="16"/>
        <v>3.3220848705261131E-2</v>
      </c>
      <c r="Q192">
        <f t="shared" si="17"/>
        <v>1.8650301027515023E-2</v>
      </c>
      <c r="R192">
        <f t="shared" si="18"/>
        <v>0.15211651775566939</v>
      </c>
    </row>
    <row r="193" spans="1:18" hidden="1" x14ac:dyDescent="0.25">
      <c r="A193" s="46">
        <v>2020</v>
      </c>
      <c r="B193" s="56">
        <v>154</v>
      </c>
      <c r="C193" s="47" t="s">
        <v>59</v>
      </c>
      <c r="D193" s="47" t="s">
        <v>52</v>
      </c>
      <c r="E193" s="47" t="s">
        <v>44</v>
      </c>
      <c r="F193" s="46">
        <v>520</v>
      </c>
      <c r="G193" s="46">
        <v>60</v>
      </c>
      <c r="H193" s="46">
        <v>205</v>
      </c>
      <c r="I193" s="46">
        <v>170</v>
      </c>
      <c r="J193" s="46">
        <v>50</v>
      </c>
      <c r="K193" s="46">
        <v>25</v>
      </c>
      <c r="L193" s="46">
        <v>15</v>
      </c>
      <c r="M193">
        <f t="shared" si="13"/>
        <v>6.993862885318133E-3</v>
      </c>
      <c r="N193">
        <f t="shared" si="14"/>
        <v>2.3895698191503622E-2</v>
      </c>
      <c r="O193">
        <f t="shared" si="15"/>
        <v>1.9815944841734712E-2</v>
      </c>
      <c r="P193">
        <f t="shared" si="16"/>
        <v>5.8282190710984439E-3</v>
      </c>
      <c r="Q193">
        <f t="shared" si="17"/>
        <v>2.914109535549222E-3</v>
      </c>
      <c r="R193">
        <f t="shared" si="18"/>
        <v>1.7484657213295333E-3</v>
      </c>
    </row>
    <row r="194" spans="1:18" hidden="1" x14ac:dyDescent="0.25">
      <c r="A194" s="46">
        <v>2020</v>
      </c>
      <c r="B194" s="56">
        <v>154</v>
      </c>
      <c r="C194" s="47" t="s">
        <v>59</v>
      </c>
      <c r="D194" s="47" t="s">
        <v>52</v>
      </c>
      <c r="E194" s="47" t="s">
        <v>45</v>
      </c>
      <c r="F194" s="46">
        <v>140</v>
      </c>
      <c r="G194" s="46">
        <v>5</v>
      </c>
      <c r="H194" s="46">
        <v>30</v>
      </c>
      <c r="I194" s="46">
        <v>40</v>
      </c>
      <c r="J194" s="46">
        <v>25</v>
      </c>
      <c r="K194" s="46">
        <v>10</v>
      </c>
      <c r="L194" s="46">
        <v>30</v>
      </c>
      <c r="M194">
        <f t="shared" si="13"/>
        <v>5.8282190710984446E-4</v>
      </c>
      <c r="N194">
        <f t="shared" si="14"/>
        <v>3.4969314426590665E-3</v>
      </c>
      <c r="O194">
        <f t="shared" si="15"/>
        <v>4.6625752568787556E-3</v>
      </c>
      <c r="P194">
        <f t="shared" si="16"/>
        <v>2.914109535549222E-3</v>
      </c>
      <c r="Q194">
        <f t="shared" si="17"/>
        <v>1.1656438142196889E-3</v>
      </c>
      <c r="R194">
        <f t="shared" si="18"/>
        <v>3.4969314426590665E-3</v>
      </c>
    </row>
    <row r="195" spans="1:18" hidden="1" x14ac:dyDescent="0.25">
      <c r="A195" s="46">
        <v>2020</v>
      </c>
      <c r="B195" s="56">
        <v>154</v>
      </c>
      <c r="C195" s="47" t="s">
        <v>59</v>
      </c>
      <c r="D195" s="47" t="s">
        <v>52</v>
      </c>
      <c r="E195" s="47" t="s">
        <v>46</v>
      </c>
      <c r="F195" s="46">
        <v>185</v>
      </c>
      <c r="G195" s="46">
        <v>20</v>
      </c>
      <c r="H195" s="46">
        <v>60</v>
      </c>
      <c r="I195" s="46">
        <v>45</v>
      </c>
      <c r="J195" s="46">
        <v>10</v>
      </c>
      <c r="K195" s="46">
        <v>5</v>
      </c>
      <c r="L195" s="46">
        <v>50</v>
      </c>
      <c r="M195">
        <f t="shared" si="13"/>
        <v>2.3312876284393778E-3</v>
      </c>
      <c r="N195">
        <f t="shared" si="14"/>
        <v>6.993862885318133E-3</v>
      </c>
      <c r="O195">
        <f t="shared" si="15"/>
        <v>5.2453971639886002E-3</v>
      </c>
      <c r="P195">
        <f t="shared" si="16"/>
        <v>1.1656438142196889E-3</v>
      </c>
      <c r="Q195">
        <f t="shared" si="17"/>
        <v>5.8282190710984446E-4</v>
      </c>
      <c r="R195">
        <f t="shared" si="18"/>
        <v>5.8282190710984439E-3</v>
      </c>
    </row>
    <row r="196" spans="1:18" hidden="1" x14ac:dyDescent="0.25">
      <c r="A196" s="46">
        <v>2020</v>
      </c>
      <c r="B196" s="56">
        <v>154</v>
      </c>
      <c r="C196" s="47" t="s">
        <v>59</v>
      </c>
      <c r="D196" s="47" t="s">
        <v>52</v>
      </c>
      <c r="E196" s="47" t="s">
        <v>47</v>
      </c>
      <c r="F196" s="46">
        <v>275</v>
      </c>
      <c r="G196" s="46">
        <v>15</v>
      </c>
      <c r="H196" s="46">
        <v>65</v>
      </c>
      <c r="I196" s="46">
        <v>75</v>
      </c>
      <c r="J196" s="46">
        <v>30</v>
      </c>
      <c r="K196" s="46">
        <v>10</v>
      </c>
      <c r="L196" s="46">
        <v>80</v>
      </c>
      <c r="M196">
        <f t="shared" si="13"/>
        <v>1.7484657213295333E-3</v>
      </c>
      <c r="N196">
        <f t="shared" si="14"/>
        <v>7.5766847924279776E-3</v>
      </c>
      <c r="O196">
        <f t="shared" si="15"/>
        <v>8.7423286066476667E-3</v>
      </c>
      <c r="P196">
        <f t="shared" si="16"/>
        <v>3.4969314426590665E-3</v>
      </c>
      <c r="Q196">
        <f t="shared" si="17"/>
        <v>1.1656438142196889E-3</v>
      </c>
      <c r="R196">
        <f t="shared" si="18"/>
        <v>9.3251505137575113E-3</v>
      </c>
    </row>
    <row r="197" spans="1:18" hidden="1" x14ac:dyDescent="0.25">
      <c r="A197" s="46">
        <v>2020</v>
      </c>
      <c r="B197" s="56">
        <v>154</v>
      </c>
      <c r="C197" s="47" t="s">
        <v>59</v>
      </c>
      <c r="D197" s="47" t="s">
        <v>52</v>
      </c>
      <c r="E197" s="47" t="s">
        <v>48</v>
      </c>
      <c r="F197" s="46">
        <v>1195</v>
      </c>
      <c r="G197" s="46">
        <v>45</v>
      </c>
      <c r="H197" s="46">
        <v>165</v>
      </c>
      <c r="I197" s="46">
        <v>210</v>
      </c>
      <c r="J197" s="46">
        <v>145</v>
      </c>
      <c r="K197" s="46">
        <v>90</v>
      </c>
      <c r="L197" s="46">
        <v>545</v>
      </c>
      <c r="M197">
        <f t="shared" si="13"/>
        <v>5.2453971639886002E-3</v>
      </c>
      <c r="N197">
        <f t="shared" si="14"/>
        <v>1.9233122934624865E-2</v>
      </c>
      <c r="O197">
        <f t="shared" si="15"/>
        <v>2.4478520098613465E-2</v>
      </c>
      <c r="P197">
        <f t="shared" si="16"/>
        <v>1.6901835306185491E-2</v>
      </c>
      <c r="Q197">
        <f t="shared" si="17"/>
        <v>1.04907943279772E-2</v>
      </c>
      <c r="R197">
        <f t="shared" si="18"/>
        <v>6.3527587874973049E-2</v>
      </c>
    </row>
    <row r="198" spans="1:18" hidden="1" x14ac:dyDescent="0.25">
      <c r="A198" s="46">
        <v>2020</v>
      </c>
      <c r="B198" s="56">
        <v>154</v>
      </c>
      <c r="C198" s="47" t="s">
        <v>59</v>
      </c>
      <c r="D198" s="47" t="s">
        <v>52</v>
      </c>
      <c r="E198" s="47" t="s">
        <v>49</v>
      </c>
      <c r="F198" s="46">
        <v>475</v>
      </c>
      <c r="G198" s="46">
        <v>10</v>
      </c>
      <c r="H198" s="46">
        <v>35</v>
      </c>
      <c r="I198" s="46">
        <v>45</v>
      </c>
      <c r="J198" s="46">
        <v>20</v>
      </c>
      <c r="K198" s="46">
        <v>20</v>
      </c>
      <c r="L198" s="46">
        <v>345</v>
      </c>
      <c r="M198">
        <f t="shared" si="13"/>
        <v>1.1656438142196889E-3</v>
      </c>
      <c r="N198">
        <f t="shared" si="14"/>
        <v>4.0797533497689111E-3</v>
      </c>
      <c r="O198">
        <f t="shared" si="15"/>
        <v>5.2453971639886002E-3</v>
      </c>
      <c r="P198">
        <f t="shared" si="16"/>
        <v>2.3312876284393778E-3</v>
      </c>
      <c r="Q198">
        <f t="shared" si="17"/>
        <v>2.3312876284393778E-3</v>
      </c>
      <c r="R198">
        <f t="shared" si="18"/>
        <v>4.0214711590579266E-2</v>
      </c>
    </row>
    <row r="199" spans="1:18" hidden="1" x14ac:dyDescent="0.25">
      <c r="A199" s="46">
        <v>2020</v>
      </c>
      <c r="B199" s="56">
        <v>154</v>
      </c>
      <c r="C199" s="47" t="s">
        <v>59</v>
      </c>
      <c r="D199" s="47" t="s">
        <v>52</v>
      </c>
      <c r="E199" s="47" t="s">
        <v>50</v>
      </c>
      <c r="F199" s="46">
        <v>270</v>
      </c>
      <c r="G199" s="46">
        <v>0</v>
      </c>
      <c r="H199" s="46">
        <v>5</v>
      </c>
      <c r="I199" s="46">
        <v>10</v>
      </c>
      <c r="J199" s="46">
        <v>5</v>
      </c>
      <c r="K199" s="46">
        <v>5</v>
      </c>
      <c r="L199" s="46">
        <v>240</v>
      </c>
      <c r="M199">
        <f t="shared" si="13"/>
        <v>0</v>
      </c>
      <c r="N199">
        <f t="shared" si="14"/>
        <v>5.8282190710984446E-4</v>
      </c>
      <c r="O199">
        <f t="shared" si="15"/>
        <v>1.1656438142196889E-3</v>
      </c>
      <c r="P199">
        <f t="shared" si="16"/>
        <v>5.8282190710984446E-4</v>
      </c>
      <c r="Q199">
        <f t="shared" si="17"/>
        <v>5.8282190710984446E-4</v>
      </c>
      <c r="R199">
        <f t="shared" si="18"/>
        <v>2.7975451541272532E-2</v>
      </c>
    </row>
    <row r="200" spans="1:18" x14ac:dyDescent="0.25">
      <c r="A200" s="46">
        <v>2020</v>
      </c>
      <c r="B200" s="56">
        <v>155</v>
      </c>
      <c r="C200" s="47" t="s">
        <v>60</v>
      </c>
      <c r="D200" s="47" t="s">
        <v>42</v>
      </c>
      <c r="E200" s="47" t="s">
        <v>43</v>
      </c>
      <c r="F200" s="46">
        <v>9310</v>
      </c>
      <c r="G200" s="46">
        <v>460</v>
      </c>
      <c r="H200" s="46">
        <v>1835</v>
      </c>
      <c r="I200" s="46">
        <v>2130</v>
      </c>
      <c r="J200" s="46">
        <v>805</v>
      </c>
      <c r="K200" s="46">
        <v>420</v>
      </c>
      <c r="L200" s="46">
        <v>3660</v>
      </c>
      <c r="M200">
        <f t="shared" si="13"/>
        <v>5.3619615454105686E-2</v>
      </c>
      <c r="N200">
        <f t="shared" si="14"/>
        <v>0.21389563990931293</v>
      </c>
      <c r="O200">
        <f t="shared" si="15"/>
        <v>0.24828213242879374</v>
      </c>
      <c r="P200">
        <f t="shared" si="16"/>
        <v>9.3834327044684959E-2</v>
      </c>
      <c r="Q200">
        <f t="shared" si="17"/>
        <v>4.895704019722693E-2</v>
      </c>
      <c r="R200">
        <f t="shared" si="18"/>
        <v>0.42662563600440612</v>
      </c>
    </row>
    <row r="201" spans="1:18" hidden="1" x14ac:dyDescent="0.25">
      <c r="A201" s="46">
        <v>2020</v>
      </c>
      <c r="B201" s="56">
        <v>155</v>
      </c>
      <c r="C201" s="47" t="s">
        <v>60</v>
      </c>
      <c r="D201" s="47" t="s">
        <v>42</v>
      </c>
      <c r="E201" s="47" t="s">
        <v>44</v>
      </c>
      <c r="F201" s="46">
        <v>1780</v>
      </c>
      <c r="G201" s="46">
        <v>170</v>
      </c>
      <c r="H201" s="46">
        <v>665</v>
      </c>
      <c r="I201" s="46">
        <v>570</v>
      </c>
      <c r="J201" s="46">
        <v>195</v>
      </c>
      <c r="K201" s="46">
        <v>80</v>
      </c>
      <c r="L201" s="46">
        <v>95</v>
      </c>
      <c r="M201">
        <f t="shared" ref="M201:M264" si="19">G201/$F$8*100</f>
        <v>1.9815944841734712E-2</v>
      </c>
      <c r="N201">
        <f t="shared" ref="N201:N264" si="20">H201/$F$8*100</f>
        <v>7.7515313645609304E-2</v>
      </c>
      <c r="O201">
        <f t="shared" ref="O201:O264" si="21">I201/$F$8*100</f>
        <v>6.6441697410522263E-2</v>
      </c>
      <c r="P201">
        <f t="shared" ref="P201:P264" si="22">J201/$F$8*100</f>
        <v>2.2730054377283933E-2</v>
      </c>
      <c r="Q201">
        <f t="shared" ref="Q201:Q264" si="23">K201/$F$8*100</f>
        <v>9.3251505137575113E-3</v>
      </c>
      <c r="R201">
        <f t="shared" ref="R201:R264" si="24">L201/$F$8*100</f>
        <v>1.1073616235087045E-2</v>
      </c>
    </row>
    <row r="202" spans="1:18" hidden="1" x14ac:dyDescent="0.25">
      <c r="A202" s="46">
        <v>2020</v>
      </c>
      <c r="B202" s="56">
        <v>155</v>
      </c>
      <c r="C202" s="47" t="s">
        <v>60</v>
      </c>
      <c r="D202" s="47" t="s">
        <v>42</v>
      </c>
      <c r="E202" s="47" t="s">
        <v>45</v>
      </c>
      <c r="F202" s="46">
        <v>445</v>
      </c>
      <c r="G202" s="46">
        <v>25</v>
      </c>
      <c r="H202" s="46">
        <v>90</v>
      </c>
      <c r="I202" s="46">
        <v>145</v>
      </c>
      <c r="J202" s="46">
        <v>50</v>
      </c>
      <c r="K202" s="46">
        <v>20</v>
      </c>
      <c r="L202" s="46">
        <v>115</v>
      </c>
      <c r="M202">
        <f t="shared" si="19"/>
        <v>2.914109535549222E-3</v>
      </c>
      <c r="N202">
        <f t="shared" si="20"/>
        <v>1.04907943279772E-2</v>
      </c>
      <c r="O202">
        <f t="shared" si="21"/>
        <v>1.6901835306185491E-2</v>
      </c>
      <c r="P202">
        <f t="shared" si="22"/>
        <v>5.8282190710984439E-3</v>
      </c>
      <c r="Q202">
        <f t="shared" si="23"/>
        <v>2.3312876284393778E-3</v>
      </c>
      <c r="R202">
        <f t="shared" si="24"/>
        <v>1.3404903863526422E-2</v>
      </c>
    </row>
    <row r="203" spans="1:18" hidden="1" x14ac:dyDescent="0.25">
      <c r="A203" s="46">
        <v>2020</v>
      </c>
      <c r="B203" s="56">
        <v>155</v>
      </c>
      <c r="C203" s="47" t="s">
        <v>60</v>
      </c>
      <c r="D203" s="47" t="s">
        <v>42</v>
      </c>
      <c r="E203" s="47" t="s">
        <v>46</v>
      </c>
      <c r="F203" s="46">
        <v>700</v>
      </c>
      <c r="G203" s="46">
        <v>50</v>
      </c>
      <c r="H203" s="46">
        <v>170</v>
      </c>
      <c r="I203" s="46">
        <v>245</v>
      </c>
      <c r="J203" s="46">
        <v>35</v>
      </c>
      <c r="K203" s="46">
        <v>25</v>
      </c>
      <c r="L203" s="46">
        <v>175</v>
      </c>
      <c r="M203">
        <f t="shared" si="19"/>
        <v>5.8282190710984439E-3</v>
      </c>
      <c r="N203">
        <f t="shared" si="20"/>
        <v>1.9815944841734712E-2</v>
      </c>
      <c r="O203">
        <f t="shared" si="21"/>
        <v>2.8558273448382378E-2</v>
      </c>
      <c r="P203">
        <f t="shared" si="22"/>
        <v>4.0797533497689111E-3</v>
      </c>
      <c r="Q203">
        <f t="shared" si="23"/>
        <v>2.914109535549222E-3</v>
      </c>
      <c r="R203">
        <f t="shared" si="24"/>
        <v>2.0398766748844555E-2</v>
      </c>
    </row>
    <row r="204" spans="1:18" hidden="1" x14ac:dyDescent="0.25">
      <c r="A204" s="46">
        <v>2020</v>
      </c>
      <c r="B204" s="56">
        <v>155</v>
      </c>
      <c r="C204" s="47" t="s">
        <v>60</v>
      </c>
      <c r="D204" s="47" t="s">
        <v>42</v>
      </c>
      <c r="E204" s="47" t="s">
        <v>47</v>
      </c>
      <c r="F204" s="46">
        <v>835</v>
      </c>
      <c r="G204" s="46">
        <v>50</v>
      </c>
      <c r="H204" s="46">
        <v>210</v>
      </c>
      <c r="I204" s="46">
        <v>265</v>
      </c>
      <c r="J204" s="46">
        <v>75</v>
      </c>
      <c r="K204" s="46">
        <v>45</v>
      </c>
      <c r="L204" s="46">
        <v>195</v>
      </c>
      <c r="M204">
        <f t="shared" si="19"/>
        <v>5.8282190710984439E-3</v>
      </c>
      <c r="N204">
        <f t="shared" si="20"/>
        <v>2.4478520098613465E-2</v>
      </c>
      <c r="O204">
        <f t="shared" si="21"/>
        <v>3.0889561076821757E-2</v>
      </c>
      <c r="P204">
        <f t="shared" si="22"/>
        <v>8.7423286066476667E-3</v>
      </c>
      <c r="Q204">
        <f t="shared" si="23"/>
        <v>5.2453971639886002E-3</v>
      </c>
      <c r="R204">
        <f t="shared" si="24"/>
        <v>2.2730054377283933E-2</v>
      </c>
    </row>
    <row r="205" spans="1:18" hidden="1" x14ac:dyDescent="0.25">
      <c r="A205" s="46">
        <v>2020</v>
      </c>
      <c r="B205" s="56">
        <v>155</v>
      </c>
      <c r="C205" s="47" t="s">
        <v>60</v>
      </c>
      <c r="D205" s="47" t="s">
        <v>42</v>
      </c>
      <c r="E205" s="47" t="s">
        <v>48</v>
      </c>
      <c r="F205" s="46">
        <v>3330</v>
      </c>
      <c r="G205" s="46">
        <v>135</v>
      </c>
      <c r="H205" s="46">
        <v>570</v>
      </c>
      <c r="I205" s="46">
        <v>730</v>
      </c>
      <c r="J205" s="46">
        <v>345</v>
      </c>
      <c r="K205" s="46">
        <v>195</v>
      </c>
      <c r="L205" s="46">
        <v>1360</v>
      </c>
      <c r="M205">
        <f t="shared" si="19"/>
        <v>1.5736191491965801E-2</v>
      </c>
      <c r="N205">
        <f t="shared" si="20"/>
        <v>6.6441697410522263E-2</v>
      </c>
      <c r="O205">
        <f t="shared" si="21"/>
        <v>8.5091998438037289E-2</v>
      </c>
      <c r="P205">
        <f t="shared" si="22"/>
        <v>4.0214711590579266E-2</v>
      </c>
      <c r="Q205">
        <f t="shared" si="23"/>
        <v>2.2730054377283933E-2</v>
      </c>
      <c r="R205">
        <f t="shared" si="24"/>
        <v>0.15852755873387769</v>
      </c>
    </row>
    <row r="206" spans="1:18" hidden="1" x14ac:dyDescent="0.25">
      <c r="A206" s="46">
        <v>2020</v>
      </c>
      <c r="B206" s="56">
        <v>155</v>
      </c>
      <c r="C206" s="47" t="s">
        <v>60</v>
      </c>
      <c r="D206" s="47" t="s">
        <v>42</v>
      </c>
      <c r="E206" s="47" t="s">
        <v>49</v>
      </c>
      <c r="F206" s="46">
        <v>1450</v>
      </c>
      <c r="G206" s="46">
        <v>20</v>
      </c>
      <c r="H206" s="46">
        <v>110</v>
      </c>
      <c r="I206" s="46">
        <v>145</v>
      </c>
      <c r="J206" s="46">
        <v>95</v>
      </c>
      <c r="K206" s="46">
        <v>50</v>
      </c>
      <c r="L206" s="46">
        <v>1025</v>
      </c>
      <c r="M206">
        <f t="shared" si="19"/>
        <v>2.3312876284393778E-3</v>
      </c>
      <c r="N206">
        <f t="shared" si="20"/>
        <v>1.2822081956416579E-2</v>
      </c>
      <c r="O206">
        <f t="shared" si="21"/>
        <v>1.6901835306185491E-2</v>
      </c>
      <c r="P206">
        <f t="shared" si="22"/>
        <v>1.1073616235087045E-2</v>
      </c>
      <c r="Q206">
        <f t="shared" si="23"/>
        <v>5.8282190710984439E-3</v>
      </c>
      <c r="R206">
        <f t="shared" si="24"/>
        <v>0.11947849095751811</v>
      </c>
    </row>
    <row r="207" spans="1:18" hidden="1" x14ac:dyDescent="0.25">
      <c r="A207" s="46">
        <v>2020</v>
      </c>
      <c r="B207" s="56">
        <v>155</v>
      </c>
      <c r="C207" s="47" t="s">
        <v>60</v>
      </c>
      <c r="D207" s="47" t="s">
        <v>42</v>
      </c>
      <c r="E207" s="47" t="s">
        <v>50</v>
      </c>
      <c r="F207" s="46">
        <v>770</v>
      </c>
      <c r="G207" s="46">
        <v>5</v>
      </c>
      <c r="H207" s="46">
        <v>25</v>
      </c>
      <c r="I207" s="46">
        <v>25</v>
      </c>
      <c r="J207" s="46">
        <v>15</v>
      </c>
      <c r="K207" s="46">
        <v>10</v>
      </c>
      <c r="L207" s="46">
        <v>695</v>
      </c>
      <c r="M207">
        <f t="shared" si="19"/>
        <v>5.8282190710984446E-4</v>
      </c>
      <c r="N207">
        <f t="shared" si="20"/>
        <v>2.914109535549222E-3</v>
      </c>
      <c r="O207">
        <f t="shared" si="21"/>
        <v>2.914109535549222E-3</v>
      </c>
      <c r="P207">
        <f t="shared" si="22"/>
        <v>1.7484657213295333E-3</v>
      </c>
      <c r="Q207">
        <f t="shared" si="23"/>
        <v>1.1656438142196889E-3</v>
      </c>
      <c r="R207">
        <f t="shared" si="24"/>
        <v>8.1012245088268375E-2</v>
      </c>
    </row>
    <row r="208" spans="1:18" hidden="1" x14ac:dyDescent="0.25">
      <c r="A208" s="46">
        <v>2020</v>
      </c>
      <c r="B208" s="56">
        <v>155</v>
      </c>
      <c r="C208" s="47" t="s">
        <v>60</v>
      </c>
      <c r="D208" s="47" t="s">
        <v>51</v>
      </c>
      <c r="E208" s="47" t="s">
        <v>43</v>
      </c>
      <c r="F208" s="46">
        <v>4875</v>
      </c>
      <c r="G208" s="46">
        <v>245</v>
      </c>
      <c r="H208" s="46">
        <v>985</v>
      </c>
      <c r="I208" s="46">
        <v>1235</v>
      </c>
      <c r="J208" s="46">
        <v>415</v>
      </c>
      <c r="K208" s="46">
        <v>210</v>
      </c>
      <c r="L208" s="46">
        <v>1785</v>
      </c>
      <c r="M208">
        <f t="shared" si="19"/>
        <v>2.8558273448382378E-2</v>
      </c>
      <c r="N208">
        <f t="shared" si="20"/>
        <v>0.11481591570063936</v>
      </c>
      <c r="O208">
        <f t="shared" si="21"/>
        <v>0.14395701105613157</v>
      </c>
      <c r="P208">
        <f t="shared" si="22"/>
        <v>4.8374218290117087E-2</v>
      </c>
      <c r="Q208">
        <f t="shared" si="23"/>
        <v>2.4478520098613465E-2</v>
      </c>
      <c r="R208">
        <f t="shared" si="24"/>
        <v>0.20806742083821447</v>
      </c>
    </row>
    <row r="209" spans="1:18" hidden="1" x14ac:dyDescent="0.25">
      <c r="A209" s="46">
        <v>2020</v>
      </c>
      <c r="B209" s="56">
        <v>155</v>
      </c>
      <c r="C209" s="47" t="s">
        <v>60</v>
      </c>
      <c r="D209" s="47" t="s">
        <v>51</v>
      </c>
      <c r="E209" s="47" t="s">
        <v>44</v>
      </c>
      <c r="F209" s="46">
        <v>905</v>
      </c>
      <c r="G209" s="46">
        <v>80</v>
      </c>
      <c r="H209" s="46">
        <v>345</v>
      </c>
      <c r="I209" s="46">
        <v>300</v>
      </c>
      <c r="J209" s="46">
        <v>85</v>
      </c>
      <c r="K209" s="46">
        <v>40</v>
      </c>
      <c r="L209" s="46">
        <v>55</v>
      </c>
      <c r="M209">
        <f t="shared" si="19"/>
        <v>9.3251505137575113E-3</v>
      </c>
      <c r="N209">
        <f t="shared" si="20"/>
        <v>4.0214711590579266E-2</v>
      </c>
      <c r="O209">
        <f t="shared" si="21"/>
        <v>3.4969314426590667E-2</v>
      </c>
      <c r="P209">
        <f t="shared" si="22"/>
        <v>9.9079724208673559E-3</v>
      </c>
      <c r="Q209">
        <f t="shared" si="23"/>
        <v>4.6625752568787556E-3</v>
      </c>
      <c r="R209">
        <f t="shared" si="24"/>
        <v>6.4110409782082893E-3</v>
      </c>
    </row>
    <row r="210" spans="1:18" hidden="1" x14ac:dyDescent="0.25">
      <c r="A210" s="46">
        <v>2020</v>
      </c>
      <c r="B210" s="56">
        <v>155</v>
      </c>
      <c r="C210" s="47" t="s">
        <v>60</v>
      </c>
      <c r="D210" s="47" t="s">
        <v>51</v>
      </c>
      <c r="E210" s="47" t="s">
        <v>45</v>
      </c>
      <c r="F210" s="46">
        <v>245</v>
      </c>
      <c r="G210" s="46">
        <v>15</v>
      </c>
      <c r="H210" s="46">
        <v>55</v>
      </c>
      <c r="I210" s="46">
        <v>85</v>
      </c>
      <c r="J210" s="46">
        <v>25</v>
      </c>
      <c r="K210" s="46">
        <v>10</v>
      </c>
      <c r="L210" s="46">
        <v>60</v>
      </c>
      <c r="M210">
        <f t="shared" si="19"/>
        <v>1.7484657213295333E-3</v>
      </c>
      <c r="N210">
        <f t="shared" si="20"/>
        <v>6.4110409782082893E-3</v>
      </c>
      <c r="O210">
        <f t="shared" si="21"/>
        <v>9.9079724208673559E-3</v>
      </c>
      <c r="P210">
        <f t="shared" si="22"/>
        <v>2.914109535549222E-3</v>
      </c>
      <c r="Q210">
        <f t="shared" si="23"/>
        <v>1.1656438142196889E-3</v>
      </c>
      <c r="R210">
        <f t="shared" si="24"/>
        <v>6.993862885318133E-3</v>
      </c>
    </row>
    <row r="211" spans="1:18" hidden="1" x14ac:dyDescent="0.25">
      <c r="A211" s="46">
        <v>2020</v>
      </c>
      <c r="B211" s="56">
        <v>155</v>
      </c>
      <c r="C211" s="47" t="s">
        <v>60</v>
      </c>
      <c r="D211" s="47" t="s">
        <v>51</v>
      </c>
      <c r="E211" s="47" t="s">
        <v>46</v>
      </c>
      <c r="F211" s="46">
        <v>390</v>
      </c>
      <c r="G211" s="46">
        <v>20</v>
      </c>
      <c r="H211" s="46">
        <v>95</v>
      </c>
      <c r="I211" s="46">
        <v>165</v>
      </c>
      <c r="J211" s="46">
        <v>20</v>
      </c>
      <c r="K211" s="46">
        <v>15</v>
      </c>
      <c r="L211" s="46">
        <v>80</v>
      </c>
      <c r="M211">
        <f t="shared" si="19"/>
        <v>2.3312876284393778E-3</v>
      </c>
      <c r="N211">
        <f t="shared" si="20"/>
        <v>1.1073616235087045E-2</v>
      </c>
      <c r="O211">
        <f t="shared" si="21"/>
        <v>1.9233122934624865E-2</v>
      </c>
      <c r="P211">
        <f t="shared" si="22"/>
        <v>2.3312876284393778E-3</v>
      </c>
      <c r="Q211">
        <f t="shared" si="23"/>
        <v>1.7484657213295333E-3</v>
      </c>
      <c r="R211">
        <f t="shared" si="24"/>
        <v>9.3251505137575113E-3</v>
      </c>
    </row>
    <row r="212" spans="1:18" hidden="1" x14ac:dyDescent="0.25">
      <c r="A212" s="46">
        <v>2020</v>
      </c>
      <c r="B212" s="56">
        <v>155</v>
      </c>
      <c r="C212" s="47" t="s">
        <v>60</v>
      </c>
      <c r="D212" s="47" t="s">
        <v>51</v>
      </c>
      <c r="E212" s="47" t="s">
        <v>47</v>
      </c>
      <c r="F212" s="46">
        <v>465</v>
      </c>
      <c r="G212" s="46">
        <v>25</v>
      </c>
      <c r="H212" s="46">
        <v>115</v>
      </c>
      <c r="I212" s="46">
        <v>165</v>
      </c>
      <c r="J212" s="46">
        <v>35</v>
      </c>
      <c r="K212" s="46">
        <v>20</v>
      </c>
      <c r="L212" s="46">
        <v>105</v>
      </c>
      <c r="M212">
        <f t="shared" si="19"/>
        <v>2.914109535549222E-3</v>
      </c>
      <c r="N212">
        <f t="shared" si="20"/>
        <v>1.3404903863526422E-2</v>
      </c>
      <c r="O212">
        <f t="shared" si="21"/>
        <v>1.9233122934624865E-2</v>
      </c>
      <c r="P212">
        <f t="shared" si="22"/>
        <v>4.0797533497689111E-3</v>
      </c>
      <c r="Q212">
        <f t="shared" si="23"/>
        <v>2.3312876284393778E-3</v>
      </c>
      <c r="R212">
        <f t="shared" si="24"/>
        <v>1.2239260049306732E-2</v>
      </c>
    </row>
    <row r="213" spans="1:18" hidden="1" x14ac:dyDescent="0.25">
      <c r="A213" s="46">
        <v>2020</v>
      </c>
      <c r="B213" s="56">
        <v>155</v>
      </c>
      <c r="C213" s="47" t="s">
        <v>60</v>
      </c>
      <c r="D213" s="47" t="s">
        <v>51</v>
      </c>
      <c r="E213" s="47" t="s">
        <v>48</v>
      </c>
      <c r="F213" s="46">
        <v>1775</v>
      </c>
      <c r="G213" s="46">
        <v>80</v>
      </c>
      <c r="H213" s="46">
        <v>315</v>
      </c>
      <c r="I213" s="46">
        <v>440</v>
      </c>
      <c r="J213" s="46">
        <v>195</v>
      </c>
      <c r="K213" s="46">
        <v>100</v>
      </c>
      <c r="L213" s="46">
        <v>640</v>
      </c>
      <c r="M213">
        <f t="shared" si="19"/>
        <v>9.3251505137575113E-3</v>
      </c>
      <c r="N213">
        <f t="shared" si="20"/>
        <v>3.6717780147920202E-2</v>
      </c>
      <c r="O213">
        <f t="shared" si="21"/>
        <v>5.1288327825666315E-2</v>
      </c>
      <c r="P213">
        <f t="shared" si="22"/>
        <v>2.2730054377283933E-2</v>
      </c>
      <c r="Q213">
        <f t="shared" si="23"/>
        <v>1.1656438142196888E-2</v>
      </c>
      <c r="R213">
        <f t="shared" si="24"/>
        <v>7.460120411006009E-2</v>
      </c>
    </row>
    <row r="214" spans="1:18" hidden="1" x14ac:dyDescent="0.25">
      <c r="A214" s="46">
        <v>2020</v>
      </c>
      <c r="B214" s="56">
        <v>155</v>
      </c>
      <c r="C214" s="47" t="s">
        <v>60</v>
      </c>
      <c r="D214" s="47" t="s">
        <v>51</v>
      </c>
      <c r="E214" s="47" t="s">
        <v>49</v>
      </c>
      <c r="F214" s="46">
        <v>735</v>
      </c>
      <c r="G214" s="46">
        <v>15</v>
      </c>
      <c r="H214" s="46">
        <v>55</v>
      </c>
      <c r="I214" s="46">
        <v>70</v>
      </c>
      <c r="J214" s="46">
        <v>50</v>
      </c>
      <c r="K214" s="46">
        <v>25</v>
      </c>
      <c r="L214" s="46">
        <v>520</v>
      </c>
      <c r="M214">
        <f t="shared" si="19"/>
        <v>1.7484657213295333E-3</v>
      </c>
      <c r="N214">
        <f t="shared" si="20"/>
        <v>6.4110409782082893E-3</v>
      </c>
      <c r="O214">
        <f t="shared" si="21"/>
        <v>8.1595066995378222E-3</v>
      </c>
      <c r="P214">
        <f t="shared" si="22"/>
        <v>5.8282190710984439E-3</v>
      </c>
      <c r="Q214">
        <f t="shared" si="23"/>
        <v>2.914109535549222E-3</v>
      </c>
      <c r="R214">
        <f t="shared" si="24"/>
        <v>6.0613478339423821E-2</v>
      </c>
    </row>
    <row r="215" spans="1:18" hidden="1" x14ac:dyDescent="0.25">
      <c r="A215" s="46">
        <v>2020</v>
      </c>
      <c r="B215" s="56">
        <v>155</v>
      </c>
      <c r="C215" s="47" t="s">
        <v>60</v>
      </c>
      <c r="D215" s="47" t="s">
        <v>51</v>
      </c>
      <c r="E215" s="47" t="s">
        <v>50</v>
      </c>
      <c r="F215" s="46">
        <v>365</v>
      </c>
      <c r="G215" s="46">
        <v>0</v>
      </c>
      <c r="H215" s="46">
        <v>10</v>
      </c>
      <c r="I215" s="46">
        <v>15</v>
      </c>
      <c r="J215" s="46">
        <v>5</v>
      </c>
      <c r="K215" s="46">
        <v>5</v>
      </c>
      <c r="L215" s="46">
        <v>325</v>
      </c>
      <c r="M215">
        <f t="shared" si="19"/>
        <v>0</v>
      </c>
      <c r="N215">
        <f t="shared" si="20"/>
        <v>1.1656438142196889E-3</v>
      </c>
      <c r="O215">
        <f t="shared" si="21"/>
        <v>1.7484657213295333E-3</v>
      </c>
      <c r="P215">
        <f t="shared" si="22"/>
        <v>5.8282190710984446E-4</v>
      </c>
      <c r="Q215">
        <f t="shared" si="23"/>
        <v>5.8282190710984446E-4</v>
      </c>
      <c r="R215">
        <f t="shared" si="24"/>
        <v>3.7883423962139888E-2</v>
      </c>
    </row>
    <row r="216" spans="1:18" hidden="1" x14ac:dyDescent="0.25">
      <c r="A216" s="46">
        <v>2020</v>
      </c>
      <c r="B216" s="56">
        <v>155</v>
      </c>
      <c r="C216" s="47" t="s">
        <v>60</v>
      </c>
      <c r="D216" s="47" t="s">
        <v>52</v>
      </c>
      <c r="E216" s="47" t="s">
        <v>43</v>
      </c>
      <c r="F216" s="46">
        <v>4435</v>
      </c>
      <c r="G216" s="46">
        <v>215</v>
      </c>
      <c r="H216" s="46">
        <v>855</v>
      </c>
      <c r="I216" s="46">
        <v>895</v>
      </c>
      <c r="J216" s="46">
        <v>390</v>
      </c>
      <c r="K216" s="46">
        <v>210</v>
      </c>
      <c r="L216" s="46">
        <v>1875</v>
      </c>
      <c r="M216">
        <f t="shared" si="19"/>
        <v>2.5061342005723308E-2</v>
      </c>
      <c r="N216">
        <f t="shared" si="20"/>
        <v>9.9662546115783401E-2</v>
      </c>
      <c r="O216">
        <f t="shared" si="21"/>
        <v>0.10432512137266214</v>
      </c>
      <c r="P216">
        <f t="shared" si="22"/>
        <v>4.5460108754567866E-2</v>
      </c>
      <c r="Q216">
        <f t="shared" si="23"/>
        <v>2.4478520098613465E-2</v>
      </c>
      <c r="R216">
        <f t="shared" si="24"/>
        <v>0.21855821516619167</v>
      </c>
    </row>
    <row r="217" spans="1:18" hidden="1" x14ac:dyDescent="0.25">
      <c r="A217" s="46">
        <v>2020</v>
      </c>
      <c r="B217" s="56">
        <v>155</v>
      </c>
      <c r="C217" s="47" t="s">
        <v>60</v>
      </c>
      <c r="D217" s="47" t="s">
        <v>52</v>
      </c>
      <c r="E217" s="47" t="s">
        <v>44</v>
      </c>
      <c r="F217" s="46">
        <v>875</v>
      </c>
      <c r="G217" s="46">
        <v>90</v>
      </c>
      <c r="H217" s="46">
        <v>320</v>
      </c>
      <c r="I217" s="46">
        <v>275</v>
      </c>
      <c r="J217" s="46">
        <v>110</v>
      </c>
      <c r="K217" s="46">
        <v>40</v>
      </c>
      <c r="L217" s="46">
        <v>40</v>
      </c>
      <c r="M217">
        <f t="shared" si="19"/>
        <v>1.04907943279772E-2</v>
      </c>
      <c r="N217">
        <f t="shared" si="20"/>
        <v>3.7300602055030045E-2</v>
      </c>
      <c r="O217">
        <f t="shared" si="21"/>
        <v>3.2055204891041446E-2</v>
      </c>
      <c r="P217">
        <f t="shared" si="22"/>
        <v>1.2822081956416579E-2</v>
      </c>
      <c r="Q217">
        <f t="shared" si="23"/>
        <v>4.6625752568787556E-3</v>
      </c>
      <c r="R217">
        <f t="shared" si="24"/>
        <v>4.6625752568787556E-3</v>
      </c>
    </row>
    <row r="218" spans="1:18" hidden="1" x14ac:dyDescent="0.25">
      <c r="A218" s="46">
        <v>2020</v>
      </c>
      <c r="B218" s="56">
        <v>155</v>
      </c>
      <c r="C218" s="47" t="s">
        <v>60</v>
      </c>
      <c r="D218" s="47" t="s">
        <v>52</v>
      </c>
      <c r="E218" s="47" t="s">
        <v>45</v>
      </c>
      <c r="F218" s="46">
        <v>200</v>
      </c>
      <c r="G218" s="46">
        <v>10</v>
      </c>
      <c r="H218" s="46">
        <v>35</v>
      </c>
      <c r="I218" s="46">
        <v>65</v>
      </c>
      <c r="J218" s="46">
        <v>25</v>
      </c>
      <c r="K218" s="46">
        <v>10</v>
      </c>
      <c r="L218" s="46">
        <v>55</v>
      </c>
      <c r="M218">
        <f t="shared" si="19"/>
        <v>1.1656438142196889E-3</v>
      </c>
      <c r="N218">
        <f t="shared" si="20"/>
        <v>4.0797533497689111E-3</v>
      </c>
      <c r="O218">
        <f t="shared" si="21"/>
        <v>7.5766847924279776E-3</v>
      </c>
      <c r="P218">
        <f t="shared" si="22"/>
        <v>2.914109535549222E-3</v>
      </c>
      <c r="Q218">
        <f t="shared" si="23"/>
        <v>1.1656438142196889E-3</v>
      </c>
      <c r="R218">
        <f t="shared" si="24"/>
        <v>6.4110409782082893E-3</v>
      </c>
    </row>
    <row r="219" spans="1:18" hidden="1" x14ac:dyDescent="0.25">
      <c r="A219" s="46">
        <v>2020</v>
      </c>
      <c r="B219" s="56">
        <v>155</v>
      </c>
      <c r="C219" s="47" t="s">
        <v>60</v>
      </c>
      <c r="D219" s="47" t="s">
        <v>52</v>
      </c>
      <c r="E219" s="47" t="s">
        <v>46</v>
      </c>
      <c r="F219" s="46">
        <v>310</v>
      </c>
      <c r="G219" s="46">
        <v>30</v>
      </c>
      <c r="H219" s="46">
        <v>75</v>
      </c>
      <c r="I219" s="46">
        <v>85</v>
      </c>
      <c r="J219" s="46">
        <v>15</v>
      </c>
      <c r="K219" s="46">
        <v>10</v>
      </c>
      <c r="L219" s="46">
        <v>95</v>
      </c>
      <c r="M219">
        <f t="shared" si="19"/>
        <v>3.4969314426590665E-3</v>
      </c>
      <c r="N219">
        <f t="shared" si="20"/>
        <v>8.7423286066476667E-3</v>
      </c>
      <c r="O219">
        <f t="shared" si="21"/>
        <v>9.9079724208673559E-3</v>
      </c>
      <c r="P219">
        <f t="shared" si="22"/>
        <v>1.7484657213295333E-3</v>
      </c>
      <c r="Q219">
        <f t="shared" si="23"/>
        <v>1.1656438142196889E-3</v>
      </c>
      <c r="R219">
        <f t="shared" si="24"/>
        <v>1.1073616235087045E-2</v>
      </c>
    </row>
    <row r="220" spans="1:18" hidden="1" x14ac:dyDescent="0.25">
      <c r="A220" s="46">
        <v>2020</v>
      </c>
      <c r="B220" s="56">
        <v>155</v>
      </c>
      <c r="C220" s="47" t="s">
        <v>60</v>
      </c>
      <c r="D220" s="47" t="s">
        <v>52</v>
      </c>
      <c r="E220" s="47" t="s">
        <v>47</v>
      </c>
      <c r="F220" s="46">
        <v>370</v>
      </c>
      <c r="G220" s="46">
        <v>25</v>
      </c>
      <c r="H220" s="46">
        <v>95</v>
      </c>
      <c r="I220" s="46">
        <v>100</v>
      </c>
      <c r="J220" s="46">
        <v>40</v>
      </c>
      <c r="K220" s="46">
        <v>25</v>
      </c>
      <c r="L220" s="46">
        <v>90</v>
      </c>
      <c r="M220">
        <f t="shared" si="19"/>
        <v>2.914109535549222E-3</v>
      </c>
      <c r="N220">
        <f t="shared" si="20"/>
        <v>1.1073616235087045E-2</v>
      </c>
      <c r="O220">
        <f t="shared" si="21"/>
        <v>1.1656438142196888E-2</v>
      </c>
      <c r="P220">
        <f t="shared" si="22"/>
        <v>4.6625752568787556E-3</v>
      </c>
      <c r="Q220">
        <f t="shared" si="23"/>
        <v>2.914109535549222E-3</v>
      </c>
      <c r="R220">
        <f t="shared" si="24"/>
        <v>1.04907943279772E-2</v>
      </c>
    </row>
    <row r="221" spans="1:18" hidden="1" x14ac:dyDescent="0.25">
      <c r="A221" s="46">
        <v>2020</v>
      </c>
      <c r="B221" s="56">
        <v>155</v>
      </c>
      <c r="C221" s="47" t="s">
        <v>60</v>
      </c>
      <c r="D221" s="47" t="s">
        <v>52</v>
      </c>
      <c r="E221" s="47" t="s">
        <v>48</v>
      </c>
      <c r="F221" s="46">
        <v>1555</v>
      </c>
      <c r="G221" s="46">
        <v>50</v>
      </c>
      <c r="H221" s="46">
        <v>255</v>
      </c>
      <c r="I221" s="46">
        <v>290</v>
      </c>
      <c r="J221" s="46">
        <v>145</v>
      </c>
      <c r="K221" s="46">
        <v>95</v>
      </c>
      <c r="L221" s="46">
        <v>720</v>
      </c>
      <c r="M221">
        <f t="shared" si="19"/>
        <v>5.8282190710984439E-3</v>
      </c>
      <c r="N221">
        <f t="shared" si="20"/>
        <v>2.9723917262602068E-2</v>
      </c>
      <c r="O221">
        <f t="shared" si="21"/>
        <v>3.3803670612370981E-2</v>
      </c>
      <c r="P221">
        <f t="shared" si="22"/>
        <v>1.6901835306185491E-2</v>
      </c>
      <c r="Q221">
        <f t="shared" si="23"/>
        <v>1.1073616235087045E-2</v>
      </c>
      <c r="R221">
        <f t="shared" si="24"/>
        <v>8.3926354623817603E-2</v>
      </c>
    </row>
    <row r="222" spans="1:18" hidden="1" x14ac:dyDescent="0.25">
      <c r="A222" s="46">
        <v>2020</v>
      </c>
      <c r="B222" s="56">
        <v>155</v>
      </c>
      <c r="C222" s="47" t="s">
        <v>60</v>
      </c>
      <c r="D222" s="47" t="s">
        <v>52</v>
      </c>
      <c r="E222" s="47" t="s">
        <v>49</v>
      </c>
      <c r="F222" s="46">
        <v>715</v>
      </c>
      <c r="G222" s="46">
        <v>5</v>
      </c>
      <c r="H222" s="46">
        <v>55</v>
      </c>
      <c r="I222" s="46">
        <v>75</v>
      </c>
      <c r="J222" s="46">
        <v>45</v>
      </c>
      <c r="K222" s="46">
        <v>30</v>
      </c>
      <c r="L222" s="46">
        <v>505</v>
      </c>
      <c r="M222">
        <f t="shared" si="19"/>
        <v>5.8282190710984446E-4</v>
      </c>
      <c r="N222">
        <f t="shared" si="20"/>
        <v>6.4110409782082893E-3</v>
      </c>
      <c r="O222">
        <f t="shared" si="21"/>
        <v>8.7423286066476667E-3</v>
      </c>
      <c r="P222">
        <f t="shared" si="22"/>
        <v>5.2453971639886002E-3</v>
      </c>
      <c r="Q222">
        <f t="shared" si="23"/>
        <v>3.4969314426590665E-3</v>
      </c>
      <c r="R222">
        <f t="shared" si="24"/>
        <v>5.8865012618094292E-2</v>
      </c>
    </row>
    <row r="223" spans="1:18" hidden="1" x14ac:dyDescent="0.25">
      <c r="A223" s="46">
        <v>2020</v>
      </c>
      <c r="B223" s="56">
        <v>155</v>
      </c>
      <c r="C223" s="47" t="s">
        <v>60</v>
      </c>
      <c r="D223" s="47" t="s">
        <v>52</v>
      </c>
      <c r="E223" s="47" t="s">
        <v>50</v>
      </c>
      <c r="F223" s="46">
        <v>410</v>
      </c>
      <c r="G223" s="46">
        <v>5</v>
      </c>
      <c r="H223" s="46">
        <v>15</v>
      </c>
      <c r="I223" s="46">
        <v>10</v>
      </c>
      <c r="J223" s="46">
        <v>5</v>
      </c>
      <c r="K223" s="46">
        <v>5</v>
      </c>
      <c r="L223" s="46">
        <v>370</v>
      </c>
      <c r="M223">
        <f t="shared" si="19"/>
        <v>5.8282190710984446E-4</v>
      </c>
      <c r="N223">
        <f t="shared" si="20"/>
        <v>1.7484657213295333E-3</v>
      </c>
      <c r="O223">
        <f t="shared" si="21"/>
        <v>1.1656438142196889E-3</v>
      </c>
      <c r="P223">
        <f t="shared" si="22"/>
        <v>5.8282190710984446E-4</v>
      </c>
      <c r="Q223">
        <f t="shared" si="23"/>
        <v>5.8282190710984446E-4</v>
      </c>
      <c r="R223">
        <f t="shared" si="24"/>
        <v>4.3128821126128487E-2</v>
      </c>
    </row>
    <row r="224" spans="1:18" x14ac:dyDescent="0.25">
      <c r="A224" s="46">
        <v>2020</v>
      </c>
      <c r="B224" s="56">
        <v>157</v>
      </c>
      <c r="C224" s="47" t="s">
        <v>61</v>
      </c>
      <c r="D224" s="47" t="s">
        <v>42</v>
      </c>
      <c r="E224" s="47" t="s">
        <v>43</v>
      </c>
      <c r="F224" s="46">
        <v>11985</v>
      </c>
      <c r="G224" s="46">
        <v>665</v>
      </c>
      <c r="H224" s="46">
        <v>2290</v>
      </c>
      <c r="I224" s="46">
        <v>2655</v>
      </c>
      <c r="J224" s="46">
        <v>995</v>
      </c>
      <c r="K224" s="46">
        <v>550</v>
      </c>
      <c r="L224" s="46">
        <v>4830</v>
      </c>
      <c r="M224">
        <f t="shared" si="19"/>
        <v>7.7515313645609304E-2</v>
      </c>
      <c r="N224">
        <f t="shared" si="20"/>
        <v>0.26693243345630874</v>
      </c>
      <c r="O224">
        <f t="shared" si="21"/>
        <v>0.30947843267532738</v>
      </c>
      <c r="P224">
        <f t="shared" si="22"/>
        <v>0.11598155951485904</v>
      </c>
      <c r="Q224">
        <f t="shared" si="23"/>
        <v>6.4110409782082892E-2</v>
      </c>
      <c r="R224">
        <f t="shared" si="24"/>
        <v>0.56300596226810973</v>
      </c>
    </row>
    <row r="225" spans="1:18" hidden="1" x14ac:dyDescent="0.25">
      <c r="A225" s="46">
        <v>2020</v>
      </c>
      <c r="B225" s="56">
        <v>157</v>
      </c>
      <c r="C225" s="47" t="s">
        <v>61</v>
      </c>
      <c r="D225" s="47" t="s">
        <v>42</v>
      </c>
      <c r="E225" s="47" t="s">
        <v>44</v>
      </c>
      <c r="F225" s="46">
        <v>2125</v>
      </c>
      <c r="G225" s="46">
        <v>195</v>
      </c>
      <c r="H225" s="46">
        <v>750</v>
      </c>
      <c r="I225" s="46">
        <v>755</v>
      </c>
      <c r="J225" s="46">
        <v>225</v>
      </c>
      <c r="K225" s="46">
        <v>110</v>
      </c>
      <c r="L225" s="46">
        <v>95</v>
      </c>
      <c r="M225">
        <f t="shared" si="19"/>
        <v>2.2730054377283933E-2</v>
      </c>
      <c r="N225">
        <f t="shared" si="20"/>
        <v>8.742328606647666E-2</v>
      </c>
      <c r="O225">
        <f t="shared" si="21"/>
        <v>8.8006107973586503E-2</v>
      </c>
      <c r="P225">
        <f t="shared" si="22"/>
        <v>2.6226985819943E-2</v>
      </c>
      <c r="Q225">
        <f t="shared" si="23"/>
        <v>1.2822081956416579E-2</v>
      </c>
      <c r="R225">
        <f t="shared" si="24"/>
        <v>1.1073616235087045E-2</v>
      </c>
    </row>
    <row r="226" spans="1:18" hidden="1" x14ac:dyDescent="0.25">
      <c r="A226" s="46">
        <v>2020</v>
      </c>
      <c r="B226" s="56">
        <v>157</v>
      </c>
      <c r="C226" s="47" t="s">
        <v>61</v>
      </c>
      <c r="D226" s="47" t="s">
        <v>42</v>
      </c>
      <c r="E226" s="47" t="s">
        <v>45</v>
      </c>
      <c r="F226" s="46">
        <v>640</v>
      </c>
      <c r="G226" s="46">
        <v>50</v>
      </c>
      <c r="H226" s="46">
        <v>135</v>
      </c>
      <c r="I226" s="46">
        <v>230</v>
      </c>
      <c r="J226" s="46">
        <v>55</v>
      </c>
      <c r="K226" s="46">
        <v>30</v>
      </c>
      <c r="L226" s="46">
        <v>145</v>
      </c>
      <c r="M226">
        <f t="shared" si="19"/>
        <v>5.8282190710984439E-3</v>
      </c>
      <c r="N226">
        <f t="shared" si="20"/>
        <v>1.5736191491965801E-2</v>
      </c>
      <c r="O226">
        <f t="shared" si="21"/>
        <v>2.6809807727052843E-2</v>
      </c>
      <c r="P226">
        <f t="shared" si="22"/>
        <v>6.4110409782082893E-3</v>
      </c>
      <c r="Q226">
        <f t="shared" si="23"/>
        <v>3.4969314426590665E-3</v>
      </c>
      <c r="R226">
        <f t="shared" si="24"/>
        <v>1.6901835306185491E-2</v>
      </c>
    </row>
    <row r="227" spans="1:18" hidden="1" x14ac:dyDescent="0.25">
      <c r="A227" s="46">
        <v>2020</v>
      </c>
      <c r="B227" s="56">
        <v>157</v>
      </c>
      <c r="C227" s="47" t="s">
        <v>61</v>
      </c>
      <c r="D227" s="47" t="s">
        <v>42</v>
      </c>
      <c r="E227" s="47" t="s">
        <v>46</v>
      </c>
      <c r="F227" s="46">
        <v>960</v>
      </c>
      <c r="G227" s="46">
        <v>90</v>
      </c>
      <c r="H227" s="46">
        <v>235</v>
      </c>
      <c r="I227" s="46">
        <v>265</v>
      </c>
      <c r="J227" s="46">
        <v>65</v>
      </c>
      <c r="K227" s="46">
        <v>20</v>
      </c>
      <c r="L227" s="46">
        <v>280</v>
      </c>
      <c r="M227">
        <f t="shared" si="19"/>
        <v>1.04907943279772E-2</v>
      </c>
      <c r="N227">
        <f t="shared" si="20"/>
        <v>2.7392629634162689E-2</v>
      </c>
      <c r="O227">
        <f t="shared" si="21"/>
        <v>3.0889561076821757E-2</v>
      </c>
      <c r="P227">
        <f t="shared" si="22"/>
        <v>7.5766847924279776E-3</v>
      </c>
      <c r="Q227">
        <f t="shared" si="23"/>
        <v>2.3312876284393778E-3</v>
      </c>
      <c r="R227">
        <f t="shared" si="24"/>
        <v>3.2638026798151289E-2</v>
      </c>
    </row>
    <row r="228" spans="1:18" hidden="1" x14ac:dyDescent="0.25">
      <c r="A228" s="46">
        <v>2020</v>
      </c>
      <c r="B228" s="56">
        <v>157</v>
      </c>
      <c r="C228" s="47" t="s">
        <v>61</v>
      </c>
      <c r="D228" s="47" t="s">
        <v>42</v>
      </c>
      <c r="E228" s="47" t="s">
        <v>47</v>
      </c>
      <c r="F228" s="46">
        <v>1140</v>
      </c>
      <c r="G228" s="46">
        <v>85</v>
      </c>
      <c r="H228" s="46">
        <v>265</v>
      </c>
      <c r="I228" s="46">
        <v>325</v>
      </c>
      <c r="J228" s="46">
        <v>120</v>
      </c>
      <c r="K228" s="46">
        <v>40</v>
      </c>
      <c r="L228" s="46">
        <v>295</v>
      </c>
      <c r="M228">
        <f t="shared" si="19"/>
        <v>9.9079724208673559E-3</v>
      </c>
      <c r="N228">
        <f t="shared" si="20"/>
        <v>3.0889561076821757E-2</v>
      </c>
      <c r="O228">
        <f t="shared" si="21"/>
        <v>3.7883423962139888E-2</v>
      </c>
      <c r="P228">
        <f t="shared" si="22"/>
        <v>1.3987725770636266E-2</v>
      </c>
      <c r="Q228">
        <f t="shared" si="23"/>
        <v>4.6625752568787556E-3</v>
      </c>
      <c r="R228">
        <f t="shared" si="24"/>
        <v>3.4386492519480824E-2</v>
      </c>
    </row>
    <row r="229" spans="1:18" hidden="1" x14ac:dyDescent="0.25">
      <c r="A229" s="46">
        <v>2020</v>
      </c>
      <c r="B229" s="56">
        <v>157</v>
      </c>
      <c r="C229" s="47" t="s">
        <v>61</v>
      </c>
      <c r="D229" s="47" t="s">
        <v>42</v>
      </c>
      <c r="E229" s="47" t="s">
        <v>48</v>
      </c>
      <c r="F229" s="46">
        <v>4425</v>
      </c>
      <c r="G229" s="46">
        <v>200</v>
      </c>
      <c r="H229" s="46">
        <v>705</v>
      </c>
      <c r="I229" s="46">
        <v>890</v>
      </c>
      <c r="J229" s="46">
        <v>415</v>
      </c>
      <c r="K229" s="46">
        <v>280</v>
      </c>
      <c r="L229" s="46">
        <v>1935</v>
      </c>
      <c r="M229">
        <f t="shared" si="19"/>
        <v>2.3312876284393776E-2</v>
      </c>
      <c r="N229">
        <f t="shared" si="20"/>
        <v>8.2177888902488061E-2</v>
      </c>
      <c r="O229">
        <f t="shared" si="21"/>
        <v>0.10374229946555232</v>
      </c>
      <c r="P229">
        <f t="shared" si="22"/>
        <v>4.8374218290117087E-2</v>
      </c>
      <c r="Q229">
        <f t="shared" si="23"/>
        <v>3.2638026798151289E-2</v>
      </c>
      <c r="R229">
        <f t="shared" si="24"/>
        <v>0.22555207805150979</v>
      </c>
    </row>
    <row r="230" spans="1:18" hidden="1" x14ac:dyDescent="0.25">
      <c r="A230" s="46">
        <v>2020</v>
      </c>
      <c r="B230" s="56">
        <v>157</v>
      </c>
      <c r="C230" s="47" t="s">
        <v>61</v>
      </c>
      <c r="D230" s="47" t="s">
        <v>42</v>
      </c>
      <c r="E230" s="47" t="s">
        <v>49</v>
      </c>
      <c r="F230" s="46">
        <v>1895</v>
      </c>
      <c r="G230" s="46">
        <v>40</v>
      </c>
      <c r="H230" s="46">
        <v>170</v>
      </c>
      <c r="I230" s="46">
        <v>175</v>
      </c>
      <c r="J230" s="46">
        <v>100</v>
      </c>
      <c r="K230" s="46">
        <v>60</v>
      </c>
      <c r="L230" s="46">
        <v>1350</v>
      </c>
      <c r="M230">
        <f t="shared" si="19"/>
        <v>4.6625752568787556E-3</v>
      </c>
      <c r="N230">
        <f t="shared" si="20"/>
        <v>1.9815944841734712E-2</v>
      </c>
      <c r="O230">
        <f t="shared" si="21"/>
        <v>2.0398766748844555E-2</v>
      </c>
      <c r="P230">
        <f t="shared" si="22"/>
        <v>1.1656438142196888E-2</v>
      </c>
      <c r="Q230">
        <f t="shared" si="23"/>
        <v>6.993862885318133E-3</v>
      </c>
      <c r="R230">
        <f t="shared" si="24"/>
        <v>0.15736191491965801</v>
      </c>
    </row>
    <row r="231" spans="1:18" hidden="1" x14ac:dyDescent="0.25">
      <c r="A231" s="46">
        <v>2020</v>
      </c>
      <c r="B231" s="56">
        <v>157</v>
      </c>
      <c r="C231" s="47" t="s">
        <v>61</v>
      </c>
      <c r="D231" s="47" t="s">
        <v>42</v>
      </c>
      <c r="E231" s="47" t="s">
        <v>50</v>
      </c>
      <c r="F231" s="46">
        <v>800</v>
      </c>
      <c r="G231" s="46">
        <v>5</v>
      </c>
      <c r="H231" s="46">
        <v>30</v>
      </c>
      <c r="I231" s="46">
        <v>15</v>
      </c>
      <c r="J231" s="46">
        <v>15</v>
      </c>
      <c r="K231" s="46">
        <v>10</v>
      </c>
      <c r="L231" s="46">
        <v>730</v>
      </c>
      <c r="M231">
        <f t="shared" si="19"/>
        <v>5.8282190710984446E-4</v>
      </c>
      <c r="N231">
        <f t="shared" si="20"/>
        <v>3.4969314426590665E-3</v>
      </c>
      <c r="O231">
        <f t="shared" si="21"/>
        <v>1.7484657213295333E-3</v>
      </c>
      <c r="P231">
        <f t="shared" si="22"/>
        <v>1.7484657213295333E-3</v>
      </c>
      <c r="Q231">
        <f t="shared" si="23"/>
        <v>1.1656438142196889E-3</v>
      </c>
      <c r="R231">
        <f t="shared" si="24"/>
        <v>8.5091998438037289E-2</v>
      </c>
    </row>
    <row r="232" spans="1:18" hidden="1" x14ac:dyDescent="0.25">
      <c r="A232" s="46">
        <v>2020</v>
      </c>
      <c r="B232" s="56">
        <v>157</v>
      </c>
      <c r="C232" s="47" t="s">
        <v>61</v>
      </c>
      <c r="D232" s="47" t="s">
        <v>51</v>
      </c>
      <c r="E232" s="47" t="s">
        <v>43</v>
      </c>
      <c r="F232" s="46">
        <v>6335</v>
      </c>
      <c r="G232" s="46">
        <v>370</v>
      </c>
      <c r="H232" s="46">
        <v>1235</v>
      </c>
      <c r="I232" s="46">
        <v>1505</v>
      </c>
      <c r="J232" s="46">
        <v>555</v>
      </c>
      <c r="K232" s="46">
        <v>285</v>
      </c>
      <c r="L232" s="46">
        <v>2395</v>
      </c>
      <c r="M232">
        <f t="shared" si="19"/>
        <v>4.3128821126128487E-2</v>
      </c>
      <c r="N232">
        <f t="shared" si="20"/>
        <v>0.14395701105613157</v>
      </c>
      <c r="O232">
        <f t="shared" si="21"/>
        <v>0.17542939404006319</v>
      </c>
      <c r="P232">
        <f t="shared" si="22"/>
        <v>6.4693231689192734E-2</v>
      </c>
      <c r="Q232">
        <f t="shared" si="23"/>
        <v>3.3220848705261131E-2</v>
      </c>
      <c r="R232">
        <f t="shared" si="24"/>
        <v>0.27917169350561549</v>
      </c>
    </row>
    <row r="233" spans="1:18" hidden="1" x14ac:dyDescent="0.25">
      <c r="A233" s="46">
        <v>2020</v>
      </c>
      <c r="B233" s="56">
        <v>157</v>
      </c>
      <c r="C233" s="47" t="s">
        <v>61</v>
      </c>
      <c r="D233" s="47" t="s">
        <v>51</v>
      </c>
      <c r="E233" s="47" t="s">
        <v>44</v>
      </c>
      <c r="F233" s="46">
        <v>1090</v>
      </c>
      <c r="G233" s="46">
        <v>110</v>
      </c>
      <c r="H233" s="46">
        <v>395</v>
      </c>
      <c r="I233" s="46">
        <v>360</v>
      </c>
      <c r="J233" s="46">
        <v>115</v>
      </c>
      <c r="K233" s="46">
        <v>60</v>
      </c>
      <c r="L233" s="46">
        <v>55</v>
      </c>
      <c r="M233">
        <f t="shared" si="19"/>
        <v>1.2822081956416579E-2</v>
      </c>
      <c r="N233">
        <f t="shared" si="20"/>
        <v>4.6042930661677708E-2</v>
      </c>
      <c r="O233">
        <f t="shared" si="21"/>
        <v>4.1963177311908802E-2</v>
      </c>
      <c r="P233">
        <f t="shared" si="22"/>
        <v>1.3404903863526422E-2</v>
      </c>
      <c r="Q233">
        <f t="shared" si="23"/>
        <v>6.993862885318133E-3</v>
      </c>
      <c r="R233">
        <f t="shared" si="24"/>
        <v>6.4110409782082893E-3</v>
      </c>
    </row>
    <row r="234" spans="1:18" hidden="1" x14ac:dyDescent="0.25">
      <c r="A234" s="46">
        <v>2020</v>
      </c>
      <c r="B234" s="56">
        <v>157</v>
      </c>
      <c r="C234" s="47" t="s">
        <v>61</v>
      </c>
      <c r="D234" s="47" t="s">
        <v>51</v>
      </c>
      <c r="E234" s="47" t="s">
        <v>45</v>
      </c>
      <c r="F234" s="46">
        <v>340</v>
      </c>
      <c r="G234" s="46">
        <v>25</v>
      </c>
      <c r="H234" s="46">
        <v>75</v>
      </c>
      <c r="I234" s="46">
        <v>130</v>
      </c>
      <c r="J234" s="46">
        <v>30</v>
      </c>
      <c r="K234" s="46">
        <v>15</v>
      </c>
      <c r="L234" s="46">
        <v>65</v>
      </c>
      <c r="M234">
        <f t="shared" si="19"/>
        <v>2.914109535549222E-3</v>
      </c>
      <c r="N234">
        <f t="shared" si="20"/>
        <v>8.7423286066476667E-3</v>
      </c>
      <c r="O234">
        <f t="shared" si="21"/>
        <v>1.5153369584855955E-2</v>
      </c>
      <c r="P234">
        <f t="shared" si="22"/>
        <v>3.4969314426590665E-3</v>
      </c>
      <c r="Q234">
        <f t="shared" si="23"/>
        <v>1.7484657213295333E-3</v>
      </c>
      <c r="R234">
        <f t="shared" si="24"/>
        <v>7.5766847924279776E-3</v>
      </c>
    </row>
    <row r="235" spans="1:18" hidden="1" x14ac:dyDescent="0.25">
      <c r="A235" s="46">
        <v>2020</v>
      </c>
      <c r="B235" s="56">
        <v>157</v>
      </c>
      <c r="C235" s="47" t="s">
        <v>61</v>
      </c>
      <c r="D235" s="47" t="s">
        <v>51</v>
      </c>
      <c r="E235" s="47" t="s">
        <v>46</v>
      </c>
      <c r="F235" s="46">
        <v>550</v>
      </c>
      <c r="G235" s="46">
        <v>35</v>
      </c>
      <c r="H235" s="46">
        <v>125</v>
      </c>
      <c r="I235" s="46">
        <v>180</v>
      </c>
      <c r="J235" s="46">
        <v>40</v>
      </c>
      <c r="K235" s="46">
        <v>10</v>
      </c>
      <c r="L235" s="46">
        <v>160</v>
      </c>
      <c r="M235">
        <f t="shared" si="19"/>
        <v>4.0797533497689111E-3</v>
      </c>
      <c r="N235">
        <f t="shared" si="20"/>
        <v>1.4570547677746111E-2</v>
      </c>
      <c r="O235">
        <f t="shared" si="21"/>
        <v>2.0981588655954401E-2</v>
      </c>
      <c r="P235">
        <f t="shared" si="22"/>
        <v>4.6625752568787556E-3</v>
      </c>
      <c r="Q235">
        <f t="shared" si="23"/>
        <v>1.1656438142196889E-3</v>
      </c>
      <c r="R235">
        <f t="shared" si="24"/>
        <v>1.8650301027515023E-2</v>
      </c>
    </row>
    <row r="236" spans="1:18" hidden="1" x14ac:dyDescent="0.25">
      <c r="A236" s="46">
        <v>2020</v>
      </c>
      <c r="B236" s="56">
        <v>157</v>
      </c>
      <c r="C236" s="47" t="s">
        <v>61</v>
      </c>
      <c r="D236" s="47" t="s">
        <v>51</v>
      </c>
      <c r="E236" s="47" t="s">
        <v>47</v>
      </c>
      <c r="F236" s="46">
        <v>655</v>
      </c>
      <c r="G236" s="46">
        <v>55</v>
      </c>
      <c r="H236" s="46">
        <v>140</v>
      </c>
      <c r="I236" s="46">
        <v>200</v>
      </c>
      <c r="J236" s="46">
        <v>75</v>
      </c>
      <c r="K236" s="46">
        <v>15</v>
      </c>
      <c r="L236" s="46">
        <v>170</v>
      </c>
      <c r="M236">
        <f t="shared" si="19"/>
        <v>6.4110409782082893E-3</v>
      </c>
      <c r="N236">
        <f t="shared" si="20"/>
        <v>1.6319013399075644E-2</v>
      </c>
      <c r="O236">
        <f t="shared" si="21"/>
        <v>2.3312876284393776E-2</v>
      </c>
      <c r="P236">
        <f t="shared" si="22"/>
        <v>8.7423286066476667E-3</v>
      </c>
      <c r="Q236">
        <f t="shared" si="23"/>
        <v>1.7484657213295333E-3</v>
      </c>
      <c r="R236">
        <f t="shared" si="24"/>
        <v>1.9815944841734712E-2</v>
      </c>
    </row>
    <row r="237" spans="1:18" hidden="1" x14ac:dyDescent="0.25">
      <c r="A237" s="46">
        <v>2020</v>
      </c>
      <c r="B237" s="56">
        <v>157</v>
      </c>
      <c r="C237" s="47" t="s">
        <v>61</v>
      </c>
      <c r="D237" s="47" t="s">
        <v>51</v>
      </c>
      <c r="E237" s="47" t="s">
        <v>48</v>
      </c>
      <c r="F237" s="46">
        <v>2320</v>
      </c>
      <c r="G237" s="46">
        <v>120</v>
      </c>
      <c r="H237" s="46">
        <v>385</v>
      </c>
      <c r="I237" s="46">
        <v>520</v>
      </c>
      <c r="J237" s="46">
        <v>240</v>
      </c>
      <c r="K237" s="46">
        <v>145</v>
      </c>
      <c r="L237" s="46">
        <v>910</v>
      </c>
      <c r="M237">
        <f t="shared" si="19"/>
        <v>1.3987725770636266E-2</v>
      </c>
      <c r="N237">
        <f t="shared" si="20"/>
        <v>4.4877286847458023E-2</v>
      </c>
      <c r="O237">
        <f t="shared" si="21"/>
        <v>6.0613478339423821E-2</v>
      </c>
      <c r="P237">
        <f t="shared" si="22"/>
        <v>2.7975451541272532E-2</v>
      </c>
      <c r="Q237">
        <f t="shared" si="23"/>
        <v>1.6901835306185491E-2</v>
      </c>
      <c r="R237">
        <f t="shared" si="24"/>
        <v>0.10607358709399169</v>
      </c>
    </row>
    <row r="238" spans="1:18" hidden="1" x14ac:dyDescent="0.25">
      <c r="A238" s="46">
        <v>2020</v>
      </c>
      <c r="B238" s="56">
        <v>157</v>
      </c>
      <c r="C238" s="47" t="s">
        <v>61</v>
      </c>
      <c r="D238" s="47" t="s">
        <v>51</v>
      </c>
      <c r="E238" s="47" t="s">
        <v>49</v>
      </c>
      <c r="F238" s="46">
        <v>1020</v>
      </c>
      <c r="G238" s="46">
        <v>25</v>
      </c>
      <c r="H238" s="46">
        <v>105</v>
      </c>
      <c r="I238" s="46">
        <v>105</v>
      </c>
      <c r="J238" s="46">
        <v>50</v>
      </c>
      <c r="K238" s="46">
        <v>35</v>
      </c>
      <c r="L238" s="46">
        <v>705</v>
      </c>
      <c r="M238">
        <f t="shared" si="19"/>
        <v>2.914109535549222E-3</v>
      </c>
      <c r="N238">
        <f t="shared" si="20"/>
        <v>1.2239260049306732E-2</v>
      </c>
      <c r="O238">
        <f t="shared" si="21"/>
        <v>1.2239260049306732E-2</v>
      </c>
      <c r="P238">
        <f t="shared" si="22"/>
        <v>5.8282190710984439E-3</v>
      </c>
      <c r="Q238">
        <f t="shared" si="23"/>
        <v>4.0797533497689111E-3</v>
      </c>
      <c r="R238">
        <f t="shared" si="24"/>
        <v>8.2177888902488061E-2</v>
      </c>
    </row>
    <row r="239" spans="1:18" hidden="1" x14ac:dyDescent="0.25">
      <c r="A239" s="46">
        <v>2020</v>
      </c>
      <c r="B239" s="56">
        <v>157</v>
      </c>
      <c r="C239" s="47" t="s">
        <v>61</v>
      </c>
      <c r="D239" s="47" t="s">
        <v>51</v>
      </c>
      <c r="E239" s="47" t="s">
        <v>50</v>
      </c>
      <c r="F239" s="46">
        <v>365</v>
      </c>
      <c r="G239" s="46">
        <v>0</v>
      </c>
      <c r="H239" s="46">
        <v>10</v>
      </c>
      <c r="I239" s="46">
        <v>10</v>
      </c>
      <c r="J239" s="46">
        <v>5</v>
      </c>
      <c r="K239" s="46">
        <v>5</v>
      </c>
      <c r="L239" s="46">
        <v>335</v>
      </c>
      <c r="M239">
        <f t="shared" si="19"/>
        <v>0</v>
      </c>
      <c r="N239">
        <f t="shared" si="20"/>
        <v>1.1656438142196889E-3</v>
      </c>
      <c r="O239">
        <f t="shared" si="21"/>
        <v>1.1656438142196889E-3</v>
      </c>
      <c r="P239">
        <f t="shared" si="22"/>
        <v>5.8282190710984446E-4</v>
      </c>
      <c r="Q239">
        <f t="shared" si="23"/>
        <v>5.8282190710984446E-4</v>
      </c>
      <c r="R239">
        <f t="shared" si="24"/>
        <v>3.9049067776359581E-2</v>
      </c>
    </row>
    <row r="240" spans="1:18" hidden="1" x14ac:dyDescent="0.25">
      <c r="A240" s="46">
        <v>2020</v>
      </c>
      <c r="B240" s="56">
        <v>157</v>
      </c>
      <c r="C240" s="47" t="s">
        <v>61</v>
      </c>
      <c r="D240" s="47" t="s">
        <v>52</v>
      </c>
      <c r="E240" s="47" t="s">
        <v>43</v>
      </c>
      <c r="F240" s="46">
        <v>5645</v>
      </c>
      <c r="G240" s="46">
        <v>295</v>
      </c>
      <c r="H240" s="46">
        <v>1055</v>
      </c>
      <c r="I240" s="46">
        <v>1155</v>
      </c>
      <c r="J240" s="46">
        <v>445</v>
      </c>
      <c r="K240" s="46">
        <v>265</v>
      </c>
      <c r="L240" s="46">
        <v>2430</v>
      </c>
      <c r="M240">
        <f t="shared" si="19"/>
        <v>3.4386492519480824E-2</v>
      </c>
      <c r="N240">
        <f t="shared" si="20"/>
        <v>0.12297542240017718</v>
      </c>
      <c r="O240">
        <f t="shared" si="21"/>
        <v>0.13463186054237405</v>
      </c>
      <c r="P240">
        <f t="shared" si="22"/>
        <v>5.1871149732776158E-2</v>
      </c>
      <c r="Q240">
        <f t="shared" si="23"/>
        <v>3.0889561076821757E-2</v>
      </c>
      <c r="R240">
        <f t="shared" si="24"/>
        <v>0.28325144685538439</v>
      </c>
    </row>
    <row r="241" spans="1:18" hidden="1" x14ac:dyDescent="0.25">
      <c r="A241" s="46">
        <v>2020</v>
      </c>
      <c r="B241" s="56">
        <v>157</v>
      </c>
      <c r="C241" s="47" t="s">
        <v>61</v>
      </c>
      <c r="D241" s="47" t="s">
        <v>52</v>
      </c>
      <c r="E241" s="47" t="s">
        <v>44</v>
      </c>
      <c r="F241" s="46">
        <v>1035</v>
      </c>
      <c r="G241" s="46">
        <v>85</v>
      </c>
      <c r="H241" s="46">
        <v>360</v>
      </c>
      <c r="I241" s="46">
        <v>390</v>
      </c>
      <c r="J241" s="46">
        <v>110</v>
      </c>
      <c r="K241" s="46">
        <v>50</v>
      </c>
      <c r="L241" s="46">
        <v>40</v>
      </c>
      <c r="M241">
        <f t="shared" si="19"/>
        <v>9.9079724208673559E-3</v>
      </c>
      <c r="N241">
        <f t="shared" si="20"/>
        <v>4.1963177311908802E-2</v>
      </c>
      <c r="O241">
        <f t="shared" si="21"/>
        <v>4.5460108754567866E-2</v>
      </c>
      <c r="P241">
        <f t="shared" si="22"/>
        <v>1.2822081956416579E-2</v>
      </c>
      <c r="Q241">
        <f t="shared" si="23"/>
        <v>5.8282190710984439E-3</v>
      </c>
      <c r="R241">
        <f t="shared" si="24"/>
        <v>4.6625752568787556E-3</v>
      </c>
    </row>
    <row r="242" spans="1:18" hidden="1" x14ac:dyDescent="0.25">
      <c r="A242" s="46">
        <v>2020</v>
      </c>
      <c r="B242" s="56">
        <v>157</v>
      </c>
      <c r="C242" s="47" t="s">
        <v>61</v>
      </c>
      <c r="D242" s="47" t="s">
        <v>52</v>
      </c>
      <c r="E242" s="47" t="s">
        <v>45</v>
      </c>
      <c r="F242" s="46">
        <v>305</v>
      </c>
      <c r="G242" s="46">
        <v>25</v>
      </c>
      <c r="H242" s="46">
        <v>60</v>
      </c>
      <c r="I242" s="46">
        <v>100</v>
      </c>
      <c r="J242" s="46">
        <v>25</v>
      </c>
      <c r="K242" s="46">
        <v>15</v>
      </c>
      <c r="L242" s="46">
        <v>80</v>
      </c>
      <c r="M242">
        <f t="shared" si="19"/>
        <v>2.914109535549222E-3</v>
      </c>
      <c r="N242">
        <f t="shared" si="20"/>
        <v>6.993862885318133E-3</v>
      </c>
      <c r="O242">
        <f t="shared" si="21"/>
        <v>1.1656438142196888E-2</v>
      </c>
      <c r="P242">
        <f t="shared" si="22"/>
        <v>2.914109535549222E-3</v>
      </c>
      <c r="Q242">
        <f t="shared" si="23"/>
        <v>1.7484657213295333E-3</v>
      </c>
      <c r="R242">
        <f t="shared" si="24"/>
        <v>9.3251505137575113E-3</v>
      </c>
    </row>
    <row r="243" spans="1:18" hidden="1" x14ac:dyDescent="0.25">
      <c r="A243" s="46">
        <v>2020</v>
      </c>
      <c r="B243" s="56">
        <v>157</v>
      </c>
      <c r="C243" s="47" t="s">
        <v>61</v>
      </c>
      <c r="D243" s="47" t="s">
        <v>52</v>
      </c>
      <c r="E243" s="47" t="s">
        <v>46</v>
      </c>
      <c r="F243" s="46">
        <v>405</v>
      </c>
      <c r="G243" s="46">
        <v>55</v>
      </c>
      <c r="H243" s="46">
        <v>110</v>
      </c>
      <c r="I243" s="46">
        <v>85</v>
      </c>
      <c r="J243" s="46">
        <v>25</v>
      </c>
      <c r="K243" s="46">
        <v>10</v>
      </c>
      <c r="L243" s="46">
        <v>120</v>
      </c>
      <c r="M243">
        <f t="shared" si="19"/>
        <v>6.4110409782082893E-3</v>
      </c>
      <c r="N243">
        <f t="shared" si="20"/>
        <v>1.2822081956416579E-2</v>
      </c>
      <c r="O243">
        <f t="shared" si="21"/>
        <v>9.9079724208673559E-3</v>
      </c>
      <c r="P243">
        <f t="shared" si="22"/>
        <v>2.914109535549222E-3</v>
      </c>
      <c r="Q243">
        <f t="shared" si="23"/>
        <v>1.1656438142196889E-3</v>
      </c>
      <c r="R243">
        <f t="shared" si="24"/>
        <v>1.3987725770636266E-2</v>
      </c>
    </row>
    <row r="244" spans="1:18" hidden="1" x14ac:dyDescent="0.25">
      <c r="A244" s="46">
        <v>2020</v>
      </c>
      <c r="B244" s="56">
        <v>157</v>
      </c>
      <c r="C244" s="47" t="s">
        <v>61</v>
      </c>
      <c r="D244" s="47" t="s">
        <v>52</v>
      </c>
      <c r="E244" s="47" t="s">
        <v>47</v>
      </c>
      <c r="F244" s="46">
        <v>485</v>
      </c>
      <c r="G244" s="46">
        <v>30</v>
      </c>
      <c r="H244" s="46">
        <v>125</v>
      </c>
      <c r="I244" s="46">
        <v>125</v>
      </c>
      <c r="J244" s="46">
        <v>50</v>
      </c>
      <c r="K244" s="46">
        <v>25</v>
      </c>
      <c r="L244" s="46">
        <v>130</v>
      </c>
      <c r="M244">
        <f t="shared" si="19"/>
        <v>3.4969314426590665E-3</v>
      </c>
      <c r="N244">
        <f t="shared" si="20"/>
        <v>1.4570547677746111E-2</v>
      </c>
      <c r="O244">
        <f t="shared" si="21"/>
        <v>1.4570547677746111E-2</v>
      </c>
      <c r="P244">
        <f t="shared" si="22"/>
        <v>5.8282190710984439E-3</v>
      </c>
      <c r="Q244">
        <f t="shared" si="23"/>
        <v>2.914109535549222E-3</v>
      </c>
      <c r="R244">
        <f t="shared" si="24"/>
        <v>1.5153369584855955E-2</v>
      </c>
    </row>
    <row r="245" spans="1:18" hidden="1" x14ac:dyDescent="0.25">
      <c r="A245" s="46">
        <v>2020</v>
      </c>
      <c r="B245" s="56">
        <v>157</v>
      </c>
      <c r="C245" s="47" t="s">
        <v>61</v>
      </c>
      <c r="D245" s="47" t="s">
        <v>52</v>
      </c>
      <c r="E245" s="47" t="s">
        <v>48</v>
      </c>
      <c r="F245" s="46">
        <v>2105</v>
      </c>
      <c r="G245" s="46">
        <v>80</v>
      </c>
      <c r="H245" s="46">
        <v>320</v>
      </c>
      <c r="I245" s="46">
        <v>375</v>
      </c>
      <c r="J245" s="46">
        <v>175</v>
      </c>
      <c r="K245" s="46">
        <v>135</v>
      </c>
      <c r="L245" s="46">
        <v>1025</v>
      </c>
      <c r="M245">
        <f t="shared" si="19"/>
        <v>9.3251505137575113E-3</v>
      </c>
      <c r="N245">
        <f t="shared" si="20"/>
        <v>3.7300602055030045E-2</v>
      </c>
      <c r="O245">
        <f t="shared" si="21"/>
        <v>4.371164303323833E-2</v>
      </c>
      <c r="P245">
        <f t="shared" si="22"/>
        <v>2.0398766748844555E-2</v>
      </c>
      <c r="Q245">
        <f t="shared" si="23"/>
        <v>1.5736191491965801E-2</v>
      </c>
      <c r="R245">
        <f t="shared" si="24"/>
        <v>0.11947849095751811</v>
      </c>
    </row>
    <row r="246" spans="1:18" hidden="1" x14ac:dyDescent="0.25">
      <c r="A246" s="46">
        <v>2020</v>
      </c>
      <c r="B246" s="56">
        <v>157</v>
      </c>
      <c r="C246" s="47" t="s">
        <v>61</v>
      </c>
      <c r="D246" s="47" t="s">
        <v>52</v>
      </c>
      <c r="E246" s="47" t="s">
        <v>49</v>
      </c>
      <c r="F246" s="46">
        <v>875</v>
      </c>
      <c r="G246" s="46">
        <v>15</v>
      </c>
      <c r="H246" s="46">
        <v>65</v>
      </c>
      <c r="I246" s="46">
        <v>70</v>
      </c>
      <c r="J246" s="46">
        <v>50</v>
      </c>
      <c r="K246" s="46">
        <v>25</v>
      </c>
      <c r="L246" s="46">
        <v>645</v>
      </c>
      <c r="M246">
        <f t="shared" si="19"/>
        <v>1.7484657213295333E-3</v>
      </c>
      <c r="N246">
        <f t="shared" si="20"/>
        <v>7.5766847924279776E-3</v>
      </c>
      <c r="O246">
        <f t="shared" si="21"/>
        <v>8.1595066995378222E-3</v>
      </c>
      <c r="P246">
        <f t="shared" si="22"/>
        <v>5.8282190710984439E-3</v>
      </c>
      <c r="Q246">
        <f t="shared" si="23"/>
        <v>2.914109535549222E-3</v>
      </c>
      <c r="R246">
        <f t="shared" si="24"/>
        <v>7.5184026017169933E-2</v>
      </c>
    </row>
    <row r="247" spans="1:18" hidden="1" x14ac:dyDescent="0.25">
      <c r="A247" s="46">
        <v>2020</v>
      </c>
      <c r="B247" s="56">
        <v>157</v>
      </c>
      <c r="C247" s="47" t="s">
        <v>61</v>
      </c>
      <c r="D247" s="47" t="s">
        <v>52</v>
      </c>
      <c r="E247" s="47" t="s">
        <v>50</v>
      </c>
      <c r="F247" s="46">
        <v>435</v>
      </c>
      <c r="G247" s="46">
        <v>5</v>
      </c>
      <c r="H247" s="46">
        <v>15</v>
      </c>
      <c r="I247" s="46">
        <v>10</v>
      </c>
      <c r="J247" s="46">
        <v>10</v>
      </c>
      <c r="K247" s="46">
        <v>5</v>
      </c>
      <c r="L247" s="46">
        <v>395</v>
      </c>
      <c r="M247">
        <f t="shared" si="19"/>
        <v>5.8282190710984446E-4</v>
      </c>
      <c r="N247">
        <f t="shared" si="20"/>
        <v>1.7484657213295333E-3</v>
      </c>
      <c r="O247">
        <f t="shared" si="21"/>
        <v>1.1656438142196889E-3</v>
      </c>
      <c r="P247">
        <f t="shared" si="22"/>
        <v>1.1656438142196889E-3</v>
      </c>
      <c r="Q247">
        <f t="shared" si="23"/>
        <v>5.8282190710984446E-4</v>
      </c>
      <c r="R247">
        <f t="shared" si="24"/>
        <v>4.6042930661677708E-2</v>
      </c>
    </row>
    <row r="248" spans="1:18" x14ac:dyDescent="0.25">
      <c r="A248" s="46">
        <v>2020</v>
      </c>
      <c r="B248" s="56">
        <v>158</v>
      </c>
      <c r="C248" s="47" t="s">
        <v>62</v>
      </c>
      <c r="D248" s="47" t="s">
        <v>42</v>
      </c>
      <c r="E248" s="47" t="s">
        <v>43</v>
      </c>
      <c r="F248" s="46">
        <v>7860</v>
      </c>
      <c r="G248" s="46">
        <v>330</v>
      </c>
      <c r="H248" s="46">
        <v>1465</v>
      </c>
      <c r="I248" s="46">
        <v>1910</v>
      </c>
      <c r="J248" s="46">
        <v>730</v>
      </c>
      <c r="K248" s="46">
        <v>330</v>
      </c>
      <c r="L248" s="46">
        <v>3095</v>
      </c>
      <c r="M248">
        <f t="shared" si="19"/>
        <v>3.8466245869249731E-2</v>
      </c>
      <c r="N248">
        <f t="shared" si="20"/>
        <v>0.17076681878318442</v>
      </c>
      <c r="O248">
        <f t="shared" si="21"/>
        <v>0.22263796851596057</v>
      </c>
      <c r="P248">
        <f t="shared" si="22"/>
        <v>8.5091998438037289E-2</v>
      </c>
      <c r="Q248">
        <f t="shared" si="23"/>
        <v>3.8466245869249731E-2</v>
      </c>
      <c r="R248">
        <f t="shared" si="24"/>
        <v>0.36076676050099371</v>
      </c>
    </row>
    <row r="249" spans="1:18" hidden="1" x14ac:dyDescent="0.25">
      <c r="A249" s="46">
        <v>2020</v>
      </c>
      <c r="B249" s="56">
        <v>158</v>
      </c>
      <c r="C249" s="47" t="s">
        <v>62</v>
      </c>
      <c r="D249" s="47" t="s">
        <v>42</v>
      </c>
      <c r="E249" s="47" t="s">
        <v>44</v>
      </c>
      <c r="F249" s="46">
        <v>1285</v>
      </c>
      <c r="G249" s="46">
        <v>105</v>
      </c>
      <c r="H249" s="46">
        <v>425</v>
      </c>
      <c r="I249" s="46">
        <v>495</v>
      </c>
      <c r="J249" s="46">
        <v>140</v>
      </c>
      <c r="K249" s="46">
        <v>45</v>
      </c>
      <c r="L249" s="46">
        <v>75</v>
      </c>
      <c r="M249">
        <f t="shared" si="19"/>
        <v>1.2239260049306732E-2</v>
      </c>
      <c r="N249">
        <f t="shared" si="20"/>
        <v>4.9539862104336772E-2</v>
      </c>
      <c r="O249">
        <f t="shared" si="21"/>
        <v>5.76993688038746E-2</v>
      </c>
      <c r="P249">
        <f t="shared" si="22"/>
        <v>1.6319013399075644E-2</v>
      </c>
      <c r="Q249">
        <f t="shared" si="23"/>
        <v>5.2453971639886002E-3</v>
      </c>
      <c r="R249">
        <f t="shared" si="24"/>
        <v>8.7423286066476667E-3</v>
      </c>
    </row>
    <row r="250" spans="1:18" hidden="1" x14ac:dyDescent="0.25">
      <c r="A250" s="46">
        <v>2020</v>
      </c>
      <c r="B250" s="56">
        <v>158</v>
      </c>
      <c r="C250" s="47" t="s">
        <v>62</v>
      </c>
      <c r="D250" s="47" t="s">
        <v>42</v>
      </c>
      <c r="E250" s="47" t="s">
        <v>45</v>
      </c>
      <c r="F250" s="46">
        <v>385</v>
      </c>
      <c r="G250" s="46">
        <v>15</v>
      </c>
      <c r="H250" s="46">
        <v>95</v>
      </c>
      <c r="I250" s="46">
        <v>125</v>
      </c>
      <c r="J250" s="46">
        <v>45</v>
      </c>
      <c r="K250" s="46">
        <v>10</v>
      </c>
      <c r="L250" s="46">
        <v>95</v>
      </c>
      <c r="M250">
        <f t="shared" si="19"/>
        <v>1.7484657213295333E-3</v>
      </c>
      <c r="N250">
        <f t="shared" si="20"/>
        <v>1.1073616235087045E-2</v>
      </c>
      <c r="O250">
        <f t="shared" si="21"/>
        <v>1.4570547677746111E-2</v>
      </c>
      <c r="P250">
        <f t="shared" si="22"/>
        <v>5.2453971639886002E-3</v>
      </c>
      <c r="Q250">
        <f t="shared" si="23"/>
        <v>1.1656438142196889E-3</v>
      </c>
      <c r="R250">
        <f t="shared" si="24"/>
        <v>1.1073616235087045E-2</v>
      </c>
    </row>
    <row r="251" spans="1:18" hidden="1" x14ac:dyDescent="0.25">
      <c r="A251" s="46">
        <v>2020</v>
      </c>
      <c r="B251" s="56">
        <v>158</v>
      </c>
      <c r="C251" s="47" t="s">
        <v>62</v>
      </c>
      <c r="D251" s="47" t="s">
        <v>42</v>
      </c>
      <c r="E251" s="47" t="s">
        <v>46</v>
      </c>
      <c r="F251" s="46">
        <v>695</v>
      </c>
      <c r="G251" s="46">
        <v>45</v>
      </c>
      <c r="H251" s="46">
        <v>210</v>
      </c>
      <c r="I251" s="46">
        <v>235</v>
      </c>
      <c r="J251" s="46">
        <v>50</v>
      </c>
      <c r="K251" s="46">
        <v>15</v>
      </c>
      <c r="L251" s="46">
        <v>140</v>
      </c>
      <c r="M251">
        <f t="shared" si="19"/>
        <v>5.2453971639886002E-3</v>
      </c>
      <c r="N251">
        <f t="shared" si="20"/>
        <v>2.4478520098613465E-2</v>
      </c>
      <c r="O251">
        <f t="shared" si="21"/>
        <v>2.7392629634162689E-2</v>
      </c>
      <c r="P251">
        <f t="shared" si="22"/>
        <v>5.8282190710984439E-3</v>
      </c>
      <c r="Q251">
        <f t="shared" si="23"/>
        <v>1.7484657213295333E-3</v>
      </c>
      <c r="R251">
        <f t="shared" si="24"/>
        <v>1.6319013399075644E-2</v>
      </c>
    </row>
    <row r="252" spans="1:18" hidden="1" x14ac:dyDescent="0.25">
      <c r="A252" s="46">
        <v>2020</v>
      </c>
      <c r="B252" s="56">
        <v>158</v>
      </c>
      <c r="C252" s="47" t="s">
        <v>62</v>
      </c>
      <c r="D252" s="47" t="s">
        <v>42</v>
      </c>
      <c r="E252" s="47" t="s">
        <v>47</v>
      </c>
      <c r="F252" s="46">
        <v>755</v>
      </c>
      <c r="G252" s="46">
        <v>45</v>
      </c>
      <c r="H252" s="46">
        <v>185</v>
      </c>
      <c r="I252" s="46">
        <v>240</v>
      </c>
      <c r="J252" s="46">
        <v>90</v>
      </c>
      <c r="K252" s="46">
        <v>35</v>
      </c>
      <c r="L252" s="46">
        <v>155</v>
      </c>
      <c r="M252">
        <f t="shared" si="19"/>
        <v>5.2453971639886002E-3</v>
      </c>
      <c r="N252">
        <f t="shared" si="20"/>
        <v>2.1564410563064244E-2</v>
      </c>
      <c r="O252">
        <f t="shared" si="21"/>
        <v>2.7975451541272532E-2</v>
      </c>
      <c r="P252">
        <f t="shared" si="22"/>
        <v>1.04907943279772E-2</v>
      </c>
      <c r="Q252">
        <f t="shared" si="23"/>
        <v>4.0797533497689111E-3</v>
      </c>
      <c r="R252">
        <f t="shared" si="24"/>
        <v>1.806747912040518E-2</v>
      </c>
    </row>
    <row r="253" spans="1:18" hidden="1" x14ac:dyDescent="0.25">
      <c r="A253" s="46">
        <v>2020</v>
      </c>
      <c r="B253" s="56">
        <v>158</v>
      </c>
      <c r="C253" s="47" t="s">
        <v>62</v>
      </c>
      <c r="D253" s="47" t="s">
        <v>42</v>
      </c>
      <c r="E253" s="47" t="s">
        <v>48</v>
      </c>
      <c r="F253" s="46">
        <v>2775</v>
      </c>
      <c r="G253" s="46">
        <v>90</v>
      </c>
      <c r="H253" s="46">
        <v>415</v>
      </c>
      <c r="I253" s="46">
        <v>640</v>
      </c>
      <c r="J253" s="46">
        <v>300</v>
      </c>
      <c r="K253" s="46">
        <v>165</v>
      </c>
      <c r="L253" s="46">
        <v>1160</v>
      </c>
      <c r="M253">
        <f t="shared" si="19"/>
        <v>1.04907943279772E-2</v>
      </c>
      <c r="N253">
        <f t="shared" si="20"/>
        <v>4.8374218290117087E-2</v>
      </c>
      <c r="O253">
        <f t="shared" si="21"/>
        <v>7.460120411006009E-2</v>
      </c>
      <c r="P253">
        <f t="shared" si="22"/>
        <v>3.4969314426590667E-2</v>
      </c>
      <c r="Q253">
        <f t="shared" si="23"/>
        <v>1.9233122934624865E-2</v>
      </c>
      <c r="R253">
        <f t="shared" si="24"/>
        <v>0.13521468244948393</v>
      </c>
    </row>
    <row r="254" spans="1:18" hidden="1" x14ac:dyDescent="0.25">
      <c r="A254" s="46">
        <v>2020</v>
      </c>
      <c r="B254" s="56">
        <v>158</v>
      </c>
      <c r="C254" s="47" t="s">
        <v>62</v>
      </c>
      <c r="D254" s="47" t="s">
        <v>42</v>
      </c>
      <c r="E254" s="47" t="s">
        <v>49</v>
      </c>
      <c r="F254" s="46">
        <v>1340</v>
      </c>
      <c r="G254" s="46">
        <v>30</v>
      </c>
      <c r="H254" s="46">
        <v>125</v>
      </c>
      <c r="I254" s="46">
        <v>145</v>
      </c>
      <c r="J254" s="46">
        <v>80</v>
      </c>
      <c r="K254" s="46">
        <v>50</v>
      </c>
      <c r="L254" s="46">
        <v>910</v>
      </c>
      <c r="M254">
        <f t="shared" si="19"/>
        <v>3.4969314426590665E-3</v>
      </c>
      <c r="N254">
        <f t="shared" si="20"/>
        <v>1.4570547677746111E-2</v>
      </c>
      <c r="O254">
        <f t="shared" si="21"/>
        <v>1.6901835306185491E-2</v>
      </c>
      <c r="P254">
        <f t="shared" si="22"/>
        <v>9.3251505137575113E-3</v>
      </c>
      <c r="Q254">
        <f t="shared" si="23"/>
        <v>5.8282190710984439E-3</v>
      </c>
      <c r="R254">
        <f t="shared" si="24"/>
        <v>0.10607358709399169</v>
      </c>
    </row>
    <row r="255" spans="1:18" hidden="1" x14ac:dyDescent="0.25">
      <c r="A255" s="46">
        <v>2020</v>
      </c>
      <c r="B255" s="56">
        <v>158</v>
      </c>
      <c r="C255" s="47" t="s">
        <v>62</v>
      </c>
      <c r="D255" s="47" t="s">
        <v>42</v>
      </c>
      <c r="E255" s="47" t="s">
        <v>50</v>
      </c>
      <c r="F255" s="46">
        <v>630</v>
      </c>
      <c r="G255" s="46">
        <v>5</v>
      </c>
      <c r="H255" s="46">
        <v>10</v>
      </c>
      <c r="I255" s="46">
        <v>25</v>
      </c>
      <c r="J255" s="46">
        <v>20</v>
      </c>
      <c r="K255" s="46">
        <v>10</v>
      </c>
      <c r="L255" s="46">
        <v>565</v>
      </c>
      <c r="M255">
        <f t="shared" si="19"/>
        <v>5.8282190710984446E-4</v>
      </c>
      <c r="N255">
        <f t="shared" si="20"/>
        <v>1.1656438142196889E-3</v>
      </c>
      <c r="O255">
        <f t="shared" si="21"/>
        <v>2.914109535549222E-3</v>
      </c>
      <c r="P255">
        <f t="shared" si="22"/>
        <v>2.3312876284393778E-3</v>
      </c>
      <c r="Q255">
        <f t="shared" si="23"/>
        <v>1.1656438142196889E-3</v>
      </c>
      <c r="R255">
        <f t="shared" si="24"/>
        <v>6.585887550341242E-2</v>
      </c>
    </row>
    <row r="256" spans="1:18" hidden="1" x14ac:dyDescent="0.25">
      <c r="A256" s="46">
        <v>2020</v>
      </c>
      <c r="B256" s="56">
        <v>158</v>
      </c>
      <c r="C256" s="47" t="s">
        <v>62</v>
      </c>
      <c r="D256" s="47" t="s">
        <v>51</v>
      </c>
      <c r="E256" s="47" t="s">
        <v>43</v>
      </c>
      <c r="F256" s="46">
        <v>4205</v>
      </c>
      <c r="G256" s="46">
        <v>170</v>
      </c>
      <c r="H256" s="46">
        <v>785</v>
      </c>
      <c r="I256" s="46">
        <v>1125</v>
      </c>
      <c r="J256" s="46">
        <v>400</v>
      </c>
      <c r="K256" s="46">
        <v>185</v>
      </c>
      <c r="L256" s="46">
        <v>1535</v>
      </c>
      <c r="M256">
        <f t="shared" si="19"/>
        <v>1.9815944841734712E-2</v>
      </c>
      <c r="N256">
        <f t="shared" si="20"/>
        <v>9.1503039416245574E-2</v>
      </c>
      <c r="O256">
        <f t="shared" si="21"/>
        <v>0.131134929099715</v>
      </c>
      <c r="P256">
        <f t="shared" si="22"/>
        <v>4.6625752568787551E-2</v>
      </c>
      <c r="Q256">
        <f t="shared" si="23"/>
        <v>2.1564410563064244E-2</v>
      </c>
      <c r="R256">
        <f t="shared" si="24"/>
        <v>0.17892632548272225</v>
      </c>
    </row>
    <row r="257" spans="1:18" hidden="1" x14ac:dyDescent="0.25">
      <c r="A257" s="46">
        <v>2020</v>
      </c>
      <c r="B257" s="56">
        <v>158</v>
      </c>
      <c r="C257" s="47" t="s">
        <v>62</v>
      </c>
      <c r="D257" s="47" t="s">
        <v>51</v>
      </c>
      <c r="E257" s="47" t="s">
        <v>44</v>
      </c>
      <c r="F257" s="46">
        <v>655</v>
      </c>
      <c r="G257" s="46">
        <v>50</v>
      </c>
      <c r="H257" s="46">
        <v>220</v>
      </c>
      <c r="I257" s="46">
        <v>250</v>
      </c>
      <c r="J257" s="46">
        <v>70</v>
      </c>
      <c r="K257" s="46">
        <v>25</v>
      </c>
      <c r="L257" s="46">
        <v>40</v>
      </c>
      <c r="M257">
        <f t="shared" si="19"/>
        <v>5.8282190710984439E-3</v>
      </c>
      <c r="N257">
        <f t="shared" si="20"/>
        <v>2.5644163912833157E-2</v>
      </c>
      <c r="O257">
        <f t="shared" si="21"/>
        <v>2.9141095355492221E-2</v>
      </c>
      <c r="P257">
        <f t="shared" si="22"/>
        <v>8.1595066995378222E-3</v>
      </c>
      <c r="Q257">
        <f t="shared" si="23"/>
        <v>2.914109535549222E-3</v>
      </c>
      <c r="R257">
        <f t="shared" si="24"/>
        <v>4.6625752568787556E-3</v>
      </c>
    </row>
    <row r="258" spans="1:18" hidden="1" x14ac:dyDescent="0.25">
      <c r="A258" s="46">
        <v>2020</v>
      </c>
      <c r="B258" s="56">
        <v>158</v>
      </c>
      <c r="C258" s="47" t="s">
        <v>62</v>
      </c>
      <c r="D258" s="47" t="s">
        <v>51</v>
      </c>
      <c r="E258" s="47" t="s">
        <v>45</v>
      </c>
      <c r="F258" s="46">
        <v>225</v>
      </c>
      <c r="G258" s="46">
        <v>10</v>
      </c>
      <c r="H258" s="46">
        <v>55</v>
      </c>
      <c r="I258" s="46">
        <v>75</v>
      </c>
      <c r="J258" s="46">
        <v>20</v>
      </c>
      <c r="K258" s="46">
        <v>10</v>
      </c>
      <c r="L258" s="46">
        <v>60</v>
      </c>
      <c r="M258">
        <f t="shared" si="19"/>
        <v>1.1656438142196889E-3</v>
      </c>
      <c r="N258">
        <f t="shared" si="20"/>
        <v>6.4110409782082893E-3</v>
      </c>
      <c r="O258">
        <f t="shared" si="21"/>
        <v>8.7423286066476667E-3</v>
      </c>
      <c r="P258">
        <f t="shared" si="22"/>
        <v>2.3312876284393778E-3</v>
      </c>
      <c r="Q258">
        <f t="shared" si="23"/>
        <v>1.1656438142196889E-3</v>
      </c>
      <c r="R258">
        <f t="shared" si="24"/>
        <v>6.993862885318133E-3</v>
      </c>
    </row>
    <row r="259" spans="1:18" hidden="1" x14ac:dyDescent="0.25">
      <c r="A259" s="46">
        <v>2020</v>
      </c>
      <c r="B259" s="56">
        <v>158</v>
      </c>
      <c r="C259" s="47" t="s">
        <v>62</v>
      </c>
      <c r="D259" s="47" t="s">
        <v>51</v>
      </c>
      <c r="E259" s="47" t="s">
        <v>46</v>
      </c>
      <c r="F259" s="46">
        <v>425</v>
      </c>
      <c r="G259" s="46">
        <v>20</v>
      </c>
      <c r="H259" s="46">
        <v>110</v>
      </c>
      <c r="I259" s="46">
        <v>185</v>
      </c>
      <c r="J259" s="46">
        <v>35</v>
      </c>
      <c r="K259" s="46">
        <v>5</v>
      </c>
      <c r="L259" s="46">
        <v>70</v>
      </c>
      <c r="M259">
        <f t="shared" si="19"/>
        <v>2.3312876284393778E-3</v>
      </c>
      <c r="N259">
        <f t="shared" si="20"/>
        <v>1.2822081956416579E-2</v>
      </c>
      <c r="O259">
        <f t="shared" si="21"/>
        <v>2.1564410563064244E-2</v>
      </c>
      <c r="P259">
        <f t="shared" si="22"/>
        <v>4.0797533497689111E-3</v>
      </c>
      <c r="Q259">
        <f t="shared" si="23"/>
        <v>5.8282190710984446E-4</v>
      </c>
      <c r="R259">
        <f t="shared" si="24"/>
        <v>8.1595066995378222E-3</v>
      </c>
    </row>
    <row r="260" spans="1:18" hidden="1" x14ac:dyDescent="0.25">
      <c r="A260" s="46">
        <v>2020</v>
      </c>
      <c r="B260" s="56">
        <v>158</v>
      </c>
      <c r="C260" s="47" t="s">
        <v>62</v>
      </c>
      <c r="D260" s="47" t="s">
        <v>51</v>
      </c>
      <c r="E260" s="47" t="s">
        <v>47</v>
      </c>
      <c r="F260" s="46">
        <v>450</v>
      </c>
      <c r="G260" s="46">
        <v>25</v>
      </c>
      <c r="H260" s="46">
        <v>100</v>
      </c>
      <c r="I260" s="46">
        <v>155</v>
      </c>
      <c r="J260" s="46">
        <v>65</v>
      </c>
      <c r="K260" s="46">
        <v>20</v>
      </c>
      <c r="L260" s="46">
        <v>80</v>
      </c>
      <c r="M260">
        <f t="shared" si="19"/>
        <v>2.914109535549222E-3</v>
      </c>
      <c r="N260">
        <f t="shared" si="20"/>
        <v>1.1656438142196888E-2</v>
      </c>
      <c r="O260">
        <f t="shared" si="21"/>
        <v>1.806747912040518E-2</v>
      </c>
      <c r="P260">
        <f t="shared" si="22"/>
        <v>7.5766847924279776E-3</v>
      </c>
      <c r="Q260">
        <f t="shared" si="23"/>
        <v>2.3312876284393778E-3</v>
      </c>
      <c r="R260">
        <f t="shared" si="24"/>
        <v>9.3251505137575113E-3</v>
      </c>
    </row>
    <row r="261" spans="1:18" hidden="1" x14ac:dyDescent="0.25">
      <c r="A261" s="46">
        <v>2020</v>
      </c>
      <c r="B261" s="56">
        <v>158</v>
      </c>
      <c r="C261" s="47" t="s">
        <v>62</v>
      </c>
      <c r="D261" s="47" t="s">
        <v>51</v>
      </c>
      <c r="E261" s="47" t="s">
        <v>48</v>
      </c>
      <c r="F261" s="46">
        <v>1415</v>
      </c>
      <c r="G261" s="46">
        <v>45</v>
      </c>
      <c r="H261" s="46">
        <v>205</v>
      </c>
      <c r="I261" s="46">
        <v>360</v>
      </c>
      <c r="J261" s="46">
        <v>165</v>
      </c>
      <c r="K261" s="46">
        <v>100</v>
      </c>
      <c r="L261" s="46">
        <v>535</v>
      </c>
      <c r="M261">
        <f t="shared" si="19"/>
        <v>5.2453971639886002E-3</v>
      </c>
      <c r="N261">
        <f t="shared" si="20"/>
        <v>2.3895698191503622E-2</v>
      </c>
      <c r="O261">
        <f t="shared" si="21"/>
        <v>4.1963177311908802E-2</v>
      </c>
      <c r="P261">
        <f t="shared" si="22"/>
        <v>1.9233122934624865E-2</v>
      </c>
      <c r="Q261">
        <f t="shared" si="23"/>
        <v>1.1656438142196888E-2</v>
      </c>
      <c r="R261">
        <f t="shared" si="24"/>
        <v>6.2361944060753356E-2</v>
      </c>
    </row>
    <row r="262" spans="1:18" hidden="1" x14ac:dyDescent="0.25">
      <c r="A262" s="46">
        <v>2020</v>
      </c>
      <c r="B262" s="56">
        <v>158</v>
      </c>
      <c r="C262" s="47" t="s">
        <v>62</v>
      </c>
      <c r="D262" s="47" t="s">
        <v>51</v>
      </c>
      <c r="E262" s="47" t="s">
        <v>49</v>
      </c>
      <c r="F262" s="46">
        <v>725</v>
      </c>
      <c r="G262" s="46">
        <v>15</v>
      </c>
      <c r="H262" s="46">
        <v>80</v>
      </c>
      <c r="I262" s="46">
        <v>85</v>
      </c>
      <c r="J262" s="46">
        <v>40</v>
      </c>
      <c r="K262" s="46">
        <v>30</v>
      </c>
      <c r="L262" s="46">
        <v>470</v>
      </c>
      <c r="M262">
        <f t="shared" si="19"/>
        <v>1.7484657213295333E-3</v>
      </c>
      <c r="N262">
        <f t="shared" si="20"/>
        <v>9.3251505137575113E-3</v>
      </c>
      <c r="O262">
        <f t="shared" si="21"/>
        <v>9.9079724208673559E-3</v>
      </c>
      <c r="P262">
        <f t="shared" si="22"/>
        <v>4.6625752568787556E-3</v>
      </c>
      <c r="Q262">
        <f t="shared" si="23"/>
        <v>3.4969314426590665E-3</v>
      </c>
      <c r="R262">
        <f t="shared" si="24"/>
        <v>5.4785259268325379E-2</v>
      </c>
    </row>
    <row r="263" spans="1:18" hidden="1" x14ac:dyDescent="0.25">
      <c r="A263" s="46">
        <v>2020</v>
      </c>
      <c r="B263" s="56">
        <v>158</v>
      </c>
      <c r="C263" s="47" t="s">
        <v>62</v>
      </c>
      <c r="D263" s="47" t="s">
        <v>51</v>
      </c>
      <c r="E263" s="47" t="s">
        <v>50</v>
      </c>
      <c r="F263" s="46">
        <v>310</v>
      </c>
      <c r="G263" s="46">
        <v>5</v>
      </c>
      <c r="H263" s="46">
        <v>5</v>
      </c>
      <c r="I263" s="46">
        <v>10</v>
      </c>
      <c r="J263" s="46">
        <v>10</v>
      </c>
      <c r="K263" s="46">
        <v>5</v>
      </c>
      <c r="L263" s="46">
        <v>280</v>
      </c>
      <c r="M263">
        <f t="shared" si="19"/>
        <v>5.8282190710984446E-4</v>
      </c>
      <c r="N263">
        <f t="shared" si="20"/>
        <v>5.8282190710984446E-4</v>
      </c>
      <c r="O263">
        <f t="shared" si="21"/>
        <v>1.1656438142196889E-3</v>
      </c>
      <c r="P263">
        <f t="shared" si="22"/>
        <v>1.1656438142196889E-3</v>
      </c>
      <c r="Q263">
        <f t="shared" si="23"/>
        <v>5.8282190710984446E-4</v>
      </c>
      <c r="R263">
        <f t="shared" si="24"/>
        <v>3.2638026798151289E-2</v>
      </c>
    </row>
    <row r="264" spans="1:18" hidden="1" x14ac:dyDescent="0.25">
      <c r="A264" s="46">
        <v>2020</v>
      </c>
      <c r="B264" s="56">
        <v>158</v>
      </c>
      <c r="C264" s="47" t="s">
        <v>62</v>
      </c>
      <c r="D264" s="47" t="s">
        <v>52</v>
      </c>
      <c r="E264" s="47" t="s">
        <v>43</v>
      </c>
      <c r="F264" s="46">
        <v>3655</v>
      </c>
      <c r="G264" s="46">
        <v>160</v>
      </c>
      <c r="H264" s="46">
        <v>685</v>
      </c>
      <c r="I264" s="46">
        <v>780</v>
      </c>
      <c r="J264" s="46">
        <v>330</v>
      </c>
      <c r="K264" s="46">
        <v>145</v>
      </c>
      <c r="L264" s="46">
        <v>1560</v>
      </c>
      <c r="M264">
        <f t="shared" si="19"/>
        <v>1.8650301027515023E-2</v>
      </c>
      <c r="N264">
        <f t="shared" si="20"/>
        <v>7.984660127404869E-2</v>
      </c>
      <c r="O264">
        <f t="shared" si="21"/>
        <v>9.0920217509135731E-2</v>
      </c>
      <c r="P264">
        <f t="shared" si="22"/>
        <v>3.8466245869249731E-2</v>
      </c>
      <c r="Q264">
        <f t="shared" si="23"/>
        <v>1.6901835306185491E-2</v>
      </c>
      <c r="R264">
        <f t="shared" si="24"/>
        <v>0.18184043501827146</v>
      </c>
    </row>
    <row r="265" spans="1:18" hidden="1" x14ac:dyDescent="0.25">
      <c r="A265" s="46">
        <v>2020</v>
      </c>
      <c r="B265" s="56">
        <v>158</v>
      </c>
      <c r="C265" s="47" t="s">
        <v>62</v>
      </c>
      <c r="D265" s="47" t="s">
        <v>52</v>
      </c>
      <c r="E265" s="47" t="s">
        <v>44</v>
      </c>
      <c r="F265" s="46">
        <v>630</v>
      </c>
      <c r="G265" s="46">
        <v>55</v>
      </c>
      <c r="H265" s="46">
        <v>200</v>
      </c>
      <c r="I265" s="46">
        <v>245</v>
      </c>
      <c r="J265" s="46">
        <v>70</v>
      </c>
      <c r="K265" s="46">
        <v>25</v>
      </c>
      <c r="L265" s="46">
        <v>35</v>
      </c>
      <c r="M265">
        <f t="shared" ref="M265:M328" si="25">G265/$F$8*100</f>
        <v>6.4110409782082893E-3</v>
      </c>
      <c r="N265">
        <f t="shared" ref="N265:N328" si="26">H265/$F$8*100</f>
        <v>2.3312876284393776E-2</v>
      </c>
      <c r="O265">
        <f t="shared" ref="O265:O328" si="27">I265/$F$8*100</f>
        <v>2.8558273448382378E-2</v>
      </c>
      <c r="P265">
        <f t="shared" ref="P265:P328" si="28">J265/$F$8*100</f>
        <v>8.1595066995378222E-3</v>
      </c>
      <c r="Q265">
        <f t="shared" ref="Q265:Q328" si="29">K265/$F$8*100</f>
        <v>2.914109535549222E-3</v>
      </c>
      <c r="R265">
        <f t="shared" ref="R265:R328" si="30">L265/$F$8*100</f>
        <v>4.0797533497689111E-3</v>
      </c>
    </row>
    <row r="266" spans="1:18" hidden="1" x14ac:dyDescent="0.25">
      <c r="A266" s="46">
        <v>2020</v>
      </c>
      <c r="B266" s="56">
        <v>158</v>
      </c>
      <c r="C266" s="47" t="s">
        <v>62</v>
      </c>
      <c r="D266" s="47" t="s">
        <v>52</v>
      </c>
      <c r="E266" s="47" t="s">
        <v>45</v>
      </c>
      <c r="F266" s="46">
        <v>160</v>
      </c>
      <c r="G266" s="46">
        <v>5</v>
      </c>
      <c r="H266" s="46">
        <v>40</v>
      </c>
      <c r="I266" s="46">
        <v>50</v>
      </c>
      <c r="J266" s="46">
        <v>25</v>
      </c>
      <c r="K266" s="46">
        <v>5</v>
      </c>
      <c r="L266" s="46">
        <v>35</v>
      </c>
      <c r="M266">
        <f t="shared" si="25"/>
        <v>5.8282190710984446E-4</v>
      </c>
      <c r="N266">
        <f t="shared" si="26"/>
        <v>4.6625752568787556E-3</v>
      </c>
      <c r="O266">
        <f t="shared" si="27"/>
        <v>5.8282190710984439E-3</v>
      </c>
      <c r="P266">
        <f t="shared" si="28"/>
        <v>2.914109535549222E-3</v>
      </c>
      <c r="Q266">
        <f t="shared" si="29"/>
        <v>5.8282190710984446E-4</v>
      </c>
      <c r="R266">
        <f t="shared" si="30"/>
        <v>4.0797533497689111E-3</v>
      </c>
    </row>
    <row r="267" spans="1:18" hidden="1" x14ac:dyDescent="0.25">
      <c r="A267" s="46">
        <v>2020</v>
      </c>
      <c r="B267" s="56">
        <v>158</v>
      </c>
      <c r="C267" s="47" t="s">
        <v>62</v>
      </c>
      <c r="D267" s="47" t="s">
        <v>52</v>
      </c>
      <c r="E267" s="47" t="s">
        <v>46</v>
      </c>
      <c r="F267" s="46">
        <v>270</v>
      </c>
      <c r="G267" s="46">
        <v>20</v>
      </c>
      <c r="H267" s="46">
        <v>100</v>
      </c>
      <c r="I267" s="46">
        <v>55</v>
      </c>
      <c r="J267" s="46">
        <v>20</v>
      </c>
      <c r="K267" s="46">
        <v>10</v>
      </c>
      <c r="L267" s="46">
        <v>65</v>
      </c>
      <c r="M267">
        <f t="shared" si="25"/>
        <v>2.3312876284393778E-3</v>
      </c>
      <c r="N267">
        <f t="shared" si="26"/>
        <v>1.1656438142196888E-2</v>
      </c>
      <c r="O267">
        <f t="shared" si="27"/>
        <v>6.4110409782082893E-3</v>
      </c>
      <c r="P267">
        <f t="shared" si="28"/>
        <v>2.3312876284393778E-3</v>
      </c>
      <c r="Q267">
        <f t="shared" si="29"/>
        <v>1.1656438142196889E-3</v>
      </c>
      <c r="R267">
        <f t="shared" si="30"/>
        <v>7.5766847924279776E-3</v>
      </c>
    </row>
    <row r="268" spans="1:18" hidden="1" x14ac:dyDescent="0.25">
      <c r="A268" s="46">
        <v>2020</v>
      </c>
      <c r="B268" s="56">
        <v>158</v>
      </c>
      <c r="C268" s="47" t="s">
        <v>62</v>
      </c>
      <c r="D268" s="47" t="s">
        <v>52</v>
      </c>
      <c r="E268" s="47" t="s">
        <v>47</v>
      </c>
      <c r="F268" s="46">
        <v>305</v>
      </c>
      <c r="G268" s="46">
        <v>20</v>
      </c>
      <c r="H268" s="46">
        <v>85</v>
      </c>
      <c r="I268" s="46">
        <v>85</v>
      </c>
      <c r="J268" s="46">
        <v>30</v>
      </c>
      <c r="K268" s="46">
        <v>15</v>
      </c>
      <c r="L268" s="46">
        <v>75</v>
      </c>
      <c r="M268">
        <f t="shared" si="25"/>
        <v>2.3312876284393778E-3</v>
      </c>
      <c r="N268">
        <f t="shared" si="26"/>
        <v>9.9079724208673559E-3</v>
      </c>
      <c r="O268">
        <f t="shared" si="27"/>
        <v>9.9079724208673559E-3</v>
      </c>
      <c r="P268">
        <f t="shared" si="28"/>
        <v>3.4969314426590665E-3</v>
      </c>
      <c r="Q268">
        <f t="shared" si="29"/>
        <v>1.7484657213295333E-3</v>
      </c>
      <c r="R268">
        <f t="shared" si="30"/>
        <v>8.7423286066476667E-3</v>
      </c>
    </row>
    <row r="269" spans="1:18" hidden="1" x14ac:dyDescent="0.25">
      <c r="A269" s="46">
        <v>2020</v>
      </c>
      <c r="B269" s="56">
        <v>158</v>
      </c>
      <c r="C269" s="47" t="s">
        <v>62</v>
      </c>
      <c r="D269" s="47" t="s">
        <v>52</v>
      </c>
      <c r="E269" s="47" t="s">
        <v>48</v>
      </c>
      <c r="F269" s="46">
        <v>1355</v>
      </c>
      <c r="G269" s="46">
        <v>45</v>
      </c>
      <c r="H269" s="46">
        <v>205</v>
      </c>
      <c r="I269" s="46">
        <v>280</v>
      </c>
      <c r="J269" s="46">
        <v>135</v>
      </c>
      <c r="K269" s="46">
        <v>65</v>
      </c>
      <c r="L269" s="46">
        <v>625</v>
      </c>
      <c r="M269">
        <f t="shared" si="25"/>
        <v>5.2453971639886002E-3</v>
      </c>
      <c r="N269">
        <f t="shared" si="26"/>
        <v>2.3895698191503622E-2</v>
      </c>
      <c r="O269">
        <f t="shared" si="27"/>
        <v>3.2638026798151289E-2</v>
      </c>
      <c r="P269">
        <f t="shared" si="28"/>
        <v>1.5736191491965801E-2</v>
      </c>
      <c r="Q269">
        <f t="shared" si="29"/>
        <v>7.5766847924279776E-3</v>
      </c>
      <c r="R269">
        <f t="shared" si="30"/>
        <v>7.2852738388730562E-2</v>
      </c>
    </row>
    <row r="270" spans="1:18" hidden="1" x14ac:dyDescent="0.25">
      <c r="A270" s="46">
        <v>2020</v>
      </c>
      <c r="B270" s="56">
        <v>158</v>
      </c>
      <c r="C270" s="47" t="s">
        <v>62</v>
      </c>
      <c r="D270" s="47" t="s">
        <v>52</v>
      </c>
      <c r="E270" s="47" t="s">
        <v>49</v>
      </c>
      <c r="F270" s="46">
        <v>615</v>
      </c>
      <c r="G270" s="46">
        <v>15</v>
      </c>
      <c r="H270" s="46">
        <v>45</v>
      </c>
      <c r="I270" s="46">
        <v>60</v>
      </c>
      <c r="J270" s="46">
        <v>40</v>
      </c>
      <c r="K270" s="46">
        <v>20</v>
      </c>
      <c r="L270" s="46">
        <v>440</v>
      </c>
      <c r="M270">
        <f t="shared" si="25"/>
        <v>1.7484657213295333E-3</v>
      </c>
      <c r="N270">
        <f t="shared" si="26"/>
        <v>5.2453971639886002E-3</v>
      </c>
      <c r="O270">
        <f t="shared" si="27"/>
        <v>6.993862885318133E-3</v>
      </c>
      <c r="P270">
        <f t="shared" si="28"/>
        <v>4.6625752568787556E-3</v>
      </c>
      <c r="Q270">
        <f t="shared" si="29"/>
        <v>2.3312876284393778E-3</v>
      </c>
      <c r="R270">
        <f t="shared" si="30"/>
        <v>5.1288327825666315E-2</v>
      </c>
    </row>
    <row r="271" spans="1:18" hidden="1" x14ac:dyDescent="0.25">
      <c r="A271" s="46">
        <v>2020</v>
      </c>
      <c r="B271" s="56">
        <v>158</v>
      </c>
      <c r="C271" s="47" t="s">
        <v>62</v>
      </c>
      <c r="D271" s="47" t="s">
        <v>52</v>
      </c>
      <c r="E271" s="47" t="s">
        <v>50</v>
      </c>
      <c r="F271" s="46">
        <v>320</v>
      </c>
      <c r="G271" s="46">
        <v>0</v>
      </c>
      <c r="H271" s="46">
        <v>5</v>
      </c>
      <c r="I271" s="46">
        <v>10</v>
      </c>
      <c r="J271" s="46">
        <v>10</v>
      </c>
      <c r="K271" s="46">
        <v>5</v>
      </c>
      <c r="L271" s="46">
        <v>285</v>
      </c>
      <c r="M271">
        <f t="shared" si="25"/>
        <v>0</v>
      </c>
      <c r="N271">
        <f t="shared" si="26"/>
        <v>5.8282190710984446E-4</v>
      </c>
      <c r="O271">
        <f t="shared" si="27"/>
        <v>1.1656438142196889E-3</v>
      </c>
      <c r="P271">
        <f t="shared" si="28"/>
        <v>1.1656438142196889E-3</v>
      </c>
      <c r="Q271">
        <f t="shared" si="29"/>
        <v>5.8282190710984446E-4</v>
      </c>
      <c r="R271">
        <f t="shared" si="30"/>
        <v>3.3220848705261131E-2</v>
      </c>
    </row>
    <row r="272" spans="1:18" x14ac:dyDescent="0.25">
      <c r="A272" s="46">
        <v>2020</v>
      </c>
      <c r="B272" s="56">
        <v>159</v>
      </c>
      <c r="C272" s="47" t="s">
        <v>63</v>
      </c>
      <c r="D272" s="47" t="s">
        <v>42</v>
      </c>
      <c r="E272" s="47" t="s">
        <v>43</v>
      </c>
      <c r="F272" s="46">
        <v>32265</v>
      </c>
      <c r="G272" s="46">
        <v>2080</v>
      </c>
      <c r="H272" s="46">
        <v>7375</v>
      </c>
      <c r="I272" s="46">
        <v>6460</v>
      </c>
      <c r="J272" s="46">
        <v>2940</v>
      </c>
      <c r="K272" s="46">
        <v>1395</v>
      </c>
      <c r="L272" s="46">
        <v>12010</v>
      </c>
      <c r="M272">
        <f t="shared" si="25"/>
        <v>0.24245391335769528</v>
      </c>
      <c r="N272">
        <f t="shared" si="26"/>
        <v>0.85966231298702056</v>
      </c>
      <c r="O272">
        <f t="shared" si="27"/>
        <v>0.75300590398591905</v>
      </c>
      <c r="P272">
        <f t="shared" si="28"/>
        <v>0.34269928138058853</v>
      </c>
      <c r="Q272">
        <f t="shared" si="29"/>
        <v>0.16260731208364659</v>
      </c>
      <c r="R272">
        <f t="shared" si="30"/>
        <v>1.3999382208778464</v>
      </c>
    </row>
    <row r="273" spans="1:18" hidden="1" x14ac:dyDescent="0.25">
      <c r="A273" s="46">
        <v>2020</v>
      </c>
      <c r="B273" s="56">
        <v>159</v>
      </c>
      <c r="C273" s="47" t="s">
        <v>63</v>
      </c>
      <c r="D273" s="47" t="s">
        <v>42</v>
      </c>
      <c r="E273" s="47" t="s">
        <v>44</v>
      </c>
      <c r="F273" s="46">
        <v>4635</v>
      </c>
      <c r="G273" s="46">
        <v>600</v>
      </c>
      <c r="H273" s="46">
        <v>1790</v>
      </c>
      <c r="I273" s="46">
        <v>1310</v>
      </c>
      <c r="J273" s="46">
        <v>465</v>
      </c>
      <c r="K273" s="46">
        <v>180</v>
      </c>
      <c r="L273" s="46">
        <v>285</v>
      </c>
      <c r="M273">
        <f t="shared" si="25"/>
        <v>6.9938628853181334E-2</v>
      </c>
      <c r="N273">
        <f t="shared" si="26"/>
        <v>0.20865024274532429</v>
      </c>
      <c r="O273">
        <f t="shared" si="27"/>
        <v>0.15269933966277924</v>
      </c>
      <c r="P273">
        <f t="shared" si="28"/>
        <v>5.4202437361215529E-2</v>
      </c>
      <c r="Q273">
        <f t="shared" si="29"/>
        <v>2.0981588655954401E-2</v>
      </c>
      <c r="R273">
        <f t="shared" si="30"/>
        <v>3.3220848705261131E-2</v>
      </c>
    </row>
    <row r="274" spans="1:18" hidden="1" x14ac:dyDescent="0.25">
      <c r="A274" s="46">
        <v>2020</v>
      </c>
      <c r="B274" s="56">
        <v>159</v>
      </c>
      <c r="C274" s="47" t="s">
        <v>63</v>
      </c>
      <c r="D274" s="47" t="s">
        <v>42</v>
      </c>
      <c r="E274" s="47" t="s">
        <v>45</v>
      </c>
      <c r="F274" s="46">
        <v>1375</v>
      </c>
      <c r="G274" s="46">
        <v>130</v>
      </c>
      <c r="H274" s="46">
        <v>320</v>
      </c>
      <c r="I274" s="46">
        <v>365</v>
      </c>
      <c r="J274" s="46">
        <v>120</v>
      </c>
      <c r="K274" s="46">
        <v>45</v>
      </c>
      <c r="L274" s="46">
        <v>390</v>
      </c>
      <c r="M274">
        <f t="shared" si="25"/>
        <v>1.5153369584855955E-2</v>
      </c>
      <c r="N274">
        <f t="shared" si="26"/>
        <v>3.7300602055030045E-2</v>
      </c>
      <c r="O274">
        <f t="shared" si="27"/>
        <v>4.2545999219018645E-2</v>
      </c>
      <c r="P274">
        <f t="shared" si="28"/>
        <v>1.3987725770636266E-2</v>
      </c>
      <c r="Q274">
        <f t="shared" si="29"/>
        <v>5.2453971639886002E-3</v>
      </c>
      <c r="R274">
        <f t="shared" si="30"/>
        <v>4.5460108754567866E-2</v>
      </c>
    </row>
    <row r="275" spans="1:18" hidden="1" x14ac:dyDescent="0.25">
      <c r="A275" s="46">
        <v>2020</v>
      </c>
      <c r="B275" s="56">
        <v>159</v>
      </c>
      <c r="C275" s="47" t="s">
        <v>63</v>
      </c>
      <c r="D275" s="47" t="s">
        <v>42</v>
      </c>
      <c r="E275" s="47" t="s">
        <v>46</v>
      </c>
      <c r="F275" s="46">
        <v>3290</v>
      </c>
      <c r="G275" s="46">
        <v>320</v>
      </c>
      <c r="H275" s="46">
        <v>1140</v>
      </c>
      <c r="I275" s="46">
        <v>955</v>
      </c>
      <c r="J275" s="46">
        <v>230</v>
      </c>
      <c r="K275" s="46">
        <v>50</v>
      </c>
      <c r="L275" s="46">
        <v>600</v>
      </c>
      <c r="M275">
        <f t="shared" si="25"/>
        <v>3.7300602055030045E-2</v>
      </c>
      <c r="N275">
        <f t="shared" si="26"/>
        <v>0.13288339482104453</v>
      </c>
      <c r="O275">
        <f t="shared" si="27"/>
        <v>0.11131898425798029</v>
      </c>
      <c r="P275">
        <f t="shared" si="28"/>
        <v>2.6809807727052843E-2</v>
      </c>
      <c r="Q275">
        <f t="shared" si="29"/>
        <v>5.8282190710984439E-3</v>
      </c>
      <c r="R275">
        <f t="shared" si="30"/>
        <v>6.9938628853181334E-2</v>
      </c>
    </row>
    <row r="276" spans="1:18" hidden="1" x14ac:dyDescent="0.25">
      <c r="A276" s="46">
        <v>2020</v>
      </c>
      <c r="B276" s="56">
        <v>159</v>
      </c>
      <c r="C276" s="47" t="s">
        <v>63</v>
      </c>
      <c r="D276" s="47" t="s">
        <v>42</v>
      </c>
      <c r="E276" s="47" t="s">
        <v>47</v>
      </c>
      <c r="F276" s="46">
        <v>4450</v>
      </c>
      <c r="G276" s="46">
        <v>375</v>
      </c>
      <c r="H276" s="46">
        <v>1500</v>
      </c>
      <c r="I276" s="46">
        <v>1185</v>
      </c>
      <c r="J276" s="46">
        <v>585</v>
      </c>
      <c r="K276" s="46">
        <v>190</v>
      </c>
      <c r="L276" s="46">
        <v>610</v>
      </c>
      <c r="M276">
        <f t="shared" si="25"/>
        <v>4.371164303323833E-2</v>
      </c>
      <c r="N276">
        <f t="shared" si="26"/>
        <v>0.17484657213295332</v>
      </c>
      <c r="O276">
        <f t="shared" si="27"/>
        <v>0.13812879198503311</v>
      </c>
      <c r="P276">
        <f t="shared" si="28"/>
        <v>6.8190163131851805E-2</v>
      </c>
      <c r="Q276">
        <f t="shared" si="29"/>
        <v>2.214723247017409E-2</v>
      </c>
      <c r="R276">
        <f t="shared" si="30"/>
        <v>7.1104272667401019E-2</v>
      </c>
    </row>
    <row r="277" spans="1:18" hidden="1" x14ac:dyDescent="0.25">
      <c r="A277" s="46">
        <v>2020</v>
      </c>
      <c r="B277" s="56">
        <v>159</v>
      </c>
      <c r="C277" s="47" t="s">
        <v>63</v>
      </c>
      <c r="D277" s="47" t="s">
        <v>42</v>
      </c>
      <c r="E277" s="47" t="s">
        <v>48</v>
      </c>
      <c r="F277" s="46">
        <v>11485</v>
      </c>
      <c r="G277" s="46">
        <v>545</v>
      </c>
      <c r="H277" s="46">
        <v>2195</v>
      </c>
      <c r="I277" s="46">
        <v>2180</v>
      </c>
      <c r="J277" s="46">
        <v>1255</v>
      </c>
      <c r="K277" s="46">
        <v>760</v>
      </c>
      <c r="L277" s="46">
        <v>4550</v>
      </c>
      <c r="M277">
        <f t="shared" si="25"/>
        <v>6.3527587874973049E-2</v>
      </c>
      <c r="N277">
        <f t="shared" si="26"/>
        <v>0.25585881722122172</v>
      </c>
      <c r="O277">
        <f t="shared" si="27"/>
        <v>0.2541103514998922</v>
      </c>
      <c r="P277">
        <f t="shared" si="28"/>
        <v>0.14628829868457094</v>
      </c>
      <c r="Q277">
        <f t="shared" si="29"/>
        <v>8.858892988069636E-2</v>
      </c>
      <c r="R277">
        <f t="shared" si="30"/>
        <v>0.53036793546995842</v>
      </c>
    </row>
    <row r="278" spans="1:18" hidden="1" x14ac:dyDescent="0.25">
      <c r="A278" s="46">
        <v>2020</v>
      </c>
      <c r="B278" s="56">
        <v>159</v>
      </c>
      <c r="C278" s="47" t="s">
        <v>63</v>
      </c>
      <c r="D278" s="47" t="s">
        <v>42</v>
      </c>
      <c r="E278" s="47" t="s">
        <v>49</v>
      </c>
      <c r="F278" s="46">
        <v>4325</v>
      </c>
      <c r="G278" s="46">
        <v>90</v>
      </c>
      <c r="H278" s="46">
        <v>360</v>
      </c>
      <c r="I278" s="46">
        <v>390</v>
      </c>
      <c r="J278" s="46">
        <v>240</v>
      </c>
      <c r="K278" s="46">
        <v>135</v>
      </c>
      <c r="L278" s="46">
        <v>3105</v>
      </c>
      <c r="M278">
        <f t="shared" si="25"/>
        <v>1.04907943279772E-2</v>
      </c>
      <c r="N278">
        <f t="shared" si="26"/>
        <v>4.1963177311908802E-2</v>
      </c>
      <c r="O278">
        <f t="shared" si="27"/>
        <v>4.5460108754567866E-2</v>
      </c>
      <c r="P278">
        <f t="shared" si="28"/>
        <v>2.7975451541272532E-2</v>
      </c>
      <c r="Q278">
        <f t="shared" si="29"/>
        <v>1.5736191491965801E-2</v>
      </c>
      <c r="R278">
        <f t="shared" si="30"/>
        <v>0.3619324043152134</v>
      </c>
    </row>
    <row r="279" spans="1:18" hidden="1" x14ac:dyDescent="0.25">
      <c r="A279" s="46">
        <v>2020</v>
      </c>
      <c r="B279" s="56">
        <v>159</v>
      </c>
      <c r="C279" s="47" t="s">
        <v>63</v>
      </c>
      <c r="D279" s="47" t="s">
        <v>42</v>
      </c>
      <c r="E279" s="47" t="s">
        <v>50</v>
      </c>
      <c r="F279" s="46">
        <v>2705</v>
      </c>
      <c r="G279" s="46">
        <v>15</v>
      </c>
      <c r="H279" s="46">
        <v>70</v>
      </c>
      <c r="I279" s="46">
        <v>70</v>
      </c>
      <c r="J279" s="46">
        <v>45</v>
      </c>
      <c r="K279" s="46">
        <v>35</v>
      </c>
      <c r="L279" s="46">
        <v>2475</v>
      </c>
      <c r="M279">
        <f t="shared" si="25"/>
        <v>1.7484657213295333E-3</v>
      </c>
      <c r="N279">
        <f t="shared" si="26"/>
        <v>8.1595066995378222E-3</v>
      </c>
      <c r="O279">
        <f t="shared" si="27"/>
        <v>8.1595066995378222E-3</v>
      </c>
      <c r="P279">
        <f t="shared" si="28"/>
        <v>5.2453971639886002E-3</v>
      </c>
      <c r="Q279">
        <f t="shared" si="29"/>
        <v>4.0797533497689111E-3</v>
      </c>
      <c r="R279">
        <f t="shared" si="30"/>
        <v>0.28849684401937298</v>
      </c>
    </row>
    <row r="280" spans="1:18" hidden="1" x14ac:dyDescent="0.25">
      <c r="A280" s="46">
        <v>2020</v>
      </c>
      <c r="B280" s="56">
        <v>159</v>
      </c>
      <c r="C280" s="47" t="s">
        <v>63</v>
      </c>
      <c r="D280" s="47" t="s">
        <v>51</v>
      </c>
      <c r="E280" s="47" t="s">
        <v>43</v>
      </c>
      <c r="F280" s="46">
        <v>16605</v>
      </c>
      <c r="G280" s="46">
        <v>1070</v>
      </c>
      <c r="H280" s="46">
        <v>3690</v>
      </c>
      <c r="I280" s="46">
        <v>3665</v>
      </c>
      <c r="J280" s="46">
        <v>1580</v>
      </c>
      <c r="K280" s="46">
        <v>710</v>
      </c>
      <c r="L280" s="46">
        <v>5885</v>
      </c>
      <c r="M280">
        <f t="shared" si="25"/>
        <v>0.12472388812150671</v>
      </c>
      <c r="N280">
        <f t="shared" si="26"/>
        <v>0.43012256744706517</v>
      </c>
      <c r="O280">
        <f t="shared" si="27"/>
        <v>0.42720845791151602</v>
      </c>
      <c r="P280">
        <f t="shared" si="28"/>
        <v>0.18417172264671083</v>
      </c>
      <c r="Q280">
        <f t="shared" si="29"/>
        <v>8.2760710809597904E-2</v>
      </c>
      <c r="R280">
        <f t="shared" si="30"/>
        <v>0.68598138466828695</v>
      </c>
    </row>
    <row r="281" spans="1:18" hidden="1" x14ac:dyDescent="0.25">
      <c r="A281" s="46">
        <v>2020</v>
      </c>
      <c r="B281" s="56">
        <v>159</v>
      </c>
      <c r="C281" s="47" t="s">
        <v>63</v>
      </c>
      <c r="D281" s="47" t="s">
        <v>51</v>
      </c>
      <c r="E281" s="47" t="s">
        <v>44</v>
      </c>
      <c r="F281" s="46">
        <v>2410</v>
      </c>
      <c r="G281" s="46">
        <v>325</v>
      </c>
      <c r="H281" s="46">
        <v>935</v>
      </c>
      <c r="I281" s="46">
        <v>665</v>
      </c>
      <c r="J281" s="46">
        <v>250</v>
      </c>
      <c r="K281" s="46">
        <v>90</v>
      </c>
      <c r="L281" s="46">
        <v>150</v>
      </c>
      <c r="M281">
        <f t="shared" si="25"/>
        <v>3.7883423962139888E-2</v>
      </c>
      <c r="N281">
        <f t="shared" si="26"/>
        <v>0.10898769662954091</v>
      </c>
      <c r="O281">
        <f t="shared" si="27"/>
        <v>7.7515313645609304E-2</v>
      </c>
      <c r="P281">
        <f t="shared" si="28"/>
        <v>2.9141095355492221E-2</v>
      </c>
      <c r="Q281">
        <f t="shared" si="29"/>
        <v>1.04907943279772E-2</v>
      </c>
      <c r="R281">
        <f t="shared" si="30"/>
        <v>1.7484657213295333E-2</v>
      </c>
    </row>
    <row r="282" spans="1:18" hidden="1" x14ac:dyDescent="0.25">
      <c r="A282" s="46">
        <v>2020</v>
      </c>
      <c r="B282" s="56">
        <v>159</v>
      </c>
      <c r="C282" s="47" t="s">
        <v>63</v>
      </c>
      <c r="D282" s="47" t="s">
        <v>51</v>
      </c>
      <c r="E282" s="47" t="s">
        <v>45</v>
      </c>
      <c r="F282" s="46">
        <v>755</v>
      </c>
      <c r="G282" s="46">
        <v>75</v>
      </c>
      <c r="H282" s="46">
        <v>180</v>
      </c>
      <c r="I282" s="46">
        <v>205</v>
      </c>
      <c r="J282" s="46">
        <v>55</v>
      </c>
      <c r="K282" s="46">
        <v>20</v>
      </c>
      <c r="L282" s="46">
        <v>215</v>
      </c>
      <c r="M282">
        <f t="shared" si="25"/>
        <v>8.7423286066476667E-3</v>
      </c>
      <c r="N282">
        <f t="shared" si="26"/>
        <v>2.0981588655954401E-2</v>
      </c>
      <c r="O282">
        <f t="shared" si="27"/>
        <v>2.3895698191503622E-2</v>
      </c>
      <c r="P282">
        <f t="shared" si="28"/>
        <v>6.4110409782082893E-3</v>
      </c>
      <c r="Q282">
        <f t="shared" si="29"/>
        <v>2.3312876284393778E-3</v>
      </c>
      <c r="R282">
        <f t="shared" si="30"/>
        <v>2.5061342005723308E-2</v>
      </c>
    </row>
    <row r="283" spans="1:18" hidden="1" x14ac:dyDescent="0.25">
      <c r="A283" s="46">
        <v>2020</v>
      </c>
      <c r="B283" s="56">
        <v>159</v>
      </c>
      <c r="C283" s="47" t="s">
        <v>63</v>
      </c>
      <c r="D283" s="47" t="s">
        <v>51</v>
      </c>
      <c r="E283" s="47" t="s">
        <v>46</v>
      </c>
      <c r="F283" s="46">
        <v>1810</v>
      </c>
      <c r="G283" s="46">
        <v>155</v>
      </c>
      <c r="H283" s="46">
        <v>520</v>
      </c>
      <c r="I283" s="46">
        <v>650</v>
      </c>
      <c r="J283" s="46">
        <v>155</v>
      </c>
      <c r="K283" s="46">
        <v>25</v>
      </c>
      <c r="L283" s="46">
        <v>300</v>
      </c>
      <c r="M283">
        <f t="shared" si="25"/>
        <v>1.806747912040518E-2</v>
      </c>
      <c r="N283">
        <f t="shared" si="26"/>
        <v>6.0613478339423821E-2</v>
      </c>
      <c r="O283">
        <f t="shared" si="27"/>
        <v>7.5766847924279776E-2</v>
      </c>
      <c r="P283">
        <f t="shared" si="28"/>
        <v>1.806747912040518E-2</v>
      </c>
      <c r="Q283">
        <f t="shared" si="29"/>
        <v>2.914109535549222E-3</v>
      </c>
      <c r="R283">
        <f t="shared" si="30"/>
        <v>3.4969314426590667E-2</v>
      </c>
    </row>
    <row r="284" spans="1:18" hidden="1" x14ac:dyDescent="0.25">
      <c r="A284" s="46">
        <v>2020</v>
      </c>
      <c r="B284" s="56">
        <v>159</v>
      </c>
      <c r="C284" s="47" t="s">
        <v>63</v>
      </c>
      <c r="D284" s="47" t="s">
        <v>51</v>
      </c>
      <c r="E284" s="47" t="s">
        <v>47</v>
      </c>
      <c r="F284" s="46">
        <v>2225</v>
      </c>
      <c r="G284" s="46">
        <v>175</v>
      </c>
      <c r="H284" s="46">
        <v>695</v>
      </c>
      <c r="I284" s="46">
        <v>665</v>
      </c>
      <c r="J284" s="46">
        <v>280</v>
      </c>
      <c r="K284" s="46">
        <v>90</v>
      </c>
      <c r="L284" s="46">
        <v>315</v>
      </c>
      <c r="M284">
        <f t="shared" si="25"/>
        <v>2.0398766748844555E-2</v>
      </c>
      <c r="N284">
        <f t="shared" si="26"/>
        <v>8.1012245088268375E-2</v>
      </c>
      <c r="O284">
        <f t="shared" si="27"/>
        <v>7.7515313645609304E-2</v>
      </c>
      <c r="P284">
        <f t="shared" si="28"/>
        <v>3.2638026798151289E-2</v>
      </c>
      <c r="Q284">
        <f t="shared" si="29"/>
        <v>1.04907943279772E-2</v>
      </c>
      <c r="R284">
        <f t="shared" si="30"/>
        <v>3.6717780147920202E-2</v>
      </c>
    </row>
    <row r="285" spans="1:18" hidden="1" x14ac:dyDescent="0.25">
      <c r="A285" s="46">
        <v>2020</v>
      </c>
      <c r="B285" s="56">
        <v>159</v>
      </c>
      <c r="C285" s="47" t="s">
        <v>63</v>
      </c>
      <c r="D285" s="47" t="s">
        <v>51</v>
      </c>
      <c r="E285" s="47" t="s">
        <v>48</v>
      </c>
      <c r="F285" s="46">
        <v>5865</v>
      </c>
      <c r="G285" s="46">
        <v>285</v>
      </c>
      <c r="H285" s="46">
        <v>1115</v>
      </c>
      <c r="I285" s="46">
        <v>1240</v>
      </c>
      <c r="J285" s="46">
        <v>685</v>
      </c>
      <c r="K285" s="46">
        <v>405</v>
      </c>
      <c r="L285" s="46">
        <v>2130</v>
      </c>
      <c r="M285">
        <f t="shared" si="25"/>
        <v>3.3220848705261131E-2</v>
      </c>
      <c r="N285">
        <f t="shared" si="26"/>
        <v>0.12996928528549531</v>
      </c>
      <c r="O285">
        <f t="shared" si="27"/>
        <v>0.14453983296324144</v>
      </c>
      <c r="P285">
        <f t="shared" si="28"/>
        <v>7.984660127404869E-2</v>
      </c>
      <c r="Q285">
        <f t="shared" si="29"/>
        <v>4.7208574475897401E-2</v>
      </c>
      <c r="R285">
        <f t="shared" si="30"/>
        <v>0.24828213242879374</v>
      </c>
    </row>
    <row r="286" spans="1:18" hidden="1" x14ac:dyDescent="0.25">
      <c r="A286" s="46">
        <v>2020</v>
      </c>
      <c r="B286" s="56">
        <v>159</v>
      </c>
      <c r="C286" s="47" t="s">
        <v>63</v>
      </c>
      <c r="D286" s="47" t="s">
        <v>51</v>
      </c>
      <c r="E286" s="47" t="s">
        <v>49</v>
      </c>
      <c r="F286" s="46">
        <v>2240</v>
      </c>
      <c r="G286" s="46">
        <v>45</v>
      </c>
      <c r="H286" s="46">
        <v>205</v>
      </c>
      <c r="I286" s="46">
        <v>210</v>
      </c>
      <c r="J286" s="46">
        <v>130</v>
      </c>
      <c r="K286" s="46">
        <v>70</v>
      </c>
      <c r="L286" s="46">
        <v>1580</v>
      </c>
      <c r="M286">
        <f t="shared" si="25"/>
        <v>5.2453971639886002E-3</v>
      </c>
      <c r="N286">
        <f t="shared" si="26"/>
        <v>2.3895698191503622E-2</v>
      </c>
      <c r="O286">
        <f t="shared" si="27"/>
        <v>2.4478520098613465E-2</v>
      </c>
      <c r="P286">
        <f t="shared" si="28"/>
        <v>1.5153369584855955E-2</v>
      </c>
      <c r="Q286">
        <f t="shared" si="29"/>
        <v>8.1595066995378222E-3</v>
      </c>
      <c r="R286">
        <f t="shared" si="30"/>
        <v>0.18417172264671083</v>
      </c>
    </row>
    <row r="287" spans="1:18" hidden="1" x14ac:dyDescent="0.25">
      <c r="A287" s="46">
        <v>2020</v>
      </c>
      <c r="B287" s="56">
        <v>159</v>
      </c>
      <c r="C287" s="47" t="s">
        <v>63</v>
      </c>
      <c r="D287" s="47" t="s">
        <v>51</v>
      </c>
      <c r="E287" s="47" t="s">
        <v>50</v>
      </c>
      <c r="F287" s="46">
        <v>1300</v>
      </c>
      <c r="G287" s="46">
        <v>10</v>
      </c>
      <c r="H287" s="46">
        <v>40</v>
      </c>
      <c r="I287" s="46">
        <v>30</v>
      </c>
      <c r="J287" s="46">
        <v>20</v>
      </c>
      <c r="K287" s="46">
        <v>10</v>
      </c>
      <c r="L287" s="46">
        <v>1190</v>
      </c>
      <c r="M287">
        <f t="shared" si="25"/>
        <v>1.1656438142196889E-3</v>
      </c>
      <c r="N287">
        <f t="shared" si="26"/>
        <v>4.6625752568787556E-3</v>
      </c>
      <c r="O287">
        <f t="shared" si="27"/>
        <v>3.4969314426590665E-3</v>
      </c>
      <c r="P287">
        <f t="shared" si="28"/>
        <v>2.3312876284393778E-3</v>
      </c>
      <c r="Q287">
        <f t="shared" si="29"/>
        <v>1.1656438142196889E-3</v>
      </c>
      <c r="R287">
        <f t="shared" si="30"/>
        <v>0.13871161389214298</v>
      </c>
    </row>
    <row r="288" spans="1:18" hidden="1" x14ac:dyDescent="0.25">
      <c r="A288" s="46">
        <v>2020</v>
      </c>
      <c r="B288" s="56">
        <v>159</v>
      </c>
      <c r="C288" s="47" t="s">
        <v>63</v>
      </c>
      <c r="D288" s="47" t="s">
        <v>52</v>
      </c>
      <c r="E288" s="47" t="s">
        <v>43</v>
      </c>
      <c r="F288" s="46">
        <v>15660</v>
      </c>
      <c r="G288" s="46">
        <v>1010</v>
      </c>
      <c r="H288" s="46">
        <v>3685</v>
      </c>
      <c r="I288" s="46">
        <v>2795</v>
      </c>
      <c r="J288" s="46">
        <v>1360</v>
      </c>
      <c r="K288" s="46">
        <v>685</v>
      </c>
      <c r="L288" s="46">
        <v>6125</v>
      </c>
      <c r="M288">
        <f t="shared" si="25"/>
        <v>0.11773002523618858</v>
      </c>
      <c r="N288">
        <f t="shared" si="26"/>
        <v>0.42953974553995533</v>
      </c>
      <c r="O288">
        <f t="shared" si="27"/>
        <v>0.32579744607440303</v>
      </c>
      <c r="P288">
        <f t="shared" si="28"/>
        <v>0.15852755873387769</v>
      </c>
      <c r="Q288">
        <f t="shared" si="29"/>
        <v>7.984660127404869E-2</v>
      </c>
      <c r="R288">
        <f t="shared" si="30"/>
        <v>0.71395683620955941</v>
      </c>
    </row>
    <row r="289" spans="1:18" hidden="1" x14ac:dyDescent="0.25">
      <c r="A289" s="46">
        <v>2020</v>
      </c>
      <c r="B289" s="56">
        <v>159</v>
      </c>
      <c r="C289" s="47" t="s">
        <v>63</v>
      </c>
      <c r="D289" s="47" t="s">
        <v>52</v>
      </c>
      <c r="E289" s="47" t="s">
        <v>44</v>
      </c>
      <c r="F289" s="46">
        <v>2220</v>
      </c>
      <c r="G289" s="46">
        <v>280</v>
      </c>
      <c r="H289" s="46">
        <v>855</v>
      </c>
      <c r="I289" s="46">
        <v>645</v>
      </c>
      <c r="J289" s="46">
        <v>220</v>
      </c>
      <c r="K289" s="46">
        <v>90</v>
      </c>
      <c r="L289" s="46">
        <v>135</v>
      </c>
      <c r="M289">
        <f t="shared" si="25"/>
        <v>3.2638026798151289E-2</v>
      </c>
      <c r="N289">
        <f t="shared" si="26"/>
        <v>9.9662546115783401E-2</v>
      </c>
      <c r="O289">
        <f t="shared" si="27"/>
        <v>7.5184026017169933E-2</v>
      </c>
      <c r="P289">
        <f t="shared" si="28"/>
        <v>2.5644163912833157E-2</v>
      </c>
      <c r="Q289">
        <f t="shared" si="29"/>
        <v>1.04907943279772E-2</v>
      </c>
      <c r="R289">
        <f t="shared" si="30"/>
        <v>1.5736191491965801E-2</v>
      </c>
    </row>
    <row r="290" spans="1:18" hidden="1" x14ac:dyDescent="0.25">
      <c r="A290" s="46">
        <v>2020</v>
      </c>
      <c r="B290" s="56">
        <v>159</v>
      </c>
      <c r="C290" s="47" t="s">
        <v>63</v>
      </c>
      <c r="D290" s="47" t="s">
        <v>52</v>
      </c>
      <c r="E290" s="47" t="s">
        <v>45</v>
      </c>
      <c r="F290" s="46">
        <v>620</v>
      </c>
      <c r="G290" s="46">
        <v>55</v>
      </c>
      <c r="H290" s="46">
        <v>140</v>
      </c>
      <c r="I290" s="46">
        <v>165</v>
      </c>
      <c r="J290" s="46">
        <v>65</v>
      </c>
      <c r="K290" s="46">
        <v>25</v>
      </c>
      <c r="L290" s="46">
        <v>175</v>
      </c>
      <c r="M290">
        <f t="shared" si="25"/>
        <v>6.4110409782082893E-3</v>
      </c>
      <c r="N290">
        <f t="shared" si="26"/>
        <v>1.6319013399075644E-2</v>
      </c>
      <c r="O290">
        <f t="shared" si="27"/>
        <v>1.9233122934624865E-2</v>
      </c>
      <c r="P290">
        <f t="shared" si="28"/>
        <v>7.5766847924279776E-3</v>
      </c>
      <c r="Q290">
        <f t="shared" si="29"/>
        <v>2.914109535549222E-3</v>
      </c>
      <c r="R290">
        <f t="shared" si="30"/>
        <v>2.0398766748844555E-2</v>
      </c>
    </row>
    <row r="291" spans="1:18" hidden="1" x14ac:dyDescent="0.25">
      <c r="A291" s="46">
        <v>2020</v>
      </c>
      <c r="B291" s="56">
        <v>159</v>
      </c>
      <c r="C291" s="47" t="s">
        <v>63</v>
      </c>
      <c r="D291" s="47" t="s">
        <v>52</v>
      </c>
      <c r="E291" s="47" t="s">
        <v>46</v>
      </c>
      <c r="F291" s="46">
        <v>1485</v>
      </c>
      <c r="G291" s="46">
        <v>165</v>
      </c>
      <c r="H291" s="46">
        <v>615</v>
      </c>
      <c r="I291" s="46">
        <v>305</v>
      </c>
      <c r="J291" s="46">
        <v>75</v>
      </c>
      <c r="K291" s="46">
        <v>20</v>
      </c>
      <c r="L291" s="46">
        <v>300</v>
      </c>
      <c r="M291">
        <f t="shared" si="25"/>
        <v>1.9233122934624865E-2</v>
      </c>
      <c r="N291">
        <f t="shared" si="26"/>
        <v>7.1687094574510862E-2</v>
      </c>
      <c r="O291">
        <f t="shared" si="27"/>
        <v>3.555213633370051E-2</v>
      </c>
      <c r="P291">
        <f t="shared" si="28"/>
        <v>8.7423286066476667E-3</v>
      </c>
      <c r="Q291">
        <f t="shared" si="29"/>
        <v>2.3312876284393778E-3</v>
      </c>
      <c r="R291">
        <f t="shared" si="30"/>
        <v>3.4969314426590667E-2</v>
      </c>
    </row>
    <row r="292" spans="1:18" hidden="1" x14ac:dyDescent="0.25">
      <c r="A292" s="46">
        <v>2020</v>
      </c>
      <c r="B292" s="56">
        <v>159</v>
      </c>
      <c r="C292" s="47" t="s">
        <v>63</v>
      </c>
      <c r="D292" s="47" t="s">
        <v>52</v>
      </c>
      <c r="E292" s="47" t="s">
        <v>47</v>
      </c>
      <c r="F292" s="46">
        <v>2225</v>
      </c>
      <c r="G292" s="46">
        <v>200</v>
      </c>
      <c r="H292" s="46">
        <v>810</v>
      </c>
      <c r="I292" s="46">
        <v>520</v>
      </c>
      <c r="J292" s="46">
        <v>305</v>
      </c>
      <c r="K292" s="46">
        <v>100</v>
      </c>
      <c r="L292" s="46">
        <v>290</v>
      </c>
      <c r="M292">
        <f t="shared" si="25"/>
        <v>2.3312876284393776E-2</v>
      </c>
      <c r="N292">
        <f t="shared" si="26"/>
        <v>9.4417148951794802E-2</v>
      </c>
      <c r="O292">
        <f t="shared" si="27"/>
        <v>6.0613478339423821E-2</v>
      </c>
      <c r="P292">
        <f t="shared" si="28"/>
        <v>3.555213633370051E-2</v>
      </c>
      <c r="Q292">
        <f t="shared" si="29"/>
        <v>1.1656438142196888E-2</v>
      </c>
      <c r="R292">
        <f t="shared" si="30"/>
        <v>3.3803670612370981E-2</v>
      </c>
    </row>
    <row r="293" spans="1:18" hidden="1" x14ac:dyDescent="0.25">
      <c r="A293" s="46">
        <v>2020</v>
      </c>
      <c r="B293" s="56">
        <v>159</v>
      </c>
      <c r="C293" s="47" t="s">
        <v>63</v>
      </c>
      <c r="D293" s="47" t="s">
        <v>52</v>
      </c>
      <c r="E293" s="47" t="s">
        <v>48</v>
      </c>
      <c r="F293" s="46">
        <v>5620</v>
      </c>
      <c r="G293" s="46">
        <v>260</v>
      </c>
      <c r="H293" s="46">
        <v>1080</v>
      </c>
      <c r="I293" s="46">
        <v>940</v>
      </c>
      <c r="J293" s="46">
        <v>565</v>
      </c>
      <c r="K293" s="46">
        <v>360</v>
      </c>
      <c r="L293" s="46">
        <v>2420</v>
      </c>
      <c r="M293">
        <f t="shared" si="25"/>
        <v>3.030673916971191E-2</v>
      </c>
      <c r="N293">
        <f t="shared" si="26"/>
        <v>0.12588953193572641</v>
      </c>
      <c r="O293">
        <f t="shared" si="27"/>
        <v>0.10957051853665076</v>
      </c>
      <c r="P293">
        <f t="shared" si="28"/>
        <v>6.585887550341242E-2</v>
      </c>
      <c r="Q293">
        <f t="shared" si="29"/>
        <v>4.1963177311908802E-2</v>
      </c>
      <c r="R293">
        <f t="shared" si="30"/>
        <v>0.28208580304116471</v>
      </c>
    </row>
    <row r="294" spans="1:18" hidden="1" x14ac:dyDescent="0.25">
      <c r="A294" s="46">
        <v>2020</v>
      </c>
      <c r="B294" s="56">
        <v>159</v>
      </c>
      <c r="C294" s="47" t="s">
        <v>63</v>
      </c>
      <c r="D294" s="47" t="s">
        <v>52</v>
      </c>
      <c r="E294" s="47" t="s">
        <v>49</v>
      </c>
      <c r="F294" s="46">
        <v>2080</v>
      </c>
      <c r="G294" s="46">
        <v>45</v>
      </c>
      <c r="H294" s="46">
        <v>155</v>
      </c>
      <c r="I294" s="46">
        <v>185</v>
      </c>
      <c r="J294" s="46">
        <v>110</v>
      </c>
      <c r="K294" s="46">
        <v>65</v>
      </c>
      <c r="L294" s="46">
        <v>1520</v>
      </c>
      <c r="M294">
        <f t="shared" si="25"/>
        <v>5.2453971639886002E-3</v>
      </c>
      <c r="N294">
        <f t="shared" si="26"/>
        <v>1.806747912040518E-2</v>
      </c>
      <c r="O294">
        <f t="shared" si="27"/>
        <v>2.1564410563064244E-2</v>
      </c>
      <c r="P294">
        <f t="shared" si="28"/>
        <v>1.2822081956416579E-2</v>
      </c>
      <c r="Q294">
        <f t="shared" si="29"/>
        <v>7.5766847924279776E-3</v>
      </c>
      <c r="R294">
        <f t="shared" si="30"/>
        <v>0.17717785976139272</v>
      </c>
    </row>
    <row r="295" spans="1:18" hidden="1" x14ac:dyDescent="0.25">
      <c r="A295" s="46">
        <v>2020</v>
      </c>
      <c r="B295" s="56">
        <v>159</v>
      </c>
      <c r="C295" s="47" t="s">
        <v>63</v>
      </c>
      <c r="D295" s="47" t="s">
        <v>52</v>
      </c>
      <c r="E295" s="47" t="s">
        <v>50</v>
      </c>
      <c r="F295" s="46">
        <v>1405</v>
      </c>
      <c r="G295" s="46">
        <v>5</v>
      </c>
      <c r="H295" s="46">
        <v>30</v>
      </c>
      <c r="I295" s="46">
        <v>40</v>
      </c>
      <c r="J295" s="46">
        <v>25</v>
      </c>
      <c r="K295" s="46">
        <v>25</v>
      </c>
      <c r="L295" s="46">
        <v>1280</v>
      </c>
      <c r="M295">
        <f t="shared" si="25"/>
        <v>5.8282190710984446E-4</v>
      </c>
      <c r="N295">
        <f t="shared" si="26"/>
        <v>3.4969314426590665E-3</v>
      </c>
      <c r="O295">
        <f t="shared" si="27"/>
        <v>4.6625752568787556E-3</v>
      </c>
      <c r="P295">
        <f t="shared" si="28"/>
        <v>2.914109535549222E-3</v>
      </c>
      <c r="Q295">
        <f t="shared" si="29"/>
        <v>2.914109535549222E-3</v>
      </c>
      <c r="R295">
        <f t="shared" si="30"/>
        <v>0.14920240822012018</v>
      </c>
    </row>
    <row r="296" spans="1:18" x14ac:dyDescent="0.25">
      <c r="A296" s="46">
        <v>2020</v>
      </c>
      <c r="B296" s="56">
        <v>159016</v>
      </c>
      <c r="C296" s="47" t="s">
        <v>64</v>
      </c>
      <c r="D296" s="47" t="s">
        <v>42</v>
      </c>
      <c r="E296" s="47" t="s">
        <v>43</v>
      </c>
      <c r="F296" s="46">
        <v>19050</v>
      </c>
      <c r="G296" s="46">
        <v>1165</v>
      </c>
      <c r="H296" s="46">
        <v>4930</v>
      </c>
      <c r="I296" s="46">
        <v>3700</v>
      </c>
      <c r="J296" s="46">
        <v>1915</v>
      </c>
      <c r="K296" s="46">
        <v>895</v>
      </c>
      <c r="L296" s="46">
        <v>6445</v>
      </c>
      <c r="M296">
        <f t="shared" si="25"/>
        <v>0.13579750435659374</v>
      </c>
      <c r="N296">
        <f t="shared" si="26"/>
        <v>0.5746624004103067</v>
      </c>
      <c r="O296">
        <f t="shared" si="27"/>
        <v>0.43128821126128492</v>
      </c>
      <c r="P296">
        <f t="shared" si="28"/>
        <v>0.22322079042307041</v>
      </c>
      <c r="Q296">
        <f t="shared" si="29"/>
        <v>0.10432512137266214</v>
      </c>
      <c r="R296">
        <f t="shared" si="30"/>
        <v>0.75125743826458957</v>
      </c>
    </row>
    <row r="297" spans="1:18" hidden="1" x14ac:dyDescent="0.25">
      <c r="A297" s="46">
        <v>2020</v>
      </c>
      <c r="B297" s="56">
        <v>159016</v>
      </c>
      <c r="C297" s="47" t="s">
        <v>64</v>
      </c>
      <c r="D297" s="47" t="s">
        <v>42</v>
      </c>
      <c r="E297" s="47" t="s">
        <v>44</v>
      </c>
      <c r="F297" s="46">
        <v>2385</v>
      </c>
      <c r="G297" s="46">
        <v>290</v>
      </c>
      <c r="H297" s="46">
        <v>980</v>
      </c>
      <c r="I297" s="46">
        <v>575</v>
      </c>
      <c r="J297" s="46">
        <v>260</v>
      </c>
      <c r="K297" s="46">
        <v>110</v>
      </c>
      <c r="L297" s="46">
        <v>165</v>
      </c>
      <c r="M297">
        <f t="shared" si="25"/>
        <v>3.3803670612370981E-2</v>
      </c>
      <c r="N297">
        <f t="shared" si="26"/>
        <v>0.11423309379352951</v>
      </c>
      <c r="O297">
        <f t="shared" si="27"/>
        <v>6.702451931763212E-2</v>
      </c>
      <c r="P297">
        <f t="shared" si="28"/>
        <v>3.030673916971191E-2</v>
      </c>
      <c r="Q297">
        <f t="shared" si="29"/>
        <v>1.2822081956416579E-2</v>
      </c>
      <c r="R297">
        <f t="shared" si="30"/>
        <v>1.9233122934624865E-2</v>
      </c>
    </row>
    <row r="298" spans="1:18" hidden="1" x14ac:dyDescent="0.25">
      <c r="A298" s="46">
        <v>2020</v>
      </c>
      <c r="B298" s="56">
        <v>159016</v>
      </c>
      <c r="C298" s="47" t="s">
        <v>64</v>
      </c>
      <c r="D298" s="47" t="s">
        <v>42</v>
      </c>
      <c r="E298" s="47" t="s">
        <v>45</v>
      </c>
      <c r="F298" s="46">
        <v>680</v>
      </c>
      <c r="G298" s="46">
        <v>55</v>
      </c>
      <c r="H298" s="46">
        <v>165</v>
      </c>
      <c r="I298" s="46">
        <v>165</v>
      </c>
      <c r="J298" s="46">
        <v>50</v>
      </c>
      <c r="K298" s="46">
        <v>20</v>
      </c>
      <c r="L298" s="46">
        <v>230</v>
      </c>
      <c r="M298">
        <f t="shared" si="25"/>
        <v>6.4110409782082893E-3</v>
      </c>
      <c r="N298">
        <f t="shared" si="26"/>
        <v>1.9233122934624865E-2</v>
      </c>
      <c r="O298">
        <f t="shared" si="27"/>
        <v>1.9233122934624865E-2</v>
      </c>
      <c r="P298">
        <f t="shared" si="28"/>
        <v>5.8282190710984439E-3</v>
      </c>
      <c r="Q298">
        <f t="shared" si="29"/>
        <v>2.3312876284393778E-3</v>
      </c>
      <c r="R298">
        <f t="shared" si="30"/>
        <v>2.6809807727052843E-2</v>
      </c>
    </row>
    <row r="299" spans="1:18" hidden="1" x14ac:dyDescent="0.25">
      <c r="A299" s="46">
        <v>2020</v>
      </c>
      <c r="B299" s="56">
        <v>159016</v>
      </c>
      <c r="C299" s="47" t="s">
        <v>64</v>
      </c>
      <c r="D299" s="47" t="s">
        <v>42</v>
      </c>
      <c r="E299" s="47" t="s">
        <v>46</v>
      </c>
      <c r="F299" s="46">
        <v>2225</v>
      </c>
      <c r="G299" s="46">
        <v>225</v>
      </c>
      <c r="H299" s="46">
        <v>905</v>
      </c>
      <c r="I299" s="46">
        <v>585</v>
      </c>
      <c r="J299" s="46">
        <v>160</v>
      </c>
      <c r="K299" s="46">
        <v>30</v>
      </c>
      <c r="L299" s="46">
        <v>320</v>
      </c>
      <c r="M299">
        <f t="shared" si="25"/>
        <v>2.6226985819943E-2</v>
      </c>
      <c r="N299">
        <f t="shared" si="26"/>
        <v>0.10549076518688183</v>
      </c>
      <c r="O299">
        <f t="shared" si="27"/>
        <v>6.8190163131851805E-2</v>
      </c>
      <c r="P299">
        <f t="shared" si="28"/>
        <v>1.8650301027515023E-2</v>
      </c>
      <c r="Q299">
        <f t="shared" si="29"/>
        <v>3.4969314426590665E-3</v>
      </c>
      <c r="R299">
        <f t="shared" si="30"/>
        <v>3.7300602055030045E-2</v>
      </c>
    </row>
    <row r="300" spans="1:18" hidden="1" x14ac:dyDescent="0.25">
      <c r="A300" s="46">
        <v>2020</v>
      </c>
      <c r="B300" s="56">
        <v>159016</v>
      </c>
      <c r="C300" s="47" t="s">
        <v>64</v>
      </c>
      <c r="D300" s="47" t="s">
        <v>42</v>
      </c>
      <c r="E300" s="47" t="s">
        <v>47</v>
      </c>
      <c r="F300" s="46">
        <v>3360</v>
      </c>
      <c r="G300" s="46">
        <v>265</v>
      </c>
      <c r="H300" s="46">
        <v>1230</v>
      </c>
      <c r="I300" s="46">
        <v>890</v>
      </c>
      <c r="J300" s="46">
        <v>475</v>
      </c>
      <c r="K300" s="46">
        <v>140</v>
      </c>
      <c r="L300" s="46">
        <v>355</v>
      </c>
      <c r="M300">
        <f t="shared" si="25"/>
        <v>3.0889561076821757E-2</v>
      </c>
      <c r="N300">
        <f t="shared" si="26"/>
        <v>0.14337418914902172</v>
      </c>
      <c r="O300">
        <f t="shared" si="27"/>
        <v>0.10374229946555232</v>
      </c>
      <c r="P300">
        <f t="shared" si="28"/>
        <v>5.5368081175435221E-2</v>
      </c>
      <c r="Q300">
        <f t="shared" si="29"/>
        <v>1.6319013399075644E-2</v>
      </c>
      <c r="R300">
        <f t="shared" si="30"/>
        <v>4.1380355404798952E-2</v>
      </c>
    </row>
    <row r="301" spans="1:18" hidden="1" x14ac:dyDescent="0.25">
      <c r="A301" s="46">
        <v>2020</v>
      </c>
      <c r="B301" s="56">
        <v>159016</v>
      </c>
      <c r="C301" s="47" t="s">
        <v>64</v>
      </c>
      <c r="D301" s="47" t="s">
        <v>42</v>
      </c>
      <c r="E301" s="47" t="s">
        <v>48</v>
      </c>
      <c r="F301" s="46">
        <v>6995</v>
      </c>
      <c r="G301" s="46">
        <v>285</v>
      </c>
      <c r="H301" s="46">
        <v>1455</v>
      </c>
      <c r="I301" s="46">
        <v>1290</v>
      </c>
      <c r="J301" s="46">
        <v>835</v>
      </c>
      <c r="K301" s="46">
        <v>515</v>
      </c>
      <c r="L301" s="46">
        <v>2615</v>
      </c>
      <c r="M301">
        <f t="shared" si="25"/>
        <v>3.3220848705261131E-2</v>
      </c>
      <c r="N301">
        <f t="shared" si="26"/>
        <v>0.16960117496896474</v>
      </c>
      <c r="O301">
        <f t="shared" si="27"/>
        <v>0.15036805203433987</v>
      </c>
      <c r="P301">
        <f t="shared" si="28"/>
        <v>9.7331258487344016E-2</v>
      </c>
      <c r="Q301">
        <f t="shared" si="29"/>
        <v>6.0030656432313978E-2</v>
      </c>
      <c r="R301">
        <f t="shared" si="30"/>
        <v>0.30481585741844863</v>
      </c>
    </row>
    <row r="302" spans="1:18" hidden="1" x14ac:dyDescent="0.25">
      <c r="A302" s="46">
        <v>2020</v>
      </c>
      <c r="B302" s="56">
        <v>159016</v>
      </c>
      <c r="C302" s="47" t="s">
        <v>64</v>
      </c>
      <c r="D302" s="47" t="s">
        <v>42</v>
      </c>
      <c r="E302" s="47" t="s">
        <v>49</v>
      </c>
      <c r="F302" s="46">
        <v>2080</v>
      </c>
      <c r="G302" s="46">
        <v>35</v>
      </c>
      <c r="H302" s="46">
        <v>160</v>
      </c>
      <c r="I302" s="46">
        <v>165</v>
      </c>
      <c r="J302" s="46">
        <v>125</v>
      </c>
      <c r="K302" s="46">
        <v>60</v>
      </c>
      <c r="L302" s="46">
        <v>1530</v>
      </c>
      <c r="M302">
        <f t="shared" si="25"/>
        <v>4.0797533497689111E-3</v>
      </c>
      <c r="N302">
        <f t="shared" si="26"/>
        <v>1.8650301027515023E-2</v>
      </c>
      <c r="O302">
        <f t="shared" si="27"/>
        <v>1.9233122934624865E-2</v>
      </c>
      <c r="P302">
        <f t="shared" si="28"/>
        <v>1.4570547677746111E-2</v>
      </c>
      <c r="Q302">
        <f t="shared" si="29"/>
        <v>6.993862885318133E-3</v>
      </c>
      <c r="R302">
        <f t="shared" si="30"/>
        <v>0.17834350357561241</v>
      </c>
    </row>
    <row r="303" spans="1:18" hidden="1" x14ac:dyDescent="0.25">
      <c r="A303" s="46">
        <v>2020</v>
      </c>
      <c r="B303" s="56">
        <v>159016</v>
      </c>
      <c r="C303" s="47" t="s">
        <v>64</v>
      </c>
      <c r="D303" s="47" t="s">
        <v>42</v>
      </c>
      <c r="E303" s="47" t="s">
        <v>50</v>
      </c>
      <c r="F303" s="46">
        <v>1330</v>
      </c>
      <c r="G303" s="46">
        <v>5</v>
      </c>
      <c r="H303" s="46">
        <v>30</v>
      </c>
      <c r="I303" s="46">
        <v>30</v>
      </c>
      <c r="J303" s="46">
        <v>15</v>
      </c>
      <c r="K303" s="46">
        <v>15</v>
      </c>
      <c r="L303" s="46">
        <v>1230</v>
      </c>
      <c r="M303">
        <f t="shared" si="25"/>
        <v>5.8282190710984446E-4</v>
      </c>
      <c r="N303">
        <f t="shared" si="26"/>
        <v>3.4969314426590665E-3</v>
      </c>
      <c r="O303">
        <f t="shared" si="27"/>
        <v>3.4969314426590665E-3</v>
      </c>
      <c r="P303">
        <f t="shared" si="28"/>
        <v>1.7484657213295333E-3</v>
      </c>
      <c r="Q303">
        <f t="shared" si="29"/>
        <v>1.7484657213295333E-3</v>
      </c>
      <c r="R303">
        <f t="shared" si="30"/>
        <v>0.14337418914902172</v>
      </c>
    </row>
    <row r="304" spans="1:18" hidden="1" x14ac:dyDescent="0.25">
      <c r="A304" s="46">
        <v>2020</v>
      </c>
      <c r="B304" s="56">
        <v>159016</v>
      </c>
      <c r="C304" s="47" t="s">
        <v>64</v>
      </c>
      <c r="D304" s="47" t="s">
        <v>51</v>
      </c>
      <c r="E304" s="47" t="s">
        <v>43</v>
      </c>
      <c r="F304" s="46">
        <v>9700</v>
      </c>
      <c r="G304" s="46">
        <v>575</v>
      </c>
      <c r="H304" s="46">
        <v>2425</v>
      </c>
      <c r="I304" s="46">
        <v>2105</v>
      </c>
      <c r="J304" s="46">
        <v>1015</v>
      </c>
      <c r="K304" s="46">
        <v>455</v>
      </c>
      <c r="L304" s="46">
        <v>3125</v>
      </c>
      <c r="M304">
        <f t="shared" si="25"/>
        <v>6.702451931763212E-2</v>
      </c>
      <c r="N304">
        <f t="shared" si="26"/>
        <v>0.28266862494827455</v>
      </c>
      <c r="O304">
        <f t="shared" si="27"/>
        <v>0.24536802289324453</v>
      </c>
      <c r="P304">
        <f t="shared" si="28"/>
        <v>0.11831284714329843</v>
      </c>
      <c r="Q304">
        <f t="shared" si="29"/>
        <v>5.3036793546995843E-2</v>
      </c>
      <c r="R304">
        <f t="shared" si="30"/>
        <v>0.36426369194365277</v>
      </c>
    </row>
    <row r="305" spans="1:18" hidden="1" x14ac:dyDescent="0.25">
      <c r="A305" s="46">
        <v>2020</v>
      </c>
      <c r="B305" s="56">
        <v>159016</v>
      </c>
      <c r="C305" s="47" t="s">
        <v>64</v>
      </c>
      <c r="D305" s="47" t="s">
        <v>51</v>
      </c>
      <c r="E305" s="47" t="s">
        <v>44</v>
      </c>
      <c r="F305" s="46">
        <v>1255</v>
      </c>
      <c r="G305" s="46">
        <v>150</v>
      </c>
      <c r="H305" s="46">
        <v>525</v>
      </c>
      <c r="I305" s="46">
        <v>295</v>
      </c>
      <c r="J305" s="46">
        <v>140</v>
      </c>
      <c r="K305" s="46">
        <v>65</v>
      </c>
      <c r="L305" s="46">
        <v>85</v>
      </c>
      <c r="M305">
        <f t="shared" si="25"/>
        <v>1.7484657213295333E-2</v>
      </c>
      <c r="N305">
        <f t="shared" si="26"/>
        <v>6.1196300246533664E-2</v>
      </c>
      <c r="O305">
        <f t="shared" si="27"/>
        <v>3.4386492519480824E-2</v>
      </c>
      <c r="P305">
        <f t="shared" si="28"/>
        <v>1.6319013399075644E-2</v>
      </c>
      <c r="Q305">
        <f t="shared" si="29"/>
        <v>7.5766847924279776E-3</v>
      </c>
      <c r="R305">
        <f t="shared" si="30"/>
        <v>9.9079724208673559E-3</v>
      </c>
    </row>
    <row r="306" spans="1:18" hidden="1" x14ac:dyDescent="0.25">
      <c r="A306" s="46">
        <v>2020</v>
      </c>
      <c r="B306" s="56">
        <v>159016</v>
      </c>
      <c r="C306" s="47" t="s">
        <v>64</v>
      </c>
      <c r="D306" s="47" t="s">
        <v>51</v>
      </c>
      <c r="E306" s="47" t="s">
        <v>45</v>
      </c>
      <c r="F306" s="46">
        <v>380</v>
      </c>
      <c r="G306" s="46">
        <v>35</v>
      </c>
      <c r="H306" s="46">
        <v>85</v>
      </c>
      <c r="I306" s="46">
        <v>100</v>
      </c>
      <c r="J306" s="46">
        <v>20</v>
      </c>
      <c r="K306" s="46">
        <v>10</v>
      </c>
      <c r="L306" s="46">
        <v>130</v>
      </c>
      <c r="M306">
        <f t="shared" si="25"/>
        <v>4.0797533497689111E-3</v>
      </c>
      <c r="N306">
        <f t="shared" si="26"/>
        <v>9.9079724208673559E-3</v>
      </c>
      <c r="O306">
        <f t="shared" si="27"/>
        <v>1.1656438142196888E-2</v>
      </c>
      <c r="P306">
        <f t="shared" si="28"/>
        <v>2.3312876284393778E-3</v>
      </c>
      <c r="Q306">
        <f t="shared" si="29"/>
        <v>1.1656438142196889E-3</v>
      </c>
      <c r="R306">
        <f t="shared" si="30"/>
        <v>1.5153369584855955E-2</v>
      </c>
    </row>
    <row r="307" spans="1:18" hidden="1" x14ac:dyDescent="0.25">
      <c r="A307" s="46">
        <v>2020</v>
      </c>
      <c r="B307" s="56">
        <v>159016</v>
      </c>
      <c r="C307" s="47" t="s">
        <v>64</v>
      </c>
      <c r="D307" s="47" t="s">
        <v>51</v>
      </c>
      <c r="E307" s="47" t="s">
        <v>46</v>
      </c>
      <c r="F307" s="46">
        <v>1120</v>
      </c>
      <c r="G307" s="46">
        <v>95</v>
      </c>
      <c r="H307" s="46">
        <v>390</v>
      </c>
      <c r="I307" s="46">
        <v>365</v>
      </c>
      <c r="J307" s="46">
        <v>105</v>
      </c>
      <c r="K307" s="46">
        <v>15</v>
      </c>
      <c r="L307" s="46">
        <v>150</v>
      </c>
      <c r="M307">
        <f t="shared" si="25"/>
        <v>1.1073616235087045E-2</v>
      </c>
      <c r="N307">
        <f t="shared" si="26"/>
        <v>4.5460108754567866E-2</v>
      </c>
      <c r="O307">
        <f t="shared" si="27"/>
        <v>4.2545999219018645E-2</v>
      </c>
      <c r="P307">
        <f t="shared" si="28"/>
        <v>1.2239260049306732E-2</v>
      </c>
      <c r="Q307">
        <f t="shared" si="29"/>
        <v>1.7484657213295333E-3</v>
      </c>
      <c r="R307">
        <f t="shared" si="30"/>
        <v>1.7484657213295333E-2</v>
      </c>
    </row>
    <row r="308" spans="1:18" hidden="1" x14ac:dyDescent="0.25">
      <c r="A308" s="46">
        <v>2020</v>
      </c>
      <c r="B308" s="56">
        <v>159016</v>
      </c>
      <c r="C308" s="47" t="s">
        <v>64</v>
      </c>
      <c r="D308" s="47" t="s">
        <v>51</v>
      </c>
      <c r="E308" s="47" t="s">
        <v>47</v>
      </c>
      <c r="F308" s="46">
        <v>1655</v>
      </c>
      <c r="G308" s="46">
        <v>120</v>
      </c>
      <c r="H308" s="46">
        <v>560</v>
      </c>
      <c r="I308" s="46">
        <v>500</v>
      </c>
      <c r="J308" s="46">
        <v>220</v>
      </c>
      <c r="K308" s="46">
        <v>65</v>
      </c>
      <c r="L308" s="46">
        <v>185</v>
      </c>
      <c r="M308">
        <f t="shared" si="25"/>
        <v>1.3987725770636266E-2</v>
      </c>
      <c r="N308">
        <f t="shared" si="26"/>
        <v>6.5276053596302577E-2</v>
      </c>
      <c r="O308">
        <f t="shared" si="27"/>
        <v>5.8282190710984443E-2</v>
      </c>
      <c r="P308">
        <f t="shared" si="28"/>
        <v>2.5644163912833157E-2</v>
      </c>
      <c r="Q308">
        <f t="shared" si="29"/>
        <v>7.5766847924279776E-3</v>
      </c>
      <c r="R308">
        <f t="shared" si="30"/>
        <v>2.1564410563064244E-2</v>
      </c>
    </row>
    <row r="309" spans="1:18" hidden="1" x14ac:dyDescent="0.25">
      <c r="A309" s="46">
        <v>2020</v>
      </c>
      <c r="B309" s="56">
        <v>159016</v>
      </c>
      <c r="C309" s="47" t="s">
        <v>64</v>
      </c>
      <c r="D309" s="47" t="s">
        <v>51</v>
      </c>
      <c r="E309" s="47" t="s">
        <v>48</v>
      </c>
      <c r="F309" s="46">
        <v>3590</v>
      </c>
      <c r="G309" s="46">
        <v>150</v>
      </c>
      <c r="H309" s="46">
        <v>760</v>
      </c>
      <c r="I309" s="46">
        <v>735</v>
      </c>
      <c r="J309" s="46">
        <v>455</v>
      </c>
      <c r="K309" s="46">
        <v>265</v>
      </c>
      <c r="L309" s="46">
        <v>1225</v>
      </c>
      <c r="M309">
        <f t="shared" si="25"/>
        <v>1.7484657213295333E-2</v>
      </c>
      <c r="N309">
        <f t="shared" si="26"/>
        <v>8.858892988069636E-2</v>
      </c>
      <c r="O309">
        <f t="shared" si="27"/>
        <v>8.5674820345147132E-2</v>
      </c>
      <c r="P309">
        <f t="shared" si="28"/>
        <v>5.3036793546995843E-2</v>
      </c>
      <c r="Q309">
        <f t="shared" si="29"/>
        <v>3.0889561076821757E-2</v>
      </c>
      <c r="R309">
        <f t="shared" si="30"/>
        <v>0.14279136724191188</v>
      </c>
    </row>
    <row r="310" spans="1:18" hidden="1" x14ac:dyDescent="0.25">
      <c r="A310" s="46">
        <v>2020</v>
      </c>
      <c r="B310" s="56">
        <v>159016</v>
      </c>
      <c r="C310" s="47" t="s">
        <v>64</v>
      </c>
      <c r="D310" s="47" t="s">
        <v>51</v>
      </c>
      <c r="E310" s="47" t="s">
        <v>49</v>
      </c>
      <c r="F310" s="46">
        <v>1085</v>
      </c>
      <c r="G310" s="46">
        <v>20</v>
      </c>
      <c r="H310" s="46">
        <v>95</v>
      </c>
      <c r="I310" s="46">
        <v>90</v>
      </c>
      <c r="J310" s="46">
        <v>75</v>
      </c>
      <c r="K310" s="46">
        <v>30</v>
      </c>
      <c r="L310" s="46">
        <v>775</v>
      </c>
      <c r="M310">
        <f t="shared" si="25"/>
        <v>2.3312876284393778E-3</v>
      </c>
      <c r="N310">
        <f t="shared" si="26"/>
        <v>1.1073616235087045E-2</v>
      </c>
      <c r="O310">
        <f t="shared" si="27"/>
        <v>1.04907943279772E-2</v>
      </c>
      <c r="P310">
        <f t="shared" si="28"/>
        <v>8.7423286066476667E-3</v>
      </c>
      <c r="Q310">
        <f t="shared" si="29"/>
        <v>3.4969314426590665E-3</v>
      </c>
      <c r="R310">
        <f t="shared" si="30"/>
        <v>9.0337395602025888E-2</v>
      </c>
    </row>
    <row r="311" spans="1:18" hidden="1" x14ac:dyDescent="0.25">
      <c r="A311" s="46">
        <v>2020</v>
      </c>
      <c r="B311" s="56">
        <v>159016</v>
      </c>
      <c r="C311" s="47" t="s">
        <v>64</v>
      </c>
      <c r="D311" s="47" t="s">
        <v>51</v>
      </c>
      <c r="E311" s="47" t="s">
        <v>50</v>
      </c>
      <c r="F311" s="46">
        <v>620</v>
      </c>
      <c r="G311" s="46">
        <v>5</v>
      </c>
      <c r="H311" s="46">
        <v>15</v>
      </c>
      <c r="I311" s="46">
        <v>10</v>
      </c>
      <c r="J311" s="46">
        <v>5</v>
      </c>
      <c r="K311" s="46">
        <v>5</v>
      </c>
      <c r="L311" s="46">
        <v>575</v>
      </c>
      <c r="M311">
        <f t="shared" si="25"/>
        <v>5.8282190710984446E-4</v>
      </c>
      <c r="N311">
        <f t="shared" si="26"/>
        <v>1.7484657213295333E-3</v>
      </c>
      <c r="O311">
        <f t="shared" si="27"/>
        <v>1.1656438142196889E-3</v>
      </c>
      <c r="P311">
        <f t="shared" si="28"/>
        <v>5.8282190710984446E-4</v>
      </c>
      <c r="Q311">
        <f t="shared" si="29"/>
        <v>5.8282190710984446E-4</v>
      </c>
      <c r="R311">
        <f t="shared" si="30"/>
        <v>6.702451931763212E-2</v>
      </c>
    </row>
    <row r="312" spans="1:18" hidden="1" x14ac:dyDescent="0.25">
      <c r="A312" s="46">
        <v>2020</v>
      </c>
      <c r="B312" s="56">
        <v>159016</v>
      </c>
      <c r="C312" s="47" t="s">
        <v>64</v>
      </c>
      <c r="D312" s="47" t="s">
        <v>52</v>
      </c>
      <c r="E312" s="47" t="s">
        <v>43</v>
      </c>
      <c r="F312" s="46">
        <v>9350</v>
      </c>
      <c r="G312" s="46">
        <v>590</v>
      </c>
      <c r="H312" s="46">
        <v>2505</v>
      </c>
      <c r="I312" s="46">
        <v>1595</v>
      </c>
      <c r="J312" s="46">
        <v>900</v>
      </c>
      <c r="K312" s="46">
        <v>440</v>
      </c>
      <c r="L312" s="46">
        <v>3320</v>
      </c>
      <c r="M312">
        <f t="shared" si="25"/>
        <v>6.8772985038961648E-2</v>
      </c>
      <c r="N312">
        <f t="shared" si="26"/>
        <v>0.29199377546203209</v>
      </c>
      <c r="O312">
        <f t="shared" si="27"/>
        <v>0.18592018836804039</v>
      </c>
      <c r="P312">
        <f t="shared" si="28"/>
        <v>0.104907943279772</v>
      </c>
      <c r="Q312">
        <f t="shared" si="29"/>
        <v>5.1288327825666315E-2</v>
      </c>
      <c r="R312">
        <f t="shared" si="30"/>
        <v>0.38699374632093669</v>
      </c>
    </row>
    <row r="313" spans="1:18" hidden="1" x14ac:dyDescent="0.25">
      <c r="A313" s="46">
        <v>2020</v>
      </c>
      <c r="B313" s="56">
        <v>159016</v>
      </c>
      <c r="C313" s="47" t="s">
        <v>64</v>
      </c>
      <c r="D313" s="47" t="s">
        <v>52</v>
      </c>
      <c r="E313" s="47" t="s">
        <v>44</v>
      </c>
      <c r="F313" s="46">
        <v>1130</v>
      </c>
      <c r="G313" s="46">
        <v>140</v>
      </c>
      <c r="H313" s="46">
        <v>460</v>
      </c>
      <c r="I313" s="46">
        <v>280</v>
      </c>
      <c r="J313" s="46">
        <v>120</v>
      </c>
      <c r="K313" s="46">
        <v>50</v>
      </c>
      <c r="L313" s="46">
        <v>80</v>
      </c>
      <c r="M313">
        <f t="shared" si="25"/>
        <v>1.6319013399075644E-2</v>
      </c>
      <c r="N313">
        <f t="shared" si="26"/>
        <v>5.3619615454105686E-2</v>
      </c>
      <c r="O313">
        <f t="shared" si="27"/>
        <v>3.2638026798151289E-2</v>
      </c>
      <c r="P313">
        <f t="shared" si="28"/>
        <v>1.3987725770636266E-2</v>
      </c>
      <c r="Q313">
        <f t="shared" si="29"/>
        <v>5.8282190710984439E-3</v>
      </c>
      <c r="R313">
        <f t="shared" si="30"/>
        <v>9.3251505137575113E-3</v>
      </c>
    </row>
    <row r="314" spans="1:18" hidden="1" x14ac:dyDescent="0.25">
      <c r="A314" s="46">
        <v>2020</v>
      </c>
      <c r="B314" s="56">
        <v>159016</v>
      </c>
      <c r="C314" s="47" t="s">
        <v>64</v>
      </c>
      <c r="D314" s="47" t="s">
        <v>52</v>
      </c>
      <c r="E314" s="47" t="s">
        <v>45</v>
      </c>
      <c r="F314" s="46">
        <v>300</v>
      </c>
      <c r="G314" s="46">
        <v>20</v>
      </c>
      <c r="H314" s="46">
        <v>80</v>
      </c>
      <c r="I314" s="46">
        <v>65</v>
      </c>
      <c r="J314" s="46">
        <v>30</v>
      </c>
      <c r="K314" s="46">
        <v>10</v>
      </c>
      <c r="L314" s="46">
        <v>95</v>
      </c>
      <c r="M314">
        <f t="shared" si="25"/>
        <v>2.3312876284393778E-3</v>
      </c>
      <c r="N314">
        <f t="shared" si="26"/>
        <v>9.3251505137575113E-3</v>
      </c>
      <c r="O314">
        <f t="shared" si="27"/>
        <v>7.5766847924279776E-3</v>
      </c>
      <c r="P314">
        <f t="shared" si="28"/>
        <v>3.4969314426590665E-3</v>
      </c>
      <c r="Q314">
        <f t="shared" si="29"/>
        <v>1.1656438142196889E-3</v>
      </c>
      <c r="R314">
        <f t="shared" si="30"/>
        <v>1.1073616235087045E-2</v>
      </c>
    </row>
    <row r="315" spans="1:18" hidden="1" x14ac:dyDescent="0.25">
      <c r="A315" s="46">
        <v>2020</v>
      </c>
      <c r="B315" s="56">
        <v>159016</v>
      </c>
      <c r="C315" s="47" t="s">
        <v>64</v>
      </c>
      <c r="D315" s="47" t="s">
        <v>52</v>
      </c>
      <c r="E315" s="47" t="s">
        <v>46</v>
      </c>
      <c r="F315" s="46">
        <v>1100</v>
      </c>
      <c r="G315" s="46">
        <v>130</v>
      </c>
      <c r="H315" s="46">
        <v>515</v>
      </c>
      <c r="I315" s="46">
        <v>215</v>
      </c>
      <c r="J315" s="46">
        <v>55</v>
      </c>
      <c r="K315" s="46">
        <v>15</v>
      </c>
      <c r="L315" s="46">
        <v>170</v>
      </c>
      <c r="M315">
        <f t="shared" si="25"/>
        <v>1.5153369584855955E-2</v>
      </c>
      <c r="N315">
        <f t="shared" si="26"/>
        <v>6.0030656432313978E-2</v>
      </c>
      <c r="O315">
        <f t="shared" si="27"/>
        <v>2.5061342005723308E-2</v>
      </c>
      <c r="P315">
        <f t="shared" si="28"/>
        <v>6.4110409782082893E-3</v>
      </c>
      <c r="Q315">
        <f t="shared" si="29"/>
        <v>1.7484657213295333E-3</v>
      </c>
      <c r="R315">
        <f t="shared" si="30"/>
        <v>1.9815944841734712E-2</v>
      </c>
    </row>
    <row r="316" spans="1:18" hidden="1" x14ac:dyDescent="0.25">
      <c r="A316" s="46">
        <v>2020</v>
      </c>
      <c r="B316" s="56">
        <v>159016</v>
      </c>
      <c r="C316" s="47" t="s">
        <v>64</v>
      </c>
      <c r="D316" s="47" t="s">
        <v>52</v>
      </c>
      <c r="E316" s="47" t="s">
        <v>47</v>
      </c>
      <c r="F316" s="46">
        <v>1705</v>
      </c>
      <c r="G316" s="46">
        <v>145</v>
      </c>
      <c r="H316" s="46">
        <v>670</v>
      </c>
      <c r="I316" s="46">
        <v>385</v>
      </c>
      <c r="J316" s="46">
        <v>260</v>
      </c>
      <c r="K316" s="46">
        <v>75</v>
      </c>
      <c r="L316" s="46">
        <v>170</v>
      </c>
      <c r="M316">
        <f t="shared" si="25"/>
        <v>1.6901835306185491E-2</v>
      </c>
      <c r="N316">
        <f t="shared" si="26"/>
        <v>7.8098135552719161E-2</v>
      </c>
      <c r="O316">
        <f t="shared" si="27"/>
        <v>4.4877286847458023E-2</v>
      </c>
      <c r="P316">
        <f t="shared" si="28"/>
        <v>3.030673916971191E-2</v>
      </c>
      <c r="Q316">
        <f t="shared" si="29"/>
        <v>8.7423286066476667E-3</v>
      </c>
      <c r="R316">
        <f t="shared" si="30"/>
        <v>1.9815944841734712E-2</v>
      </c>
    </row>
    <row r="317" spans="1:18" hidden="1" x14ac:dyDescent="0.25">
      <c r="A317" s="46">
        <v>2020</v>
      </c>
      <c r="B317" s="56">
        <v>159016</v>
      </c>
      <c r="C317" s="47" t="s">
        <v>64</v>
      </c>
      <c r="D317" s="47" t="s">
        <v>52</v>
      </c>
      <c r="E317" s="47" t="s">
        <v>48</v>
      </c>
      <c r="F317" s="46">
        <v>3405</v>
      </c>
      <c r="G317" s="46">
        <v>135</v>
      </c>
      <c r="H317" s="46">
        <v>700</v>
      </c>
      <c r="I317" s="46">
        <v>555</v>
      </c>
      <c r="J317" s="46">
        <v>380</v>
      </c>
      <c r="K317" s="46">
        <v>255</v>
      </c>
      <c r="L317" s="46">
        <v>1390</v>
      </c>
      <c r="M317">
        <f t="shared" si="25"/>
        <v>1.5736191491965801E-2</v>
      </c>
      <c r="N317">
        <f t="shared" si="26"/>
        <v>8.1595066995378218E-2</v>
      </c>
      <c r="O317">
        <f t="shared" si="27"/>
        <v>6.4693231689192734E-2</v>
      </c>
      <c r="P317">
        <f t="shared" si="28"/>
        <v>4.429446494034818E-2</v>
      </c>
      <c r="Q317">
        <f t="shared" si="29"/>
        <v>2.9723917262602068E-2</v>
      </c>
      <c r="R317">
        <f t="shared" si="30"/>
        <v>0.16202449017653675</v>
      </c>
    </row>
    <row r="318" spans="1:18" hidden="1" x14ac:dyDescent="0.25">
      <c r="A318" s="46">
        <v>2020</v>
      </c>
      <c r="B318" s="56">
        <v>159016</v>
      </c>
      <c r="C318" s="47" t="s">
        <v>64</v>
      </c>
      <c r="D318" s="47" t="s">
        <v>52</v>
      </c>
      <c r="E318" s="47" t="s">
        <v>49</v>
      </c>
      <c r="F318" s="46">
        <v>1000</v>
      </c>
      <c r="G318" s="46">
        <v>20</v>
      </c>
      <c r="H318" s="46">
        <v>70</v>
      </c>
      <c r="I318" s="46">
        <v>75</v>
      </c>
      <c r="J318" s="46">
        <v>50</v>
      </c>
      <c r="K318" s="46">
        <v>30</v>
      </c>
      <c r="L318" s="46">
        <v>760</v>
      </c>
      <c r="M318">
        <f t="shared" si="25"/>
        <v>2.3312876284393778E-3</v>
      </c>
      <c r="N318">
        <f t="shared" si="26"/>
        <v>8.1595066995378222E-3</v>
      </c>
      <c r="O318">
        <f t="shared" si="27"/>
        <v>8.7423286066476667E-3</v>
      </c>
      <c r="P318">
        <f t="shared" si="28"/>
        <v>5.8282190710984439E-3</v>
      </c>
      <c r="Q318">
        <f t="shared" si="29"/>
        <v>3.4969314426590665E-3</v>
      </c>
      <c r="R318">
        <f t="shared" si="30"/>
        <v>8.858892988069636E-2</v>
      </c>
    </row>
    <row r="319" spans="1:18" hidden="1" x14ac:dyDescent="0.25">
      <c r="A319" s="46">
        <v>2020</v>
      </c>
      <c r="B319" s="56">
        <v>159016</v>
      </c>
      <c r="C319" s="47" t="s">
        <v>64</v>
      </c>
      <c r="D319" s="47" t="s">
        <v>52</v>
      </c>
      <c r="E319" s="47" t="s">
        <v>50</v>
      </c>
      <c r="F319" s="46">
        <v>710</v>
      </c>
      <c r="G319" s="46">
        <v>5</v>
      </c>
      <c r="H319" s="46">
        <v>15</v>
      </c>
      <c r="I319" s="46">
        <v>20</v>
      </c>
      <c r="J319" s="46">
        <v>10</v>
      </c>
      <c r="K319" s="46">
        <v>10</v>
      </c>
      <c r="L319" s="46">
        <v>655</v>
      </c>
      <c r="M319">
        <f t="shared" si="25"/>
        <v>5.8282190710984446E-4</v>
      </c>
      <c r="N319">
        <f t="shared" si="26"/>
        <v>1.7484657213295333E-3</v>
      </c>
      <c r="O319">
        <f t="shared" si="27"/>
        <v>2.3312876284393778E-3</v>
      </c>
      <c r="P319">
        <f t="shared" si="28"/>
        <v>1.1656438142196889E-3</v>
      </c>
      <c r="Q319">
        <f t="shared" si="29"/>
        <v>1.1656438142196889E-3</v>
      </c>
      <c r="R319">
        <f t="shared" si="30"/>
        <v>7.6349669831389619E-2</v>
      </c>
    </row>
    <row r="320" spans="1:18" x14ac:dyDescent="0.25">
      <c r="A320" s="46">
        <v>2020</v>
      </c>
      <c r="B320" s="56">
        <v>2</v>
      </c>
      <c r="C320" s="47" t="s">
        <v>65</v>
      </c>
      <c r="D320" s="47" t="s">
        <v>42</v>
      </c>
      <c r="E320" s="47" t="s">
        <v>43</v>
      </c>
      <c r="F320" s="46">
        <v>277860</v>
      </c>
      <c r="G320" s="46">
        <v>10050</v>
      </c>
      <c r="H320" s="46">
        <v>49740</v>
      </c>
      <c r="I320" s="46">
        <v>55350</v>
      </c>
      <c r="J320" s="46">
        <v>26910</v>
      </c>
      <c r="K320" s="46">
        <v>15500</v>
      </c>
      <c r="L320" s="46">
        <v>120305</v>
      </c>
      <c r="M320">
        <f t="shared" si="25"/>
        <v>1.1714720332907873</v>
      </c>
      <c r="N320">
        <f t="shared" si="26"/>
        <v>5.7979123319287327</v>
      </c>
      <c r="O320">
        <f t="shared" si="27"/>
        <v>6.4518385117059776</v>
      </c>
      <c r="P320">
        <f t="shared" si="28"/>
        <v>3.1367475040651827</v>
      </c>
      <c r="Q320">
        <f t="shared" si="29"/>
        <v>1.8067479120405177</v>
      </c>
      <c r="R320">
        <f t="shared" si="30"/>
        <v>14.023277906969966</v>
      </c>
    </row>
    <row r="321" spans="1:18" hidden="1" x14ac:dyDescent="0.25">
      <c r="A321" s="46">
        <v>2020</v>
      </c>
      <c r="B321" s="56">
        <v>2</v>
      </c>
      <c r="C321" s="47" t="s">
        <v>65</v>
      </c>
      <c r="D321" s="47" t="s">
        <v>42</v>
      </c>
      <c r="E321" s="47" t="s">
        <v>44</v>
      </c>
      <c r="F321" s="46">
        <v>39705</v>
      </c>
      <c r="G321" s="46">
        <v>2985</v>
      </c>
      <c r="H321" s="46">
        <v>14560</v>
      </c>
      <c r="I321" s="46">
        <v>12670</v>
      </c>
      <c r="J321" s="46">
        <v>4595</v>
      </c>
      <c r="K321" s="46">
        <v>2380</v>
      </c>
      <c r="L321" s="46">
        <v>2520</v>
      </c>
      <c r="M321">
        <f t="shared" si="25"/>
        <v>0.34794467854457717</v>
      </c>
      <c r="N321">
        <f t="shared" si="26"/>
        <v>1.697177393503867</v>
      </c>
      <c r="O321">
        <f t="shared" si="27"/>
        <v>1.4768707126163458</v>
      </c>
      <c r="P321">
        <f t="shared" si="28"/>
        <v>0.53561333263394706</v>
      </c>
      <c r="Q321">
        <f t="shared" si="29"/>
        <v>0.27742322778428596</v>
      </c>
      <c r="R321">
        <f t="shared" si="30"/>
        <v>0.29374224118336162</v>
      </c>
    </row>
    <row r="322" spans="1:18" hidden="1" x14ac:dyDescent="0.25">
      <c r="A322" s="46">
        <v>2020</v>
      </c>
      <c r="B322" s="56">
        <v>2</v>
      </c>
      <c r="C322" s="47" t="s">
        <v>65</v>
      </c>
      <c r="D322" s="47" t="s">
        <v>42</v>
      </c>
      <c r="E322" s="47" t="s">
        <v>45</v>
      </c>
      <c r="F322" s="46">
        <v>12260</v>
      </c>
      <c r="G322" s="46">
        <v>615</v>
      </c>
      <c r="H322" s="46">
        <v>2740</v>
      </c>
      <c r="I322" s="46">
        <v>3685</v>
      </c>
      <c r="J322" s="46">
        <v>1300</v>
      </c>
      <c r="K322" s="46">
        <v>685</v>
      </c>
      <c r="L322" s="46">
        <v>3235</v>
      </c>
      <c r="M322">
        <f t="shared" si="25"/>
        <v>7.1687094574510862E-2</v>
      </c>
      <c r="N322">
        <f t="shared" si="26"/>
        <v>0.31938640509619476</v>
      </c>
      <c r="O322">
        <f t="shared" si="27"/>
        <v>0.42953974553995533</v>
      </c>
      <c r="P322">
        <f t="shared" si="28"/>
        <v>0.15153369584855955</v>
      </c>
      <c r="Q322">
        <f t="shared" si="29"/>
        <v>7.984660127404869E-2</v>
      </c>
      <c r="R322">
        <f t="shared" si="30"/>
        <v>0.37708577390006937</v>
      </c>
    </row>
    <row r="323" spans="1:18" hidden="1" x14ac:dyDescent="0.25">
      <c r="A323" s="46">
        <v>2020</v>
      </c>
      <c r="B323" s="56">
        <v>2</v>
      </c>
      <c r="C323" s="47" t="s">
        <v>65</v>
      </c>
      <c r="D323" s="47" t="s">
        <v>42</v>
      </c>
      <c r="E323" s="47" t="s">
        <v>46</v>
      </c>
      <c r="F323" s="46">
        <v>21630</v>
      </c>
      <c r="G323" s="46">
        <v>1305</v>
      </c>
      <c r="H323" s="46">
        <v>6245</v>
      </c>
      <c r="I323" s="46">
        <v>6600</v>
      </c>
      <c r="J323" s="46">
        <v>1435</v>
      </c>
      <c r="K323" s="46">
        <v>670</v>
      </c>
      <c r="L323" s="46">
        <v>5375</v>
      </c>
      <c r="M323">
        <f t="shared" si="25"/>
        <v>0.15211651775566939</v>
      </c>
      <c r="N323">
        <f t="shared" si="26"/>
        <v>0.72794456198019575</v>
      </c>
      <c r="O323">
        <f t="shared" si="27"/>
        <v>0.76932491738499464</v>
      </c>
      <c r="P323">
        <f t="shared" si="28"/>
        <v>0.16726988734052536</v>
      </c>
      <c r="Q323">
        <f t="shared" si="29"/>
        <v>7.8098135552719161E-2</v>
      </c>
      <c r="R323">
        <f t="shared" si="30"/>
        <v>0.62653355014308276</v>
      </c>
    </row>
    <row r="324" spans="1:18" hidden="1" x14ac:dyDescent="0.25">
      <c r="A324" s="46">
        <v>2020</v>
      </c>
      <c r="B324" s="56">
        <v>2</v>
      </c>
      <c r="C324" s="47" t="s">
        <v>65</v>
      </c>
      <c r="D324" s="47" t="s">
        <v>42</v>
      </c>
      <c r="E324" s="47" t="s">
        <v>47</v>
      </c>
      <c r="F324" s="46">
        <v>29385</v>
      </c>
      <c r="G324" s="46">
        <v>1360</v>
      </c>
      <c r="H324" s="46">
        <v>7390</v>
      </c>
      <c r="I324" s="46">
        <v>8970</v>
      </c>
      <c r="J324" s="46">
        <v>4150</v>
      </c>
      <c r="K324" s="46">
        <v>1640</v>
      </c>
      <c r="L324" s="46">
        <v>5870</v>
      </c>
      <c r="M324">
        <f t="shared" si="25"/>
        <v>0.15852755873387769</v>
      </c>
      <c r="N324">
        <f t="shared" si="26"/>
        <v>0.86141077870835003</v>
      </c>
      <c r="O324">
        <f t="shared" si="27"/>
        <v>1.0455825013550608</v>
      </c>
      <c r="P324">
        <f t="shared" si="28"/>
        <v>0.48374218290117088</v>
      </c>
      <c r="Q324">
        <f t="shared" si="29"/>
        <v>0.19116558553202898</v>
      </c>
      <c r="R324">
        <f t="shared" si="30"/>
        <v>0.68423291894695737</v>
      </c>
    </row>
    <row r="325" spans="1:18" hidden="1" x14ac:dyDescent="0.25">
      <c r="A325" s="46">
        <v>2020</v>
      </c>
      <c r="B325" s="56">
        <v>2</v>
      </c>
      <c r="C325" s="47" t="s">
        <v>65</v>
      </c>
      <c r="D325" s="47" t="s">
        <v>42</v>
      </c>
      <c r="E325" s="47" t="s">
        <v>48</v>
      </c>
      <c r="F325" s="46">
        <v>103045</v>
      </c>
      <c r="G325" s="46">
        <v>3030</v>
      </c>
      <c r="H325" s="46">
        <v>15080</v>
      </c>
      <c r="I325" s="46">
        <v>19100</v>
      </c>
      <c r="J325" s="46">
        <v>12165</v>
      </c>
      <c r="K325" s="46">
        <v>7935</v>
      </c>
      <c r="L325" s="46">
        <v>45735</v>
      </c>
      <c r="M325">
        <f t="shared" si="25"/>
        <v>0.35319007570856575</v>
      </c>
      <c r="N325">
        <f t="shared" si="26"/>
        <v>1.7577908718432911</v>
      </c>
      <c r="O325">
        <f t="shared" si="27"/>
        <v>2.2263796851596056</v>
      </c>
      <c r="P325">
        <f t="shared" si="28"/>
        <v>1.4180056999982515</v>
      </c>
      <c r="Q325">
        <f t="shared" si="29"/>
        <v>0.92493836658332307</v>
      </c>
      <c r="R325">
        <f t="shared" si="30"/>
        <v>5.3310719843337466</v>
      </c>
    </row>
    <row r="326" spans="1:18" hidden="1" x14ac:dyDescent="0.25">
      <c r="A326" s="46">
        <v>2020</v>
      </c>
      <c r="B326" s="56">
        <v>2</v>
      </c>
      <c r="C326" s="47" t="s">
        <v>65</v>
      </c>
      <c r="D326" s="47" t="s">
        <v>42</v>
      </c>
      <c r="E326" s="47" t="s">
        <v>49</v>
      </c>
      <c r="F326" s="46">
        <v>44690</v>
      </c>
      <c r="G326" s="46">
        <v>645</v>
      </c>
      <c r="H326" s="46">
        <v>3180</v>
      </c>
      <c r="I326" s="46">
        <v>3620</v>
      </c>
      <c r="J326" s="46">
        <v>2690</v>
      </c>
      <c r="K326" s="46">
        <v>1805</v>
      </c>
      <c r="L326" s="46">
        <v>32745</v>
      </c>
      <c r="M326">
        <f t="shared" si="25"/>
        <v>7.5184026017169933E-2</v>
      </c>
      <c r="N326">
        <f t="shared" si="26"/>
        <v>0.37067473292186104</v>
      </c>
      <c r="O326">
        <f t="shared" si="27"/>
        <v>0.42196306074752732</v>
      </c>
      <c r="P326">
        <f t="shared" si="28"/>
        <v>0.31355818602509633</v>
      </c>
      <c r="Q326">
        <f t="shared" si="29"/>
        <v>0.21039870846665384</v>
      </c>
      <c r="R326">
        <f t="shared" si="30"/>
        <v>3.8169006696623717</v>
      </c>
    </row>
    <row r="327" spans="1:18" hidden="1" x14ac:dyDescent="0.25">
      <c r="A327" s="46">
        <v>2020</v>
      </c>
      <c r="B327" s="56">
        <v>2</v>
      </c>
      <c r="C327" s="47" t="s">
        <v>65</v>
      </c>
      <c r="D327" s="47" t="s">
        <v>42</v>
      </c>
      <c r="E327" s="47" t="s">
        <v>50</v>
      </c>
      <c r="F327" s="46">
        <v>27150</v>
      </c>
      <c r="G327" s="46">
        <v>110</v>
      </c>
      <c r="H327" s="46">
        <v>545</v>
      </c>
      <c r="I327" s="46">
        <v>700</v>
      </c>
      <c r="J327" s="46">
        <v>575</v>
      </c>
      <c r="K327" s="46">
        <v>395</v>
      </c>
      <c r="L327" s="46">
        <v>24825</v>
      </c>
      <c r="M327">
        <f t="shared" si="25"/>
        <v>1.2822081956416579E-2</v>
      </c>
      <c r="N327">
        <f t="shared" si="26"/>
        <v>6.3527587874973049E-2</v>
      </c>
      <c r="O327">
        <f t="shared" si="27"/>
        <v>8.1595066995378218E-2</v>
      </c>
      <c r="P327">
        <f t="shared" si="28"/>
        <v>6.702451931763212E-2</v>
      </c>
      <c r="Q327">
        <f t="shared" si="29"/>
        <v>4.6042930661677708E-2</v>
      </c>
      <c r="R327">
        <f t="shared" si="30"/>
        <v>2.8937107688003776</v>
      </c>
    </row>
    <row r="328" spans="1:18" hidden="1" x14ac:dyDescent="0.25">
      <c r="A328" s="46">
        <v>2020</v>
      </c>
      <c r="B328" s="56">
        <v>2</v>
      </c>
      <c r="C328" s="47" t="s">
        <v>65</v>
      </c>
      <c r="D328" s="47" t="s">
        <v>51</v>
      </c>
      <c r="E328" s="47" t="s">
        <v>43</v>
      </c>
      <c r="F328" s="46">
        <v>147260</v>
      </c>
      <c r="G328" s="46">
        <v>5530</v>
      </c>
      <c r="H328" s="46">
        <v>26300</v>
      </c>
      <c r="I328" s="46">
        <v>32520</v>
      </c>
      <c r="J328" s="46">
        <v>15095</v>
      </c>
      <c r="K328" s="46">
        <v>8285</v>
      </c>
      <c r="L328" s="46">
        <v>59530</v>
      </c>
      <c r="M328">
        <f t="shared" si="25"/>
        <v>0.64460102926348795</v>
      </c>
      <c r="N328">
        <f t="shared" si="26"/>
        <v>3.0656432313977815</v>
      </c>
      <c r="O328">
        <f t="shared" si="27"/>
        <v>3.7906736838424284</v>
      </c>
      <c r="P328">
        <f t="shared" si="28"/>
        <v>1.7595393375646202</v>
      </c>
      <c r="Q328">
        <f t="shared" si="29"/>
        <v>0.96573590008101218</v>
      </c>
      <c r="R328">
        <f t="shared" si="30"/>
        <v>6.9390776260498086</v>
      </c>
    </row>
    <row r="329" spans="1:18" hidden="1" x14ac:dyDescent="0.25">
      <c r="A329" s="46">
        <v>2020</v>
      </c>
      <c r="B329" s="56">
        <v>2</v>
      </c>
      <c r="C329" s="47" t="s">
        <v>65</v>
      </c>
      <c r="D329" s="47" t="s">
        <v>51</v>
      </c>
      <c r="E329" s="47" t="s">
        <v>44</v>
      </c>
      <c r="F329" s="46">
        <v>20470</v>
      </c>
      <c r="G329" s="46">
        <v>1560</v>
      </c>
      <c r="H329" s="46">
        <v>7370</v>
      </c>
      <c r="I329" s="46">
        <v>6610</v>
      </c>
      <c r="J329" s="46">
        <v>2405</v>
      </c>
      <c r="K329" s="46">
        <v>1245</v>
      </c>
      <c r="L329" s="46">
        <v>1280</v>
      </c>
      <c r="M329">
        <f t="shared" ref="M329:M392" si="31">G329/$F$8*100</f>
        <v>0.18184043501827146</v>
      </c>
      <c r="N329">
        <f t="shared" ref="N329:N392" si="32">H329/$F$8*100</f>
        <v>0.85907949107991066</v>
      </c>
      <c r="O329">
        <f t="shared" ref="O329:O392" si="33">I329/$F$8*100</f>
        <v>0.77049056119921433</v>
      </c>
      <c r="P329">
        <f t="shared" ref="P329:P392" si="34">J329/$F$8*100</f>
        <v>0.28033733731983518</v>
      </c>
      <c r="Q329">
        <f t="shared" ref="Q329:Q392" si="35">K329/$F$8*100</f>
        <v>0.14512265487035125</v>
      </c>
      <c r="R329">
        <f t="shared" ref="R329:R392" si="36">L329/$F$8*100</f>
        <v>0.14920240822012018</v>
      </c>
    </row>
    <row r="330" spans="1:18" hidden="1" x14ac:dyDescent="0.25">
      <c r="A330" s="46">
        <v>2020</v>
      </c>
      <c r="B330" s="56">
        <v>2</v>
      </c>
      <c r="C330" s="47" t="s">
        <v>65</v>
      </c>
      <c r="D330" s="47" t="s">
        <v>51</v>
      </c>
      <c r="E330" s="47" t="s">
        <v>45</v>
      </c>
      <c r="F330" s="46">
        <v>6660</v>
      </c>
      <c r="G330" s="46">
        <v>335</v>
      </c>
      <c r="H330" s="46">
        <v>1505</v>
      </c>
      <c r="I330" s="46">
        <v>2150</v>
      </c>
      <c r="J330" s="46">
        <v>675</v>
      </c>
      <c r="K330" s="46">
        <v>375</v>
      </c>
      <c r="L330" s="46">
        <v>1620</v>
      </c>
      <c r="M330">
        <f t="shared" si="31"/>
        <v>3.9049067776359581E-2</v>
      </c>
      <c r="N330">
        <f t="shared" si="32"/>
        <v>0.17542939404006319</v>
      </c>
      <c r="O330">
        <f t="shared" si="33"/>
        <v>0.25061342005723308</v>
      </c>
      <c r="P330">
        <f t="shared" si="34"/>
        <v>7.8680957459829004E-2</v>
      </c>
      <c r="Q330">
        <f t="shared" si="35"/>
        <v>4.371164303323833E-2</v>
      </c>
      <c r="R330">
        <f t="shared" si="36"/>
        <v>0.1888342979035896</v>
      </c>
    </row>
    <row r="331" spans="1:18" hidden="1" x14ac:dyDescent="0.25">
      <c r="A331" s="46">
        <v>2020</v>
      </c>
      <c r="B331" s="56">
        <v>2</v>
      </c>
      <c r="C331" s="47" t="s">
        <v>65</v>
      </c>
      <c r="D331" s="47" t="s">
        <v>51</v>
      </c>
      <c r="E331" s="47" t="s">
        <v>46</v>
      </c>
      <c r="F331" s="46">
        <v>12360</v>
      </c>
      <c r="G331" s="46">
        <v>700</v>
      </c>
      <c r="H331" s="46">
        <v>3225</v>
      </c>
      <c r="I331" s="46">
        <v>4430</v>
      </c>
      <c r="J331" s="46">
        <v>835</v>
      </c>
      <c r="K331" s="46">
        <v>375</v>
      </c>
      <c r="L331" s="46">
        <v>2795</v>
      </c>
      <c r="M331">
        <f t="shared" si="31"/>
        <v>8.1595066995378218E-2</v>
      </c>
      <c r="N331">
        <f t="shared" si="32"/>
        <v>0.37592013008584968</v>
      </c>
      <c r="O331">
        <f t="shared" si="33"/>
        <v>0.51638020969932219</v>
      </c>
      <c r="P331">
        <f t="shared" si="34"/>
        <v>9.7331258487344016E-2</v>
      </c>
      <c r="Q331">
        <f t="shared" si="35"/>
        <v>4.371164303323833E-2</v>
      </c>
      <c r="R331">
        <f t="shared" si="36"/>
        <v>0.32579744607440303</v>
      </c>
    </row>
    <row r="332" spans="1:18" hidden="1" x14ac:dyDescent="0.25">
      <c r="A332" s="46">
        <v>2020</v>
      </c>
      <c r="B332" s="56">
        <v>2</v>
      </c>
      <c r="C332" s="47" t="s">
        <v>65</v>
      </c>
      <c r="D332" s="47" t="s">
        <v>51</v>
      </c>
      <c r="E332" s="47" t="s">
        <v>47</v>
      </c>
      <c r="F332" s="46">
        <v>16735</v>
      </c>
      <c r="G332" s="46">
        <v>740</v>
      </c>
      <c r="H332" s="46">
        <v>4035</v>
      </c>
      <c r="I332" s="46">
        <v>5665</v>
      </c>
      <c r="J332" s="46">
        <v>2355</v>
      </c>
      <c r="K332" s="46">
        <v>825</v>
      </c>
      <c r="L332" s="46">
        <v>3120</v>
      </c>
      <c r="M332">
        <f t="shared" si="31"/>
        <v>8.6257642252256975E-2</v>
      </c>
      <c r="N332">
        <f t="shared" si="32"/>
        <v>0.4703372790376445</v>
      </c>
      <c r="O332">
        <f t="shared" si="33"/>
        <v>0.66033722075545376</v>
      </c>
      <c r="P332">
        <f t="shared" si="34"/>
        <v>0.27450911824873675</v>
      </c>
      <c r="Q332">
        <f t="shared" si="35"/>
        <v>9.6165614673124331E-2</v>
      </c>
      <c r="R332">
        <f t="shared" si="36"/>
        <v>0.36368087003654292</v>
      </c>
    </row>
    <row r="333" spans="1:18" hidden="1" x14ac:dyDescent="0.25">
      <c r="A333" s="46">
        <v>2020</v>
      </c>
      <c r="B333" s="56">
        <v>2</v>
      </c>
      <c r="C333" s="47" t="s">
        <v>65</v>
      </c>
      <c r="D333" s="47" t="s">
        <v>51</v>
      </c>
      <c r="E333" s="47" t="s">
        <v>48</v>
      </c>
      <c r="F333" s="46">
        <v>54685</v>
      </c>
      <c r="G333" s="46">
        <v>1800</v>
      </c>
      <c r="H333" s="46">
        <v>8145</v>
      </c>
      <c r="I333" s="46">
        <v>11340</v>
      </c>
      <c r="J333" s="46">
        <v>7015</v>
      </c>
      <c r="K333" s="46">
        <v>4340</v>
      </c>
      <c r="L333" s="46">
        <v>22045</v>
      </c>
      <c r="M333">
        <f t="shared" si="31"/>
        <v>0.209815886559544</v>
      </c>
      <c r="N333">
        <f t="shared" si="32"/>
        <v>0.94941688668193658</v>
      </c>
      <c r="O333">
        <f t="shared" si="33"/>
        <v>1.3218400853251271</v>
      </c>
      <c r="P333">
        <f t="shared" si="34"/>
        <v>0.81769913567511177</v>
      </c>
      <c r="Q333">
        <f t="shared" si="35"/>
        <v>0.50588941537134491</v>
      </c>
      <c r="R333">
        <f t="shared" si="36"/>
        <v>2.5696617884473043</v>
      </c>
    </row>
    <row r="334" spans="1:18" hidden="1" x14ac:dyDescent="0.25">
      <c r="A334" s="46">
        <v>2020</v>
      </c>
      <c r="B334" s="56">
        <v>2</v>
      </c>
      <c r="C334" s="47" t="s">
        <v>65</v>
      </c>
      <c r="D334" s="47" t="s">
        <v>51</v>
      </c>
      <c r="E334" s="47" t="s">
        <v>49</v>
      </c>
      <c r="F334" s="46">
        <v>23615</v>
      </c>
      <c r="G334" s="46">
        <v>360</v>
      </c>
      <c r="H334" s="46">
        <v>1790</v>
      </c>
      <c r="I334" s="46">
        <v>2010</v>
      </c>
      <c r="J334" s="46">
        <v>1555</v>
      </c>
      <c r="K334" s="46">
        <v>970</v>
      </c>
      <c r="L334" s="46">
        <v>16935</v>
      </c>
      <c r="M334">
        <f t="shared" si="31"/>
        <v>4.1963177311908802E-2</v>
      </c>
      <c r="N334">
        <f t="shared" si="32"/>
        <v>0.20865024274532429</v>
      </c>
      <c r="O334">
        <f t="shared" si="33"/>
        <v>0.23429440665815746</v>
      </c>
      <c r="P334">
        <f t="shared" si="34"/>
        <v>0.18125761311116162</v>
      </c>
      <c r="Q334">
        <f t="shared" si="35"/>
        <v>0.11306744997930983</v>
      </c>
      <c r="R334">
        <f t="shared" si="36"/>
        <v>1.974017799381043</v>
      </c>
    </row>
    <row r="335" spans="1:18" hidden="1" x14ac:dyDescent="0.25">
      <c r="A335" s="46">
        <v>2020</v>
      </c>
      <c r="B335" s="56">
        <v>2</v>
      </c>
      <c r="C335" s="47" t="s">
        <v>65</v>
      </c>
      <c r="D335" s="47" t="s">
        <v>51</v>
      </c>
      <c r="E335" s="47" t="s">
        <v>50</v>
      </c>
      <c r="F335" s="46">
        <v>12735</v>
      </c>
      <c r="G335" s="46">
        <v>40</v>
      </c>
      <c r="H335" s="46">
        <v>235</v>
      </c>
      <c r="I335" s="46">
        <v>325</v>
      </c>
      <c r="J335" s="46">
        <v>250</v>
      </c>
      <c r="K335" s="46">
        <v>155</v>
      </c>
      <c r="L335" s="46">
        <v>11735</v>
      </c>
      <c r="M335">
        <f t="shared" si="31"/>
        <v>4.6625752568787556E-3</v>
      </c>
      <c r="N335">
        <f t="shared" si="32"/>
        <v>2.7392629634162689E-2</v>
      </c>
      <c r="O335">
        <f t="shared" si="33"/>
        <v>3.7883423962139888E-2</v>
      </c>
      <c r="P335">
        <f t="shared" si="34"/>
        <v>2.9141095355492221E-2</v>
      </c>
      <c r="Q335">
        <f t="shared" si="35"/>
        <v>1.806747912040518E-2</v>
      </c>
      <c r="R335">
        <f t="shared" si="36"/>
        <v>1.367883015986805</v>
      </c>
    </row>
    <row r="336" spans="1:18" hidden="1" x14ac:dyDescent="0.25">
      <c r="A336" s="46">
        <v>2020</v>
      </c>
      <c r="B336" s="56">
        <v>2</v>
      </c>
      <c r="C336" s="47" t="s">
        <v>65</v>
      </c>
      <c r="D336" s="47" t="s">
        <v>52</v>
      </c>
      <c r="E336" s="47" t="s">
        <v>43</v>
      </c>
      <c r="F336" s="46">
        <v>130600</v>
      </c>
      <c r="G336" s="46">
        <v>4520</v>
      </c>
      <c r="H336" s="46">
        <v>23440</v>
      </c>
      <c r="I336" s="46">
        <v>22830</v>
      </c>
      <c r="J336" s="46">
        <v>11815</v>
      </c>
      <c r="K336" s="46">
        <v>7220</v>
      </c>
      <c r="L336" s="46">
        <v>60775</v>
      </c>
      <c r="M336">
        <f t="shared" si="31"/>
        <v>0.52687100402729936</v>
      </c>
      <c r="N336">
        <f t="shared" si="32"/>
        <v>2.7322691005309507</v>
      </c>
      <c r="O336">
        <f t="shared" si="33"/>
        <v>2.66116482786355</v>
      </c>
      <c r="P336">
        <f t="shared" si="34"/>
        <v>1.3772081665005624</v>
      </c>
      <c r="Q336">
        <f t="shared" si="35"/>
        <v>0.84159483386661538</v>
      </c>
      <c r="R336">
        <f t="shared" si="36"/>
        <v>7.0842002809201592</v>
      </c>
    </row>
    <row r="337" spans="1:18" hidden="1" x14ac:dyDescent="0.25">
      <c r="A337" s="46">
        <v>2020</v>
      </c>
      <c r="B337" s="56">
        <v>2</v>
      </c>
      <c r="C337" s="47" t="s">
        <v>65</v>
      </c>
      <c r="D337" s="47" t="s">
        <v>52</v>
      </c>
      <c r="E337" s="47" t="s">
        <v>44</v>
      </c>
      <c r="F337" s="46">
        <v>19235</v>
      </c>
      <c r="G337" s="46">
        <v>1420</v>
      </c>
      <c r="H337" s="46">
        <v>7190</v>
      </c>
      <c r="I337" s="46">
        <v>6065</v>
      </c>
      <c r="J337" s="46">
        <v>2190</v>
      </c>
      <c r="K337" s="46">
        <v>1130</v>
      </c>
      <c r="L337" s="46">
        <v>1240</v>
      </c>
      <c r="M337">
        <f t="shared" si="31"/>
        <v>0.16552142161919581</v>
      </c>
      <c r="N337">
        <f t="shared" si="32"/>
        <v>0.83809790242395632</v>
      </c>
      <c r="O337">
        <f t="shared" si="33"/>
        <v>0.7069629733242413</v>
      </c>
      <c r="P337">
        <f t="shared" si="34"/>
        <v>0.25527599531411183</v>
      </c>
      <c r="Q337">
        <f t="shared" si="35"/>
        <v>0.13171775100682484</v>
      </c>
      <c r="R337">
        <f t="shared" si="36"/>
        <v>0.14453983296324144</v>
      </c>
    </row>
    <row r="338" spans="1:18" hidden="1" x14ac:dyDescent="0.25">
      <c r="A338" s="46">
        <v>2020</v>
      </c>
      <c r="B338" s="56">
        <v>2</v>
      </c>
      <c r="C338" s="47" t="s">
        <v>65</v>
      </c>
      <c r="D338" s="47" t="s">
        <v>52</v>
      </c>
      <c r="E338" s="47" t="s">
        <v>45</v>
      </c>
      <c r="F338" s="46">
        <v>5600</v>
      </c>
      <c r="G338" s="46">
        <v>280</v>
      </c>
      <c r="H338" s="46">
        <v>1240</v>
      </c>
      <c r="I338" s="46">
        <v>1535</v>
      </c>
      <c r="J338" s="46">
        <v>625</v>
      </c>
      <c r="K338" s="46">
        <v>310</v>
      </c>
      <c r="L338" s="46">
        <v>1615</v>
      </c>
      <c r="M338">
        <f t="shared" si="31"/>
        <v>3.2638026798151289E-2</v>
      </c>
      <c r="N338">
        <f t="shared" si="32"/>
        <v>0.14453983296324144</v>
      </c>
      <c r="O338">
        <f t="shared" si="33"/>
        <v>0.17892632548272225</v>
      </c>
      <c r="P338">
        <f t="shared" si="34"/>
        <v>7.2852738388730562E-2</v>
      </c>
      <c r="Q338">
        <f t="shared" si="35"/>
        <v>3.613495824081036E-2</v>
      </c>
      <c r="R338">
        <f t="shared" si="36"/>
        <v>0.18825147599647976</v>
      </c>
    </row>
    <row r="339" spans="1:18" hidden="1" x14ac:dyDescent="0.25">
      <c r="A339" s="46">
        <v>2020</v>
      </c>
      <c r="B339" s="56">
        <v>2</v>
      </c>
      <c r="C339" s="47" t="s">
        <v>65</v>
      </c>
      <c r="D339" s="47" t="s">
        <v>52</v>
      </c>
      <c r="E339" s="47" t="s">
        <v>46</v>
      </c>
      <c r="F339" s="46">
        <v>9270</v>
      </c>
      <c r="G339" s="46">
        <v>610</v>
      </c>
      <c r="H339" s="46">
        <v>3020</v>
      </c>
      <c r="I339" s="46">
        <v>2170</v>
      </c>
      <c r="J339" s="46">
        <v>595</v>
      </c>
      <c r="K339" s="46">
        <v>295</v>
      </c>
      <c r="L339" s="46">
        <v>2580</v>
      </c>
      <c r="M339">
        <f t="shared" si="31"/>
        <v>7.1104272667401019E-2</v>
      </c>
      <c r="N339">
        <f t="shared" si="32"/>
        <v>0.35202443189434601</v>
      </c>
      <c r="O339">
        <f t="shared" si="33"/>
        <v>0.25294470768567245</v>
      </c>
      <c r="P339">
        <f t="shared" si="34"/>
        <v>6.9355806946071491E-2</v>
      </c>
      <c r="Q339">
        <f t="shared" si="35"/>
        <v>3.4386492519480824E-2</v>
      </c>
      <c r="R339">
        <f t="shared" si="36"/>
        <v>0.30073610406867973</v>
      </c>
    </row>
    <row r="340" spans="1:18" hidden="1" x14ac:dyDescent="0.25">
      <c r="A340" s="46">
        <v>2020</v>
      </c>
      <c r="B340" s="56">
        <v>2</v>
      </c>
      <c r="C340" s="47" t="s">
        <v>65</v>
      </c>
      <c r="D340" s="47" t="s">
        <v>52</v>
      </c>
      <c r="E340" s="47" t="s">
        <v>47</v>
      </c>
      <c r="F340" s="46">
        <v>12650</v>
      </c>
      <c r="G340" s="46">
        <v>620</v>
      </c>
      <c r="H340" s="46">
        <v>3355</v>
      </c>
      <c r="I340" s="46">
        <v>3305</v>
      </c>
      <c r="J340" s="46">
        <v>1800</v>
      </c>
      <c r="K340" s="46">
        <v>815</v>
      </c>
      <c r="L340" s="46">
        <v>2750</v>
      </c>
      <c r="M340">
        <f t="shared" si="31"/>
        <v>7.2269916481620719E-2</v>
      </c>
      <c r="N340">
        <f t="shared" si="32"/>
        <v>0.39107349967070559</v>
      </c>
      <c r="O340">
        <f t="shared" si="33"/>
        <v>0.38524528059960716</v>
      </c>
      <c r="P340">
        <f t="shared" si="34"/>
        <v>0.209815886559544</v>
      </c>
      <c r="Q340">
        <f t="shared" si="35"/>
        <v>9.4999970858904645E-2</v>
      </c>
      <c r="R340">
        <f t="shared" si="36"/>
        <v>0.32055204891041444</v>
      </c>
    </row>
    <row r="341" spans="1:18" hidden="1" x14ac:dyDescent="0.25">
      <c r="A341" s="46">
        <v>2020</v>
      </c>
      <c r="B341" s="56">
        <v>2</v>
      </c>
      <c r="C341" s="47" t="s">
        <v>65</v>
      </c>
      <c r="D341" s="47" t="s">
        <v>52</v>
      </c>
      <c r="E341" s="47" t="s">
        <v>48</v>
      </c>
      <c r="F341" s="46">
        <v>48360</v>
      </c>
      <c r="G341" s="46">
        <v>1225</v>
      </c>
      <c r="H341" s="46">
        <v>6940</v>
      </c>
      <c r="I341" s="46">
        <v>7760</v>
      </c>
      <c r="J341" s="46">
        <v>5150</v>
      </c>
      <c r="K341" s="46">
        <v>3590</v>
      </c>
      <c r="L341" s="46">
        <v>23690</v>
      </c>
      <c r="M341">
        <f t="shared" si="31"/>
        <v>0.14279136724191188</v>
      </c>
      <c r="N341">
        <f t="shared" si="32"/>
        <v>0.80895680706846407</v>
      </c>
      <c r="O341">
        <f t="shared" si="33"/>
        <v>0.90453959983447862</v>
      </c>
      <c r="P341">
        <f t="shared" si="34"/>
        <v>0.60030656432313978</v>
      </c>
      <c r="Q341">
        <f t="shared" si="35"/>
        <v>0.41846612930486837</v>
      </c>
      <c r="R341">
        <f t="shared" si="36"/>
        <v>2.7614101958864432</v>
      </c>
    </row>
    <row r="342" spans="1:18" hidden="1" x14ac:dyDescent="0.25">
      <c r="A342" s="46">
        <v>2020</v>
      </c>
      <c r="B342" s="56">
        <v>2</v>
      </c>
      <c r="C342" s="47" t="s">
        <v>65</v>
      </c>
      <c r="D342" s="47" t="s">
        <v>52</v>
      </c>
      <c r="E342" s="47" t="s">
        <v>49</v>
      </c>
      <c r="F342" s="46">
        <v>21070</v>
      </c>
      <c r="G342" s="46">
        <v>290</v>
      </c>
      <c r="H342" s="46">
        <v>1390</v>
      </c>
      <c r="I342" s="46">
        <v>1615</v>
      </c>
      <c r="J342" s="46">
        <v>1135</v>
      </c>
      <c r="K342" s="46">
        <v>835</v>
      </c>
      <c r="L342" s="46">
        <v>15810</v>
      </c>
      <c r="M342">
        <f t="shared" si="31"/>
        <v>3.3803670612370981E-2</v>
      </c>
      <c r="N342">
        <f t="shared" si="32"/>
        <v>0.16202449017653675</v>
      </c>
      <c r="O342">
        <f t="shared" si="33"/>
        <v>0.18825147599647976</v>
      </c>
      <c r="P342">
        <f t="shared" si="34"/>
        <v>0.13230057291393468</v>
      </c>
      <c r="Q342">
        <f t="shared" si="35"/>
        <v>9.7331258487344016E-2</v>
      </c>
      <c r="R342">
        <f t="shared" si="36"/>
        <v>1.842882870281328</v>
      </c>
    </row>
    <row r="343" spans="1:18" hidden="1" x14ac:dyDescent="0.25">
      <c r="A343" s="46">
        <v>2020</v>
      </c>
      <c r="B343" s="56">
        <v>2</v>
      </c>
      <c r="C343" s="47" t="s">
        <v>65</v>
      </c>
      <c r="D343" s="47" t="s">
        <v>52</v>
      </c>
      <c r="E343" s="47" t="s">
        <v>50</v>
      </c>
      <c r="F343" s="46">
        <v>14415</v>
      </c>
      <c r="G343" s="46">
        <v>70</v>
      </c>
      <c r="H343" s="46">
        <v>310</v>
      </c>
      <c r="I343" s="46">
        <v>380</v>
      </c>
      <c r="J343" s="46">
        <v>320</v>
      </c>
      <c r="K343" s="46">
        <v>240</v>
      </c>
      <c r="L343" s="46">
        <v>13090</v>
      </c>
      <c r="M343">
        <f t="shared" si="31"/>
        <v>8.1595066995378222E-3</v>
      </c>
      <c r="N343">
        <f t="shared" si="32"/>
        <v>3.613495824081036E-2</v>
      </c>
      <c r="O343">
        <f t="shared" si="33"/>
        <v>4.429446494034818E-2</v>
      </c>
      <c r="P343">
        <f t="shared" si="34"/>
        <v>3.7300602055030045E-2</v>
      </c>
      <c r="Q343">
        <f t="shared" si="35"/>
        <v>2.7975451541272532E-2</v>
      </c>
      <c r="R343">
        <f t="shared" si="36"/>
        <v>1.5258277528135726</v>
      </c>
    </row>
    <row r="344" spans="1:18" x14ac:dyDescent="0.25">
      <c r="A344" s="46">
        <v>2020</v>
      </c>
      <c r="B344" s="56">
        <v>241</v>
      </c>
      <c r="C344" s="47" t="s">
        <v>66</v>
      </c>
      <c r="D344" s="47" t="s">
        <v>42</v>
      </c>
      <c r="E344" s="47" t="s">
        <v>43</v>
      </c>
      <c r="F344" s="46">
        <v>185675</v>
      </c>
      <c r="G344" s="46">
        <v>5340</v>
      </c>
      <c r="H344" s="46">
        <v>32050</v>
      </c>
      <c r="I344" s="46">
        <v>34440</v>
      </c>
      <c r="J344" s="46">
        <v>18570</v>
      </c>
      <c r="K344" s="46">
        <v>10985</v>
      </c>
      <c r="L344" s="46">
        <v>84290</v>
      </c>
      <c r="M344">
        <f t="shared" si="31"/>
        <v>0.62245379679331392</v>
      </c>
      <c r="N344">
        <f t="shared" si="32"/>
        <v>3.7358884245741026</v>
      </c>
      <c r="O344">
        <f t="shared" si="33"/>
        <v>4.0144772961726085</v>
      </c>
      <c r="P344">
        <f t="shared" si="34"/>
        <v>2.1646005630059624</v>
      </c>
      <c r="Q344">
        <f t="shared" si="35"/>
        <v>1.2804597299203282</v>
      </c>
      <c r="R344">
        <f t="shared" si="36"/>
        <v>9.8252117100577578</v>
      </c>
    </row>
    <row r="345" spans="1:18" hidden="1" x14ac:dyDescent="0.25">
      <c r="A345" s="46">
        <v>2020</v>
      </c>
      <c r="B345" s="56">
        <v>241</v>
      </c>
      <c r="C345" s="47" t="s">
        <v>66</v>
      </c>
      <c r="D345" s="47" t="s">
        <v>42</v>
      </c>
      <c r="E345" s="47" t="s">
        <v>44</v>
      </c>
      <c r="F345" s="46">
        <v>23760</v>
      </c>
      <c r="G345" s="46">
        <v>1490</v>
      </c>
      <c r="H345" s="46">
        <v>8730</v>
      </c>
      <c r="I345" s="46">
        <v>7200</v>
      </c>
      <c r="J345" s="46">
        <v>2995</v>
      </c>
      <c r="K345" s="46">
        <v>1685</v>
      </c>
      <c r="L345" s="46">
        <v>1660</v>
      </c>
      <c r="M345">
        <f t="shared" si="31"/>
        <v>0.17368092831873364</v>
      </c>
      <c r="N345">
        <f t="shared" si="32"/>
        <v>1.0176070498137884</v>
      </c>
      <c r="O345">
        <f t="shared" si="33"/>
        <v>0.83926354623817601</v>
      </c>
      <c r="P345">
        <f t="shared" si="34"/>
        <v>0.3491103223587968</v>
      </c>
      <c r="Q345">
        <f t="shared" si="35"/>
        <v>0.19641098269601756</v>
      </c>
      <c r="R345">
        <f t="shared" si="36"/>
        <v>0.19349687316046835</v>
      </c>
    </row>
    <row r="346" spans="1:18" hidden="1" x14ac:dyDescent="0.25">
      <c r="A346" s="46">
        <v>2020</v>
      </c>
      <c r="B346" s="56">
        <v>241</v>
      </c>
      <c r="C346" s="47" t="s">
        <v>66</v>
      </c>
      <c r="D346" s="47" t="s">
        <v>42</v>
      </c>
      <c r="E346" s="47" t="s">
        <v>45</v>
      </c>
      <c r="F346" s="46">
        <v>7415</v>
      </c>
      <c r="G346" s="46">
        <v>340</v>
      </c>
      <c r="H346" s="46">
        <v>1640</v>
      </c>
      <c r="I346" s="46">
        <v>2075</v>
      </c>
      <c r="J346" s="46">
        <v>790</v>
      </c>
      <c r="K346" s="46">
        <v>470</v>
      </c>
      <c r="L346" s="46">
        <v>2105</v>
      </c>
      <c r="M346">
        <f t="shared" si="31"/>
        <v>3.9631889683469423E-2</v>
      </c>
      <c r="N346">
        <f t="shared" si="32"/>
        <v>0.19116558553202898</v>
      </c>
      <c r="O346">
        <f t="shared" si="33"/>
        <v>0.24187109145058544</v>
      </c>
      <c r="P346">
        <f t="shared" si="34"/>
        <v>9.2085861323355417E-2</v>
      </c>
      <c r="Q346">
        <f t="shared" si="35"/>
        <v>5.4785259268325379E-2</v>
      </c>
      <c r="R346">
        <f t="shared" si="36"/>
        <v>0.24536802289324453</v>
      </c>
    </row>
    <row r="347" spans="1:18" hidden="1" x14ac:dyDescent="0.25">
      <c r="A347" s="46">
        <v>2020</v>
      </c>
      <c r="B347" s="56">
        <v>241</v>
      </c>
      <c r="C347" s="47" t="s">
        <v>66</v>
      </c>
      <c r="D347" s="47" t="s">
        <v>42</v>
      </c>
      <c r="E347" s="47" t="s">
        <v>46</v>
      </c>
      <c r="F347" s="46">
        <v>14495</v>
      </c>
      <c r="G347" s="46">
        <v>730</v>
      </c>
      <c r="H347" s="46">
        <v>4430</v>
      </c>
      <c r="I347" s="46">
        <v>4225</v>
      </c>
      <c r="J347" s="46">
        <v>995</v>
      </c>
      <c r="K347" s="46">
        <v>430</v>
      </c>
      <c r="L347" s="46">
        <v>3685</v>
      </c>
      <c r="M347">
        <f t="shared" si="31"/>
        <v>8.5091998438037289E-2</v>
      </c>
      <c r="N347">
        <f t="shared" si="32"/>
        <v>0.51638020969932219</v>
      </c>
      <c r="O347">
        <f t="shared" si="33"/>
        <v>0.49248451150781852</v>
      </c>
      <c r="P347">
        <f t="shared" si="34"/>
        <v>0.11598155951485904</v>
      </c>
      <c r="Q347">
        <f t="shared" si="35"/>
        <v>5.0122684011446615E-2</v>
      </c>
      <c r="R347">
        <f t="shared" si="36"/>
        <v>0.42953974553995533</v>
      </c>
    </row>
    <row r="348" spans="1:18" hidden="1" x14ac:dyDescent="0.25">
      <c r="A348" s="46">
        <v>2020</v>
      </c>
      <c r="B348" s="56">
        <v>241</v>
      </c>
      <c r="C348" s="47" t="s">
        <v>66</v>
      </c>
      <c r="D348" s="47" t="s">
        <v>42</v>
      </c>
      <c r="E348" s="47" t="s">
        <v>47</v>
      </c>
      <c r="F348" s="46">
        <v>20875</v>
      </c>
      <c r="G348" s="46">
        <v>830</v>
      </c>
      <c r="H348" s="46">
        <v>5310</v>
      </c>
      <c r="I348" s="46">
        <v>6260</v>
      </c>
      <c r="J348" s="46">
        <v>3165</v>
      </c>
      <c r="K348" s="46">
        <v>1230</v>
      </c>
      <c r="L348" s="46">
        <v>4070</v>
      </c>
      <c r="M348">
        <f t="shared" si="31"/>
        <v>9.6748436580234173E-2</v>
      </c>
      <c r="N348">
        <f t="shared" si="32"/>
        <v>0.61895686535065475</v>
      </c>
      <c r="O348">
        <f t="shared" si="33"/>
        <v>0.72969302770152533</v>
      </c>
      <c r="P348">
        <f t="shared" si="34"/>
        <v>0.36892626720053151</v>
      </c>
      <c r="Q348">
        <f t="shared" si="35"/>
        <v>0.14337418914902172</v>
      </c>
      <c r="R348">
        <f t="shared" si="36"/>
        <v>0.4744170323874134</v>
      </c>
    </row>
    <row r="349" spans="1:18" hidden="1" x14ac:dyDescent="0.25">
      <c r="A349" s="46">
        <v>2020</v>
      </c>
      <c r="B349" s="56">
        <v>241</v>
      </c>
      <c r="C349" s="47" t="s">
        <v>66</v>
      </c>
      <c r="D349" s="47" t="s">
        <v>42</v>
      </c>
      <c r="E349" s="47" t="s">
        <v>48</v>
      </c>
      <c r="F349" s="46">
        <v>69650</v>
      </c>
      <c r="G349" s="46">
        <v>1595</v>
      </c>
      <c r="H349" s="46">
        <v>9605</v>
      </c>
      <c r="I349" s="46">
        <v>11955</v>
      </c>
      <c r="J349" s="46">
        <v>8470</v>
      </c>
      <c r="K349" s="46">
        <v>5680</v>
      </c>
      <c r="L349" s="46">
        <v>32345</v>
      </c>
      <c r="M349">
        <f t="shared" si="31"/>
        <v>0.18592018836804039</v>
      </c>
      <c r="N349">
        <f t="shared" si="32"/>
        <v>1.1196008835580114</v>
      </c>
      <c r="O349">
        <f t="shared" si="33"/>
        <v>1.393527179899638</v>
      </c>
      <c r="P349">
        <f t="shared" si="34"/>
        <v>0.98730031064407642</v>
      </c>
      <c r="Q349">
        <f t="shared" si="35"/>
        <v>0.66208568647678323</v>
      </c>
      <c r="R349">
        <f t="shared" si="36"/>
        <v>3.7702749170935834</v>
      </c>
    </row>
    <row r="350" spans="1:18" hidden="1" x14ac:dyDescent="0.25">
      <c r="A350" s="46">
        <v>2020</v>
      </c>
      <c r="B350" s="56">
        <v>241</v>
      </c>
      <c r="C350" s="47" t="s">
        <v>66</v>
      </c>
      <c r="D350" s="47" t="s">
        <v>42</v>
      </c>
      <c r="E350" s="47" t="s">
        <v>49</v>
      </c>
      <c r="F350" s="46">
        <v>29940</v>
      </c>
      <c r="G350" s="46">
        <v>300</v>
      </c>
      <c r="H350" s="46">
        <v>1960</v>
      </c>
      <c r="I350" s="46">
        <v>2285</v>
      </c>
      <c r="J350" s="46">
        <v>1750</v>
      </c>
      <c r="K350" s="46">
        <v>1215</v>
      </c>
      <c r="L350" s="46">
        <v>22430</v>
      </c>
      <c r="M350">
        <f t="shared" si="31"/>
        <v>3.4969314426590667E-2</v>
      </c>
      <c r="N350">
        <f t="shared" si="32"/>
        <v>0.22846618758705903</v>
      </c>
      <c r="O350">
        <f t="shared" si="33"/>
        <v>0.26634961154919895</v>
      </c>
      <c r="P350">
        <f t="shared" si="34"/>
        <v>0.20398766748844555</v>
      </c>
      <c r="Q350">
        <f t="shared" si="35"/>
        <v>0.1416257234276922</v>
      </c>
      <c r="R350">
        <f t="shared" si="36"/>
        <v>2.6145390752947621</v>
      </c>
    </row>
    <row r="351" spans="1:18" hidden="1" x14ac:dyDescent="0.25">
      <c r="A351" s="46">
        <v>2020</v>
      </c>
      <c r="B351" s="56">
        <v>241</v>
      </c>
      <c r="C351" s="47" t="s">
        <v>66</v>
      </c>
      <c r="D351" s="47" t="s">
        <v>42</v>
      </c>
      <c r="E351" s="47" t="s">
        <v>50</v>
      </c>
      <c r="F351" s="46">
        <v>19535</v>
      </c>
      <c r="G351" s="46">
        <v>55</v>
      </c>
      <c r="H351" s="46">
        <v>370</v>
      </c>
      <c r="I351" s="46">
        <v>440</v>
      </c>
      <c r="J351" s="46">
        <v>405</v>
      </c>
      <c r="K351" s="46">
        <v>275</v>
      </c>
      <c r="L351" s="46">
        <v>17995</v>
      </c>
      <c r="M351">
        <f t="shared" si="31"/>
        <v>6.4110409782082893E-3</v>
      </c>
      <c r="N351">
        <f t="shared" si="32"/>
        <v>4.3128821126128487E-2</v>
      </c>
      <c r="O351">
        <f t="shared" si="33"/>
        <v>5.1288327825666315E-2</v>
      </c>
      <c r="P351">
        <f t="shared" si="34"/>
        <v>4.7208574475897401E-2</v>
      </c>
      <c r="Q351">
        <f t="shared" si="35"/>
        <v>3.2055204891041446E-2</v>
      </c>
      <c r="R351">
        <f t="shared" si="36"/>
        <v>2.0975760436883299</v>
      </c>
    </row>
    <row r="352" spans="1:18" hidden="1" x14ac:dyDescent="0.25">
      <c r="A352" s="46">
        <v>2020</v>
      </c>
      <c r="B352" s="56">
        <v>241</v>
      </c>
      <c r="C352" s="47" t="s">
        <v>66</v>
      </c>
      <c r="D352" s="47" t="s">
        <v>51</v>
      </c>
      <c r="E352" s="47" t="s">
        <v>43</v>
      </c>
      <c r="F352" s="46">
        <v>98075</v>
      </c>
      <c r="G352" s="46">
        <v>2915</v>
      </c>
      <c r="H352" s="46">
        <v>16815</v>
      </c>
      <c r="I352" s="46">
        <v>20390</v>
      </c>
      <c r="J352" s="46">
        <v>10475</v>
      </c>
      <c r="K352" s="46">
        <v>5865</v>
      </c>
      <c r="L352" s="46">
        <v>41610</v>
      </c>
      <c r="M352">
        <f t="shared" si="31"/>
        <v>0.33978517184503931</v>
      </c>
      <c r="N352">
        <f t="shared" si="32"/>
        <v>1.9600300736104068</v>
      </c>
      <c r="O352">
        <f t="shared" si="33"/>
        <v>2.3767477371939458</v>
      </c>
      <c r="P352">
        <f t="shared" si="34"/>
        <v>1.2210118953951241</v>
      </c>
      <c r="Q352">
        <f t="shared" si="35"/>
        <v>0.68365009703984758</v>
      </c>
      <c r="R352">
        <f t="shared" si="36"/>
        <v>4.8502439109681248</v>
      </c>
    </row>
    <row r="353" spans="1:18" hidden="1" x14ac:dyDescent="0.25">
      <c r="A353" s="46">
        <v>2020</v>
      </c>
      <c r="B353" s="56">
        <v>241</v>
      </c>
      <c r="C353" s="47" t="s">
        <v>66</v>
      </c>
      <c r="D353" s="47" t="s">
        <v>51</v>
      </c>
      <c r="E353" s="47" t="s">
        <v>44</v>
      </c>
      <c r="F353" s="46">
        <v>12180</v>
      </c>
      <c r="G353" s="46">
        <v>800</v>
      </c>
      <c r="H353" s="46">
        <v>4355</v>
      </c>
      <c r="I353" s="46">
        <v>3780</v>
      </c>
      <c r="J353" s="46">
        <v>1530</v>
      </c>
      <c r="K353" s="46">
        <v>875</v>
      </c>
      <c r="L353" s="46">
        <v>845</v>
      </c>
      <c r="M353">
        <f t="shared" si="31"/>
        <v>9.3251505137575103E-2</v>
      </c>
      <c r="N353">
        <f t="shared" si="32"/>
        <v>0.50763788109267449</v>
      </c>
      <c r="O353">
        <f t="shared" si="33"/>
        <v>0.4406133617750424</v>
      </c>
      <c r="P353">
        <f t="shared" si="34"/>
        <v>0.17834350357561241</v>
      </c>
      <c r="Q353">
        <f t="shared" si="35"/>
        <v>0.10199383374422277</v>
      </c>
      <c r="R353">
        <f t="shared" si="36"/>
        <v>9.8496902301563716E-2</v>
      </c>
    </row>
    <row r="354" spans="1:18" hidden="1" x14ac:dyDescent="0.25">
      <c r="A354" s="46">
        <v>2020</v>
      </c>
      <c r="B354" s="56">
        <v>241</v>
      </c>
      <c r="C354" s="47" t="s">
        <v>66</v>
      </c>
      <c r="D354" s="47" t="s">
        <v>51</v>
      </c>
      <c r="E354" s="47" t="s">
        <v>45</v>
      </c>
      <c r="F354" s="46">
        <v>4010</v>
      </c>
      <c r="G354" s="46">
        <v>180</v>
      </c>
      <c r="H354" s="46">
        <v>915</v>
      </c>
      <c r="I354" s="46">
        <v>1190</v>
      </c>
      <c r="J354" s="46">
        <v>410</v>
      </c>
      <c r="K354" s="46">
        <v>255</v>
      </c>
      <c r="L354" s="46">
        <v>1060</v>
      </c>
      <c r="M354">
        <f t="shared" si="31"/>
        <v>2.0981588655954401E-2</v>
      </c>
      <c r="N354">
        <f t="shared" si="32"/>
        <v>0.10665640900110153</v>
      </c>
      <c r="O354">
        <f t="shared" si="33"/>
        <v>0.13871161389214298</v>
      </c>
      <c r="P354">
        <f t="shared" si="34"/>
        <v>4.7791396383007244E-2</v>
      </c>
      <c r="Q354">
        <f t="shared" si="35"/>
        <v>2.9723917262602068E-2</v>
      </c>
      <c r="R354">
        <f t="shared" si="36"/>
        <v>0.12355824430728703</v>
      </c>
    </row>
    <row r="355" spans="1:18" hidden="1" x14ac:dyDescent="0.25">
      <c r="A355" s="46">
        <v>2020</v>
      </c>
      <c r="B355" s="56">
        <v>241</v>
      </c>
      <c r="C355" s="47" t="s">
        <v>66</v>
      </c>
      <c r="D355" s="47" t="s">
        <v>51</v>
      </c>
      <c r="E355" s="47" t="s">
        <v>46</v>
      </c>
      <c r="F355" s="46">
        <v>8240</v>
      </c>
      <c r="G355" s="46">
        <v>370</v>
      </c>
      <c r="H355" s="46">
        <v>2305</v>
      </c>
      <c r="I355" s="46">
        <v>2830</v>
      </c>
      <c r="J355" s="46">
        <v>615</v>
      </c>
      <c r="K355" s="46">
        <v>235</v>
      </c>
      <c r="L355" s="46">
        <v>1885</v>
      </c>
      <c r="M355">
        <f t="shared" si="31"/>
        <v>4.3128821126128487E-2</v>
      </c>
      <c r="N355">
        <f t="shared" si="32"/>
        <v>0.26868089917763832</v>
      </c>
      <c r="O355">
        <f t="shared" si="33"/>
        <v>0.32987719942417199</v>
      </c>
      <c r="P355">
        <f t="shared" si="34"/>
        <v>7.1687094574510862E-2</v>
      </c>
      <c r="Q355">
        <f t="shared" si="35"/>
        <v>2.7392629634162689E-2</v>
      </c>
      <c r="R355">
        <f t="shared" si="36"/>
        <v>0.21972385898041139</v>
      </c>
    </row>
    <row r="356" spans="1:18" hidden="1" x14ac:dyDescent="0.25">
      <c r="A356" s="46">
        <v>2020</v>
      </c>
      <c r="B356" s="56">
        <v>241</v>
      </c>
      <c r="C356" s="47" t="s">
        <v>66</v>
      </c>
      <c r="D356" s="47" t="s">
        <v>51</v>
      </c>
      <c r="E356" s="47" t="s">
        <v>47</v>
      </c>
      <c r="F356" s="46">
        <v>11885</v>
      </c>
      <c r="G356" s="46">
        <v>450</v>
      </c>
      <c r="H356" s="46">
        <v>2890</v>
      </c>
      <c r="I356" s="46">
        <v>3985</v>
      </c>
      <c r="J356" s="46">
        <v>1805</v>
      </c>
      <c r="K356" s="46">
        <v>625</v>
      </c>
      <c r="L356" s="46">
        <v>2125</v>
      </c>
      <c r="M356">
        <f t="shared" si="31"/>
        <v>5.2453971639886E-2</v>
      </c>
      <c r="N356">
        <f t="shared" si="32"/>
        <v>0.3368710623094901</v>
      </c>
      <c r="O356">
        <f t="shared" si="33"/>
        <v>0.46450905996654596</v>
      </c>
      <c r="P356">
        <f t="shared" si="34"/>
        <v>0.21039870846665384</v>
      </c>
      <c r="Q356">
        <f t="shared" si="35"/>
        <v>7.2852738388730562E-2</v>
      </c>
      <c r="R356">
        <f t="shared" si="36"/>
        <v>0.2476993105216839</v>
      </c>
    </row>
    <row r="357" spans="1:18" hidden="1" x14ac:dyDescent="0.25">
      <c r="A357" s="46">
        <v>2020</v>
      </c>
      <c r="B357" s="56">
        <v>241</v>
      </c>
      <c r="C357" s="47" t="s">
        <v>66</v>
      </c>
      <c r="D357" s="47" t="s">
        <v>51</v>
      </c>
      <c r="E357" s="47" t="s">
        <v>48</v>
      </c>
      <c r="F357" s="46">
        <v>36860</v>
      </c>
      <c r="G357" s="46">
        <v>940</v>
      </c>
      <c r="H357" s="46">
        <v>5110</v>
      </c>
      <c r="I357" s="46">
        <v>7120</v>
      </c>
      <c r="J357" s="46">
        <v>4930</v>
      </c>
      <c r="K357" s="46">
        <v>3100</v>
      </c>
      <c r="L357" s="46">
        <v>15665</v>
      </c>
      <c r="M357">
        <f t="shared" si="31"/>
        <v>0.10957051853665076</v>
      </c>
      <c r="N357">
        <f t="shared" si="32"/>
        <v>0.59564398906626104</v>
      </c>
      <c r="O357">
        <f t="shared" si="33"/>
        <v>0.82993839572441852</v>
      </c>
      <c r="P357">
        <f t="shared" si="34"/>
        <v>0.5746624004103067</v>
      </c>
      <c r="Q357">
        <f t="shared" si="35"/>
        <v>0.36134958240810355</v>
      </c>
      <c r="R357">
        <f t="shared" si="36"/>
        <v>1.8259810349751426</v>
      </c>
    </row>
    <row r="358" spans="1:18" hidden="1" x14ac:dyDescent="0.25">
      <c r="A358" s="46">
        <v>2020</v>
      </c>
      <c r="B358" s="56">
        <v>241</v>
      </c>
      <c r="C358" s="47" t="s">
        <v>66</v>
      </c>
      <c r="D358" s="47" t="s">
        <v>51</v>
      </c>
      <c r="E358" s="47" t="s">
        <v>49</v>
      </c>
      <c r="F358" s="46">
        <v>15720</v>
      </c>
      <c r="G358" s="46">
        <v>160</v>
      </c>
      <c r="H358" s="46">
        <v>1090</v>
      </c>
      <c r="I358" s="46">
        <v>1275</v>
      </c>
      <c r="J358" s="46">
        <v>1010</v>
      </c>
      <c r="K358" s="46">
        <v>675</v>
      </c>
      <c r="L358" s="46">
        <v>11510</v>
      </c>
      <c r="M358">
        <f t="shared" si="31"/>
        <v>1.8650301027515023E-2</v>
      </c>
      <c r="N358">
        <f t="shared" si="32"/>
        <v>0.1270551757499461</v>
      </c>
      <c r="O358">
        <f t="shared" si="33"/>
        <v>0.14861958631301034</v>
      </c>
      <c r="P358">
        <f t="shared" si="34"/>
        <v>0.11773002523618858</v>
      </c>
      <c r="Q358">
        <f t="shared" si="35"/>
        <v>7.8680957459829004E-2</v>
      </c>
      <c r="R358">
        <f t="shared" si="36"/>
        <v>1.3416560301668621</v>
      </c>
    </row>
    <row r="359" spans="1:18" hidden="1" x14ac:dyDescent="0.25">
      <c r="A359" s="46">
        <v>2020</v>
      </c>
      <c r="B359" s="56">
        <v>241</v>
      </c>
      <c r="C359" s="47" t="s">
        <v>66</v>
      </c>
      <c r="D359" s="47" t="s">
        <v>51</v>
      </c>
      <c r="E359" s="47" t="s">
        <v>50</v>
      </c>
      <c r="F359" s="46">
        <v>9180</v>
      </c>
      <c r="G359" s="46">
        <v>20</v>
      </c>
      <c r="H359" s="46">
        <v>155</v>
      </c>
      <c r="I359" s="46">
        <v>210</v>
      </c>
      <c r="J359" s="46">
        <v>175</v>
      </c>
      <c r="K359" s="46">
        <v>100</v>
      </c>
      <c r="L359" s="46">
        <v>8520</v>
      </c>
      <c r="M359">
        <f t="shared" si="31"/>
        <v>2.3312876284393778E-3</v>
      </c>
      <c r="N359">
        <f t="shared" si="32"/>
        <v>1.806747912040518E-2</v>
      </c>
      <c r="O359">
        <f t="shared" si="33"/>
        <v>2.4478520098613465E-2</v>
      </c>
      <c r="P359">
        <f t="shared" si="34"/>
        <v>2.0398766748844555E-2</v>
      </c>
      <c r="Q359">
        <f t="shared" si="35"/>
        <v>1.1656438142196888E-2</v>
      </c>
      <c r="R359">
        <f t="shared" si="36"/>
        <v>0.99312852971517496</v>
      </c>
    </row>
    <row r="360" spans="1:18" hidden="1" x14ac:dyDescent="0.25">
      <c r="A360" s="46">
        <v>2020</v>
      </c>
      <c r="B360" s="56">
        <v>241</v>
      </c>
      <c r="C360" s="47" t="s">
        <v>66</v>
      </c>
      <c r="D360" s="47" t="s">
        <v>52</v>
      </c>
      <c r="E360" s="47" t="s">
        <v>43</v>
      </c>
      <c r="F360" s="46">
        <v>87600</v>
      </c>
      <c r="G360" s="46">
        <v>2420</v>
      </c>
      <c r="H360" s="46">
        <v>15235</v>
      </c>
      <c r="I360" s="46">
        <v>14050</v>
      </c>
      <c r="J360" s="46">
        <v>8090</v>
      </c>
      <c r="K360" s="46">
        <v>5120</v>
      </c>
      <c r="L360" s="46">
        <v>42680</v>
      </c>
      <c r="M360">
        <f t="shared" si="31"/>
        <v>0.28208580304116471</v>
      </c>
      <c r="N360">
        <f t="shared" si="32"/>
        <v>1.7758583509636958</v>
      </c>
      <c r="O360">
        <f t="shared" si="33"/>
        <v>1.6377295589786629</v>
      </c>
      <c r="P360">
        <f t="shared" si="34"/>
        <v>0.94300584570372825</v>
      </c>
      <c r="Q360">
        <f t="shared" si="35"/>
        <v>0.59680963288048072</v>
      </c>
      <c r="R360">
        <f t="shared" si="36"/>
        <v>4.9749677990896322</v>
      </c>
    </row>
    <row r="361" spans="1:18" hidden="1" x14ac:dyDescent="0.25">
      <c r="A361" s="46">
        <v>2020</v>
      </c>
      <c r="B361" s="56">
        <v>241</v>
      </c>
      <c r="C361" s="47" t="s">
        <v>66</v>
      </c>
      <c r="D361" s="47" t="s">
        <v>52</v>
      </c>
      <c r="E361" s="47" t="s">
        <v>44</v>
      </c>
      <c r="F361" s="46">
        <v>11580</v>
      </c>
      <c r="G361" s="46">
        <v>690</v>
      </c>
      <c r="H361" s="46">
        <v>4380</v>
      </c>
      <c r="I361" s="46">
        <v>3420</v>
      </c>
      <c r="J361" s="46">
        <v>1460</v>
      </c>
      <c r="K361" s="46">
        <v>810</v>
      </c>
      <c r="L361" s="46">
        <v>815</v>
      </c>
      <c r="M361">
        <f t="shared" si="31"/>
        <v>8.0429423181158533E-2</v>
      </c>
      <c r="N361">
        <f t="shared" si="32"/>
        <v>0.51055199062822365</v>
      </c>
      <c r="O361">
        <f t="shared" si="33"/>
        <v>0.39865018446313361</v>
      </c>
      <c r="P361">
        <f t="shared" si="34"/>
        <v>0.17018399687607458</v>
      </c>
      <c r="Q361">
        <f t="shared" si="35"/>
        <v>9.4417148951794802E-2</v>
      </c>
      <c r="R361">
        <f t="shared" si="36"/>
        <v>9.4999970858904645E-2</v>
      </c>
    </row>
    <row r="362" spans="1:18" hidden="1" x14ac:dyDescent="0.25">
      <c r="A362" s="46">
        <v>2020</v>
      </c>
      <c r="B362" s="56">
        <v>241</v>
      </c>
      <c r="C362" s="47" t="s">
        <v>66</v>
      </c>
      <c r="D362" s="47" t="s">
        <v>52</v>
      </c>
      <c r="E362" s="47" t="s">
        <v>45</v>
      </c>
      <c r="F362" s="46">
        <v>3405</v>
      </c>
      <c r="G362" s="46">
        <v>160</v>
      </c>
      <c r="H362" s="46">
        <v>730</v>
      </c>
      <c r="I362" s="46">
        <v>885</v>
      </c>
      <c r="J362" s="46">
        <v>380</v>
      </c>
      <c r="K362" s="46">
        <v>215</v>
      </c>
      <c r="L362" s="46">
        <v>1040</v>
      </c>
      <c r="M362">
        <f t="shared" si="31"/>
        <v>1.8650301027515023E-2</v>
      </c>
      <c r="N362">
        <f t="shared" si="32"/>
        <v>8.5091998438037289E-2</v>
      </c>
      <c r="O362">
        <f t="shared" si="33"/>
        <v>0.10315947755844246</v>
      </c>
      <c r="P362">
        <f t="shared" si="34"/>
        <v>4.429446494034818E-2</v>
      </c>
      <c r="Q362">
        <f t="shared" si="35"/>
        <v>2.5061342005723308E-2</v>
      </c>
      <c r="R362">
        <f t="shared" si="36"/>
        <v>0.12122695667884764</v>
      </c>
    </row>
    <row r="363" spans="1:18" hidden="1" x14ac:dyDescent="0.25">
      <c r="A363" s="46">
        <v>2020</v>
      </c>
      <c r="B363" s="56">
        <v>241</v>
      </c>
      <c r="C363" s="47" t="s">
        <v>66</v>
      </c>
      <c r="D363" s="47" t="s">
        <v>52</v>
      </c>
      <c r="E363" s="47" t="s">
        <v>46</v>
      </c>
      <c r="F363" s="46">
        <v>6255</v>
      </c>
      <c r="G363" s="46">
        <v>355</v>
      </c>
      <c r="H363" s="46">
        <v>2125</v>
      </c>
      <c r="I363" s="46">
        <v>1395</v>
      </c>
      <c r="J363" s="46">
        <v>380</v>
      </c>
      <c r="K363" s="46">
        <v>195</v>
      </c>
      <c r="L363" s="46">
        <v>1800</v>
      </c>
      <c r="M363">
        <f t="shared" si="31"/>
        <v>4.1380355404798952E-2</v>
      </c>
      <c r="N363">
        <f t="shared" si="32"/>
        <v>0.2476993105216839</v>
      </c>
      <c r="O363">
        <f t="shared" si="33"/>
        <v>0.16260731208364659</v>
      </c>
      <c r="P363">
        <f t="shared" si="34"/>
        <v>4.429446494034818E-2</v>
      </c>
      <c r="Q363">
        <f t="shared" si="35"/>
        <v>2.2730054377283933E-2</v>
      </c>
      <c r="R363">
        <f t="shared" si="36"/>
        <v>0.209815886559544</v>
      </c>
    </row>
    <row r="364" spans="1:18" hidden="1" x14ac:dyDescent="0.25">
      <c r="A364" s="46">
        <v>2020</v>
      </c>
      <c r="B364" s="56">
        <v>241</v>
      </c>
      <c r="C364" s="47" t="s">
        <v>66</v>
      </c>
      <c r="D364" s="47" t="s">
        <v>52</v>
      </c>
      <c r="E364" s="47" t="s">
        <v>47</v>
      </c>
      <c r="F364" s="46">
        <v>8995</v>
      </c>
      <c r="G364" s="46">
        <v>385</v>
      </c>
      <c r="H364" s="46">
        <v>2420</v>
      </c>
      <c r="I364" s="46">
        <v>2275</v>
      </c>
      <c r="J364" s="46">
        <v>1360</v>
      </c>
      <c r="K364" s="46">
        <v>605</v>
      </c>
      <c r="L364" s="46">
        <v>1945</v>
      </c>
      <c r="M364">
        <f t="shared" si="31"/>
        <v>4.4877286847458023E-2</v>
      </c>
      <c r="N364">
        <f t="shared" si="32"/>
        <v>0.28208580304116471</v>
      </c>
      <c r="O364">
        <f t="shared" si="33"/>
        <v>0.26518396773497921</v>
      </c>
      <c r="P364">
        <f t="shared" si="34"/>
        <v>0.15852755873387769</v>
      </c>
      <c r="Q364">
        <f t="shared" si="35"/>
        <v>7.0521450760291177E-2</v>
      </c>
      <c r="R364">
        <f t="shared" si="36"/>
        <v>0.2267177218657295</v>
      </c>
    </row>
    <row r="365" spans="1:18" hidden="1" x14ac:dyDescent="0.25">
      <c r="A365" s="46">
        <v>2020</v>
      </c>
      <c r="B365" s="56">
        <v>241</v>
      </c>
      <c r="C365" s="47" t="s">
        <v>66</v>
      </c>
      <c r="D365" s="47" t="s">
        <v>52</v>
      </c>
      <c r="E365" s="47" t="s">
        <v>48</v>
      </c>
      <c r="F365" s="46">
        <v>32790</v>
      </c>
      <c r="G365" s="46">
        <v>655</v>
      </c>
      <c r="H365" s="46">
        <v>4495</v>
      </c>
      <c r="I365" s="46">
        <v>4835</v>
      </c>
      <c r="J365" s="46">
        <v>3540</v>
      </c>
      <c r="K365" s="46">
        <v>2580</v>
      </c>
      <c r="L365" s="46">
        <v>16680</v>
      </c>
      <c r="M365">
        <f t="shared" si="31"/>
        <v>7.6349669831389619E-2</v>
      </c>
      <c r="N365">
        <f t="shared" si="32"/>
        <v>0.5239568944917502</v>
      </c>
      <c r="O365">
        <f t="shared" si="33"/>
        <v>0.56358878417521963</v>
      </c>
      <c r="P365">
        <f t="shared" si="34"/>
        <v>0.41263791023376983</v>
      </c>
      <c r="Q365">
        <f t="shared" si="35"/>
        <v>0.30073610406867973</v>
      </c>
      <c r="R365">
        <f t="shared" si="36"/>
        <v>1.9442938821184412</v>
      </c>
    </row>
    <row r="366" spans="1:18" hidden="1" x14ac:dyDescent="0.25">
      <c r="A366" s="46">
        <v>2020</v>
      </c>
      <c r="B366" s="56">
        <v>241</v>
      </c>
      <c r="C366" s="47" t="s">
        <v>66</v>
      </c>
      <c r="D366" s="47" t="s">
        <v>52</v>
      </c>
      <c r="E366" s="47" t="s">
        <v>49</v>
      </c>
      <c r="F366" s="46">
        <v>14220</v>
      </c>
      <c r="G366" s="46">
        <v>135</v>
      </c>
      <c r="H366" s="46">
        <v>870</v>
      </c>
      <c r="I366" s="46">
        <v>1010</v>
      </c>
      <c r="J366" s="46">
        <v>740</v>
      </c>
      <c r="K366" s="46">
        <v>540</v>
      </c>
      <c r="L366" s="46">
        <v>10920</v>
      </c>
      <c r="M366">
        <f t="shared" si="31"/>
        <v>1.5736191491965801E-2</v>
      </c>
      <c r="N366">
        <f t="shared" si="32"/>
        <v>0.10141101183711293</v>
      </c>
      <c r="O366">
        <f t="shared" si="33"/>
        <v>0.11773002523618858</v>
      </c>
      <c r="P366">
        <f t="shared" si="34"/>
        <v>8.6257642252256975E-2</v>
      </c>
      <c r="Q366">
        <f t="shared" si="35"/>
        <v>6.2944765967863206E-2</v>
      </c>
      <c r="R366">
        <f t="shared" si="36"/>
        <v>1.2728830451279003</v>
      </c>
    </row>
    <row r="367" spans="1:18" hidden="1" x14ac:dyDescent="0.25">
      <c r="A367" s="46">
        <v>2020</v>
      </c>
      <c r="B367" s="56">
        <v>241</v>
      </c>
      <c r="C367" s="47" t="s">
        <v>66</v>
      </c>
      <c r="D367" s="47" t="s">
        <v>52</v>
      </c>
      <c r="E367" s="47" t="s">
        <v>50</v>
      </c>
      <c r="F367" s="46">
        <v>10355</v>
      </c>
      <c r="G367" s="46">
        <v>35</v>
      </c>
      <c r="H367" s="46">
        <v>215</v>
      </c>
      <c r="I367" s="46">
        <v>230</v>
      </c>
      <c r="J367" s="46">
        <v>225</v>
      </c>
      <c r="K367" s="46">
        <v>170</v>
      </c>
      <c r="L367" s="46">
        <v>9475</v>
      </c>
      <c r="M367">
        <f t="shared" si="31"/>
        <v>4.0797533497689111E-3</v>
      </c>
      <c r="N367">
        <f t="shared" si="32"/>
        <v>2.5061342005723308E-2</v>
      </c>
      <c r="O367">
        <f t="shared" si="33"/>
        <v>2.6809807727052843E-2</v>
      </c>
      <c r="P367">
        <f t="shared" si="34"/>
        <v>2.6226985819943E-2</v>
      </c>
      <c r="Q367">
        <f t="shared" si="35"/>
        <v>1.9815944841734712E-2</v>
      </c>
      <c r="R367">
        <f t="shared" si="36"/>
        <v>1.1044475139731553</v>
      </c>
    </row>
    <row r="368" spans="1:18" x14ac:dyDescent="0.25">
      <c r="A368" s="46">
        <v>2020</v>
      </c>
      <c r="B368" s="56">
        <v>241001</v>
      </c>
      <c r="C368" s="47" t="s">
        <v>67</v>
      </c>
      <c r="D368" s="47" t="s">
        <v>42</v>
      </c>
      <c r="E368" s="47" t="s">
        <v>43</v>
      </c>
      <c r="F368" s="46">
        <v>112125</v>
      </c>
      <c r="G368" s="46">
        <v>2375</v>
      </c>
      <c r="H368" s="46">
        <v>19565</v>
      </c>
      <c r="I368" s="46">
        <v>18815</v>
      </c>
      <c r="J368" s="46">
        <v>11805</v>
      </c>
      <c r="K368" s="46">
        <v>7330</v>
      </c>
      <c r="L368" s="46">
        <v>52235</v>
      </c>
      <c r="M368">
        <f t="shared" si="31"/>
        <v>0.27684040587717612</v>
      </c>
      <c r="N368">
        <f t="shared" si="32"/>
        <v>2.2805821225208214</v>
      </c>
      <c r="O368">
        <f t="shared" si="33"/>
        <v>2.1931588364543444</v>
      </c>
      <c r="P368">
        <f t="shared" si="34"/>
        <v>1.3760425226863426</v>
      </c>
      <c r="Q368">
        <f t="shared" si="35"/>
        <v>0.85441691582303203</v>
      </c>
      <c r="R368">
        <f t="shared" si="36"/>
        <v>6.0887404635765447</v>
      </c>
    </row>
    <row r="369" spans="1:18" hidden="1" x14ac:dyDescent="0.25">
      <c r="A369" s="46">
        <v>2020</v>
      </c>
      <c r="B369" s="56">
        <v>241001</v>
      </c>
      <c r="C369" s="47" t="s">
        <v>67</v>
      </c>
      <c r="D369" s="47" t="s">
        <v>42</v>
      </c>
      <c r="E369" s="47" t="s">
        <v>44</v>
      </c>
      <c r="F369" s="46">
        <v>12395</v>
      </c>
      <c r="G369" s="46">
        <v>565</v>
      </c>
      <c r="H369" s="46">
        <v>4625</v>
      </c>
      <c r="I369" s="46">
        <v>3350</v>
      </c>
      <c r="J369" s="46">
        <v>1700</v>
      </c>
      <c r="K369" s="46">
        <v>1100</v>
      </c>
      <c r="L369" s="46">
        <v>1050</v>
      </c>
      <c r="M369">
        <f t="shared" si="31"/>
        <v>6.585887550341242E-2</v>
      </c>
      <c r="N369">
        <f t="shared" si="32"/>
        <v>0.53911026407660612</v>
      </c>
      <c r="O369">
        <f t="shared" si="33"/>
        <v>0.39049067776359581</v>
      </c>
      <c r="P369">
        <f t="shared" si="34"/>
        <v>0.19815944841734709</v>
      </c>
      <c r="Q369">
        <f t="shared" si="35"/>
        <v>0.12822081956416578</v>
      </c>
      <c r="R369">
        <f t="shared" si="36"/>
        <v>0.12239260049306733</v>
      </c>
    </row>
    <row r="370" spans="1:18" hidden="1" x14ac:dyDescent="0.25">
      <c r="A370" s="46">
        <v>2020</v>
      </c>
      <c r="B370" s="56">
        <v>241001</v>
      </c>
      <c r="C370" s="47" t="s">
        <v>67</v>
      </c>
      <c r="D370" s="47" t="s">
        <v>42</v>
      </c>
      <c r="E370" s="47" t="s">
        <v>45</v>
      </c>
      <c r="F370" s="46">
        <v>3890</v>
      </c>
      <c r="G370" s="46">
        <v>155</v>
      </c>
      <c r="H370" s="46">
        <v>915</v>
      </c>
      <c r="I370" s="46">
        <v>905</v>
      </c>
      <c r="J370" s="46">
        <v>405</v>
      </c>
      <c r="K370" s="46">
        <v>260</v>
      </c>
      <c r="L370" s="46">
        <v>1250</v>
      </c>
      <c r="M370">
        <f t="shared" si="31"/>
        <v>1.806747912040518E-2</v>
      </c>
      <c r="N370">
        <f t="shared" si="32"/>
        <v>0.10665640900110153</v>
      </c>
      <c r="O370">
        <f t="shared" si="33"/>
        <v>0.10549076518688183</v>
      </c>
      <c r="P370">
        <f t="shared" si="34"/>
        <v>4.7208574475897401E-2</v>
      </c>
      <c r="Q370">
        <f t="shared" si="35"/>
        <v>3.030673916971191E-2</v>
      </c>
      <c r="R370">
        <f t="shared" si="36"/>
        <v>0.14570547677746112</v>
      </c>
    </row>
    <row r="371" spans="1:18" hidden="1" x14ac:dyDescent="0.25">
      <c r="A371" s="46">
        <v>2020</v>
      </c>
      <c r="B371" s="56">
        <v>241001</v>
      </c>
      <c r="C371" s="47" t="s">
        <v>67</v>
      </c>
      <c r="D371" s="47" t="s">
        <v>42</v>
      </c>
      <c r="E371" s="47" t="s">
        <v>46</v>
      </c>
      <c r="F371" s="46">
        <v>8970</v>
      </c>
      <c r="G371" s="46">
        <v>345</v>
      </c>
      <c r="H371" s="46">
        <v>3140</v>
      </c>
      <c r="I371" s="46">
        <v>2475</v>
      </c>
      <c r="J371" s="46">
        <v>595</v>
      </c>
      <c r="K371" s="46">
        <v>285</v>
      </c>
      <c r="L371" s="46">
        <v>2130</v>
      </c>
      <c r="M371">
        <f t="shared" si="31"/>
        <v>4.0214711590579266E-2</v>
      </c>
      <c r="N371">
        <f t="shared" si="32"/>
        <v>0.3660121576649823</v>
      </c>
      <c r="O371">
        <f t="shared" si="33"/>
        <v>0.28849684401937298</v>
      </c>
      <c r="P371">
        <f t="shared" si="34"/>
        <v>6.9355806946071491E-2</v>
      </c>
      <c r="Q371">
        <f t="shared" si="35"/>
        <v>3.3220848705261131E-2</v>
      </c>
      <c r="R371">
        <f t="shared" si="36"/>
        <v>0.24828213242879374</v>
      </c>
    </row>
    <row r="372" spans="1:18" hidden="1" x14ac:dyDescent="0.25">
      <c r="A372" s="46">
        <v>2020</v>
      </c>
      <c r="B372" s="56">
        <v>241001</v>
      </c>
      <c r="C372" s="47" t="s">
        <v>67</v>
      </c>
      <c r="D372" s="47" t="s">
        <v>42</v>
      </c>
      <c r="E372" s="47" t="s">
        <v>47</v>
      </c>
      <c r="F372" s="46">
        <v>13920</v>
      </c>
      <c r="G372" s="46">
        <v>470</v>
      </c>
      <c r="H372" s="46">
        <v>3735</v>
      </c>
      <c r="I372" s="46">
        <v>4070</v>
      </c>
      <c r="J372" s="46">
        <v>2300</v>
      </c>
      <c r="K372" s="46">
        <v>925</v>
      </c>
      <c r="L372" s="46">
        <v>2420</v>
      </c>
      <c r="M372">
        <f t="shared" si="31"/>
        <v>5.4785259268325379E-2</v>
      </c>
      <c r="N372">
        <f t="shared" si="32"/>
        <v>0.43536796461105381</v>
      </c>
      <c r="O372">
        <f t="shared" si="33"/>
        <v>0.4744170323874134</v>
      </c>
      <c r="P372">
        <f t="shared" si="34"/>
        <v>0.26809807727052848</v>
      </c>
      <c r="Q372">
        <f t="shared" si="35"/>
        <v>0.10782205281532123</v>
      </c>
      <c r="R372">
        <f t="shared" si="36"/>
        <v>0.28208580304116471</v>
      </c>
    </row>
    <row r="373" spans="1:18" hidden="1" x14ac:dyDescent="0.25">
      <c r="A373" s="46">
        <v>2020</v>
      </c>
      <c r="B373" s="56">
        <v>241001</v>
      </c>
      <c r="C373" s="47" t="s">
        <v>67</v>
      </c>
      <c r="D373" s="47" t="s">
        <v>42</v>
      </c>
      <c r="E373" s="47" t="s">
        <v>48</v>
      </c>
      <c r="F373" s="46">
        <v>42490</v>
      </c>
      <c r="G373" s="46">
        <v>700</v>
      </c>
      <c r="H373" s="46">
        <v>5800</v>
      </c>
      <c r="I373" s="46">
        <v>6690</v>
      </c>
      <c r="J373" s="46">
        <v>5550</v>
      </c>
      <c r="K373" s="46">
        <v>3840</v>
      </c>
      <c r="L373" s="46">
        <v>19910</v>
      </c>
      <c r="M373">
        <f t="shared" si="31"/>
        <v>8.1595066995378218E-2</v>
      </c>
      <c r="N373">
        <f t="shared" si="32"/>
        <v>0.67607341224741957</v>
      </c>
      <c r="O373">
        <f t="shared" si="33"/>
        <v>0.77981571171297182</v>
      </c>
      <c r="P373">
        <f t="shared" si="34"/>
        <v>0.64693231689192732</v>
      </c>
      <c r="Q373">
        <f t="shared" si="35"/>
        <v>0.44760722466036051</v>
      </c>
      <c r="R373">
        <f t="shared" si="36"/>
        <v>2.3207968341114009</v>
      </c>
    </row>
    <row r="374" spans="1:18" hidden="1" x14ac:dyDescent="0.25">
      <c r="A374" s="46">
        <v>2020</v>
      </c>
      <c r="B374" s="56">
        <v>241001</v>
      </c>
      <c r="C374" s="47" t="s">
        <v>67</v>
      </c>
      <c r="D374" s="47" t="s">
        <v>42</v>
      </c>
      <c r="E374" s="47" t="s">
        <v>49</v>
      </c>
      <c r="F374" s="46">
        <v>17665</v>
      </c>
      <c r="G374" s="46">
        <v>115</v>
      </c>
      <c r="H374" s="46">
        <v>1120</v>
      </c>
      <c r="I374" s="46">
        <v>1105</v>
      </c>
      <c r="J374" s="46">
        <v>1010</v>
      </c>
      <c r="K374" s="46">
        <v>750</v>
      </c>
      <c r="L374" s="46">
        <v>13560</v>
      </c>
      <c r="M374">
        <f t="shared" si="31"/>
        <v>1.3404903863526422E-2</v>
      </c>
      <c r="N374">
        <f t="shared" si="32"/>
        <v>0.13055210719260515</v>
      </c>
      <c r="O374">
        <f t="shared" si="33"/>
        <v>0.12880364147127563</v>
      </c>
      <c r="P374">
        <f t="shared" si="34"/>
        <v>0.11773002523618858</v>
      </c>
      <c r="Q374">
        <f t="shared" si="35"/>
        <v>8.742328606647666E-2</v>
      </c>
      <c r="R374">
        <f t="shared" si="36"/>
        <v>1.5806130120818982</v>
      </c>
    </row>
    <row r="375" spans="1:18" hidden="1" x14ac:dyDescent="0.25">
      <c r="A375" s="46">
        <v>2020</v>
      </c>
      <c r="B375" s="56">
        <v>241001</v>
      </c>
      <c r="C375" s="47" t="s">
        <v>67</v>
      </c>
      <c r="D375" s="47" t="s">
        <v>42</v>
      </c>
      <c r="E375" s="47" t="s">
        <v>50</v>
      </c>
      <c r="F375" s="46">
        <v>12795</v>
      </c>
      <c r="G375" s="46">
        <v>25</v>
      </c>
      <c r="H375" s="46">
        <v>225</v>
      </c>
      <c r="I375" s="46">
        <v>220</v>
      </c>
      <c r="J375" s="46">
        <v>245</v>
      </c>
      <c r="K375" s="46">
        <v>170</v>
      </c>
      <c r="L375" s="46">
        <v>11910</v>
      </c>
      <c r="M375">
        <f t="shared" si="31"/>
        <v>2.914109535549222E-3</v>
      </c>
      <c r="N375">
        <f t="shared" si="32"/>
        <v>2.6226985819943E-2</v>
      </c>
      <c r="O375">
        <f t="shared" si="33"/>
        <v>2.5644163912833157E-2</v>
      </c>
      <c r="P375">
        <f t="shared" si="34"/>
        <v>2.8558273448382378E-2</v>
      </c>
      <c r="Q375">
        <f t="shared" si="35"/>
        <v>1.9815944841734712E-2</v>
      </c>
      <c r="R375">
        <f t="shared" si="36"/>
        <v>1.3882817827356495</v>
      </c>
    </row>
    <row r="376" spans="1:18" hidden="1" x14ac:dyDescent="0.25">
      <c r="A376" s="46">
        <v>2020</v>
      </c>
      <c r="B376" s="56">
        <v>241001</v>
      </c>
      <c r="C376" s="47" t="s">
        <v>67</v>
      </c>
      <c r="D376" s="47" t="s">
        <v>51</v>
      </c>
      <c r="E376" s="47" t="s">
        <v>43</v>
      </c>
      <c r="F376" s="46">
        <v>59275</v>
      </c>
      <c r="G376" s="46">
        <v>1270</v>
      </c>
      <c r="H376" s="46">
        <v>10285</v>
      </c>
      <c r="I376" s="46">
        <v>11390</v>
      </c>
      <c r="J376" s="46">
        <v>6720</v>
      </c>
      <c r="K376" s="46">
        <v>3955</v>
      </c>
      <c r="L376" s="46">
        <v>25665</v>
      </c>
      <c r="M376">
        <f t="shared" si="31"/>
        <v>0.1480367644059005</v>
      </c>
      <c r="N376">
        <f t="shared" si="32"/>
        <v>1.19886466292495</v>
      </c>
      <c r="O376">
        <f t="shared" si="33"/>
        <v>1.3276683043962256</v>
      </c>
      <c r="P376">
        <f t="shared" si="34"/>
        <v>0.78331264315563087</v>
      </c>
      <c r="Q376">
        <f t="shared" si="35"/>
        <v>0.46101212852388701</v>
      </c>
      <c r="R376">
        <f t="shared" si="36"/>
        <v>2.9916248491948316</v>
      </c>
    </row>
    <row r="377" spans="1:18" hidden="1" x14ac:dyDescent="0.25">
      <c r="A377" s="46">
        <v>2020</v>
      </c>
      <c r="B377" s="56">
        <v>241001</v>
      </c>
      <c r="C377" s="47" t="s">
        <v>67</v>
      </c>
      <c r="D377" s="47" t="s">
        <v>51</v>
      </c>
      <c r="E377" s="47" t="s">
        <v>44</v>
      </c>
      <c r="F377" s="46">
        <v>6420</v>
      </c>
      <c r="G377" s="46">
        <v>315</v>
      </c>
      <c r="H377" s="46">
        <v>2315</v>
      </c>
      <c r="I377" s="46">
        <v>1795</v>
      </c>
      <c r="J377" s="46">
        <v>885</v>
      </c>
      <c r="K377" s="46">
        <v>570</v>
      </c>
      <c r="L377" s="46">
        <v>535</v>
      </c>
      <c r="M377">
        <f t="shared" si="31"/>
        <v>3.6717780147920202E-2</v>
      </c>
      <c r="N377">
        <f t="shared" si="32"/>
        <v>0.26984654299185795</v>
      </c>
      <c r="O377">
        <f t="shared" si="33"/>
        <v>0.20923306465243419</v>
      </c>
      <c r="P377">
        <f t="shared" si="34"/>
        <v>0.10315947755844246</v>
      </c>
      <c r="Q377">
        <f t="shared" si="35"/>
        <v>6.6441697410522263E-2</v>
      </c>
      <c r="R377">
        <f t="shared" si="36"/>
        <v>6.2361944060753356E-2</v>
      </c>
    </row>
    <row r="378" spans="1:18" hidden="1" x14ac:dyDescent="0.25">
      <c r="A378" s="46">
        <v>2020</v>
      </c>
      <c r="B378" s="56">
        <v>241001</v>
      </c>
      <c r="C378" s="47" t="s">
        <v>67</v>
      </c>
      <c r="D378" s="47" t="s">
        <v>51</v>
      </c>
      <c r="E378" s="47" t="s">
        <v>45</v>
      </c>
      <c r="F378" s="46">
        <v>2055</v>
      </c>
      <c r="G378" s="46">
        <v>80</v>
      </c>
      <c r="H378" s="46">
        <v>490</v>
      </c>
      <c r="I378" s="46">
        <v>525</v>
      </c>
      <c r="J378" s="46">
        <v>210</v>
      </c>
      <c r="K378" s="46">
        <v>135</v>
      </c>
      <c r="L378" s="46">
        <v>615</v>
      </c>
      <c r="M378">
        <f t="shared" si="31"/>
        <v>9.3251505137575113E-3</v>
      </c>
      <c r="N378">
        <f t="shared" si="32"/>
        <v>5.7116546896764757E-2</v>
      </c>
      <c r="O378">
        <f t="shared" si="33"/>
        <v>6.1196300246533664E-2</v>
      </c>
      <c r="P378">
        <f t="shared" si="34"/>
        <v>2.4478520098613465E-2</v>
      </c>
      <c r="Q378">
        <f t="shared" si="35"/>
        <v>1.5736191491965801E-2</v>
      </c>
      <c r="R378">
        <f t="shared" si="36"/>
        <v>7.1687094574510862E-2</v>
      </c>
    </row>
    <row r="379" spans="1:18" hidden="1" x14ac:dyDescent="0.25">
      <c r="A379" s="46">
        <v>2020</v>
      </c>
      <c r="B379" s="56">
        <v>241001</v>
      </c>
      <c r="C379" s="47" t="s">
        <v>67</v>
      </c>
      <c r="D379" s="47" t="s">
        <v>51</v>
      </c>
      <c r="E379" s="47" t="s">
        <v>46</v>
      </c>
      <c r="F379" s="46">
        <v>5110</v>
      </c>
      <c r="G379" s="46">
        <v>170</v>
      </c>
      <c r="H379" s="46">
        <v>1655</v>
      </c>
      <c r="I379" s="46">
        <v>1690</v>
      </c>
      <c r="J379" s="46">
        <v>370</v>
      </c>
      <c r="K379" s="46">
        <v>160</v>
      </c>
      <c r="L379" s="46">
        <v>1070</v>
      </c>
      <c r="M379">
        <f t="shared" si="31"/>
        <v>1.9815944841734712E-2</v>
      </c>
      <c r="N379">
        <f t="shared" si="32"/>
        <v>0.19291405125335853</v>
      </c>
      <c r="O379">
        <f t="shared" si="33"/>
        <v>0.19699380460312743</v>
      </c>
      <c r="P379">
        <f t="shared" si="34"/>
        <v>4.3128821126128487E-2</v>
      </c>
      <c r="Q379">
        <f t="shared" si="35"/>
        <v>1.8650301027515023E-2</v>
      </c>
      <c r="R379">
        <f t="shared" si="36"/>
        <v>0.12472388812150671</v>
      </c>
    </row>
    <row r="380" spans="1:18" hidden="1" x14ac:dyDescent="0.25">
      <c r="A380" s="46">
        <v>2020</v>
      </c>
      <c r="B380" s="56">
        <v>241001</v>
      </c>
      <c r="C380" s="47" t="s">
        <v>67</v>
      </c>
      <c r="D380" s="47" t="s">
        <v>51</v>
      </c>
      <c r="E380" s="47" t="s">
        <v>47</v>
      </c>
      <c r="F380" s="46">
        <v>8015</v>
      </c>
      <c r="G380" s="46">
        <v>245</v>
      </c>
      <c r="H380" s="46">
        <v>2065</v>
      </c>
      <c r="I380" s="46">
        <v>2625</v>
      </c>
      <c r="J380" s="46">
        <v>1335</v>
      </c>
      <c r="K380" s="46">
        <v>485</v>
      </c>
      <c r="L380" s="46">
        <v>1255</v>
      </c>
      <c r="M380">
        <f t="shared" si="31"/>
        <v>2.8558273448382378E-2</v>
      </c>
      <c r="N380">
        <f t="shared" si="32"/>
        <v>0.24070544763636578</v>
      </c>
      <c r="O380">
        <f t="shared" si="33"/>
        <v>0.30598150123266837</v>
      </c>
      <c r="P380">
        <f t="shared" si="34"/>
        <v>0.15561344919832848</v>
      </c>
      <c r="Q380">
        <f t="shared" si="35"/>
        <v>5.6533724989654914E-2</v>
      </c>
      <c r="R380">
        <f t="shared" si="36"/>
        <v>0.14628829868457094</v>
      </c>
    </row>
    <row r="381" spans="1:18" hidden="1" x14ac:dyDescent="0.25">
      <c r="A381" s="46">
        <v>2020</v>
      </c>
      <c r="B381" s="56">
        <v>241001</v>
      </c>
      <c r="C381" s="47" t="s">
        <v>67</v>
      </c>
      <c r="D381" s="47" t="s">
        <v>51</v>
      </c>
      <c r="E381" s="47" t="s">
        <v>48</v>
      </c>
      <c r="F381" s="46">
        <v>22460</v>
      </c>
      <c r="G381" s="46">
        <v>395</v>
      </c>
      <c r="H381" s="46">
        <v>3055</v>
      </c>
      <c r="I381" s="46">
        <v>4045</v>
      </c>
      <c r="J381" s="46">
        <v>3235</v>
      </c>
      <c r="K381" s="46">
        <v>2120</v>
      </c>
      <c r="L381" s="46">
        <v>9615</v>
      </c>
      <c r="M381">
        <f t="shared" si="31"/>
        <v>4.6042930661677708E-2</v>
      </c>
      <c r="N381">
        <f t="shared" si="32"/>
        <v>0.35610418524411491</v>
      </c>
      <c r="O381">
        <f t="shared" si="33"/>
        <v>0.47150292285186413</v>
      </c>
      <c r="P381">
        <f t="shared" si="34"/>
        <v>0.37708577390006937</v>
      </c>
      <c r="Q381">
        <f t="shared" si="35"/>
        <v>0.24711648861457405</v>
      </c>
      <c r="R381">
        <f t="shared" si="36"/>
        <v>1.1207665273722309</v>
      </c>
    </row>
    <row r="382" spans="1:18" hidden="1" x14ac:dyDescent="0.25">
      <c r="A382" s="46">
        <v>2020</v>
      </c>
      <c r="B382" s="56">
        <v>241001</v>
      </c>
      <c r="C382" s="47" t="s">
        <v>67</v>
      </c>
      <c r="D382" s="47" t="s">
        <v>51</v>
      </c>
      <c r="E382" s="47" t="s">
        <v>49</v>
      </c>
      <c r="F382" s="46">
        <v>9225</v>
      </c>
      <c r="G382" s="46">
        <v>50</v>
      </c>
      <c r="H382" s="46">
        <v>600</v>
      </c>
      <c r="I382" s="46">
        <v>610</v>
      </c>
      <c r="J382" s="46">
        <v>575</v>
      </c>
      <c r="K382" s="46">
        <v>420</v>
      </c>
      <c r="L382" s="46">
        <v>6965</v>
      </c>
      <c r="M382">
        <f t="shared" si="31"/>
        <v>5.8282190710984439E-3</v>
      </c>
      <c r="N382">
        <f t="shared" si="32"/>
        <v>6.9938628853181334E-2</v>
      </c>
      <c r="O382">
        <f t="shared" si="33"/>
        <v>7.1104272667401019E-2</v>
      </c>
      <c r="P382">
        <f t="shared" si="34"/>
        <v>6.702451931763212E-2</v>
      </c>
      <c r="Q382">
        <f t="shared" si="35"/>
        <v>4.895704019722693E-2</v>
      </c>
      <c r="R382">
        <f t="shared" si="36"/>
        <v>0.81187091660401334</v>
      </c>
    </row>
    <row r="383" spans="1:18" hidden="1" x14ac:dyDescent="0.25">
      <c r="A383" s="46">
        <v>2020</v>
      </c>
      <c r="B383" s="56">
        <v>241001</v>
      </c>
      <c r="C383" s="47" t="s">
        <v>67</v>
      </c>
      <c r="D383" s="47" t="s">
        <v>51</v>
      </c>
      <c r="E383" s="47" t="s">
        <v>50</v>
      </c>
      <c r="F383" s="46">
        <v>5985</v>
      </c>
      <c r="G383" s="46">
        <v>10</v>
      </c>
      <c r="H383" s="46">
        <v>105</v>
      </c>
      <c r="I383" s="46">
        <v>100</v>
      </c>
      <c r="J383" s="46">
        <v>105</v>
      </c>
      <c r="K383" s="46">
        <v>65</v>
      </c>
      <c r="L383" s="46">
        <v>5605</v>
      </c>
      <c r="M383">
        <f t="shared" si="31"/>
        <v>1.1656438142196889E-3</v>
      </c>
      <c r="N383">
        <f t="shared" si="32"/>
        <v>1.2239260049306732E-2</v>
      </c>
      <c r="O383">
        <f t="shared" si="33"/>
        <v>1.1656438142196888E-2</v>
      </c>
      <c r="P383">
        <f t="shared" si="34"/>
        <v>1.2239260049306732E-2</v>
      </c>
      <c r="Q383">
        <f t="shared" si="35"/>
        <v>7.5766847924279776E-3</v>
      </c>
      <c r="R383">
        <f t="shared" si="36"/>
        <v>0.65334335787013553</v>
      </c>
    </row>
    <row r="384" spans="1:18" hidden="1" x14ac:dyDescent="0.25">
      <c r="A384" s="46">
        <v>2020</v>
      </c>
      <c r="B384" s="56">
        <v>241001</v>
      </c>
      <c r="C384" s="47" t="s">
        <v>67</v>
      </c>
      <c r="D384" s="47" t="s">
        <v>52</v>
      </c>
      <c r="E384" s="47" t="s">
        <v>43</v>
      </c>
      <c r="F384" s="46">
        <v>52845</v>
      </c>
      <c r="G384" s="46">
        <v>1105</v>
      </c>
      <c r="H384" s="46">
        <v>9280</v>
      </c>
      <c r="I384" s="46">
        <v>7425</v>
      </c>
      <c r="J384" s="46">
        <v>5085</v>
      </c>
      <c r="K384" s="46">
        <v>3380</v>
      </c>
      <c r="L384" s="46">
        <v>26570</v>
      </c>
      <c r="M384">
        <f t="shared" si="31"/>
        <v>0.12880364147127563</v>
      </c>
      <c r="N384">
        <f t="shared" si="32"/>
        <v>1.0817174595958714</v>
      </c>
      <c r="O384">
        <f t="shared" si="33"/>
        <v>0.86549053205811888</v>
      </c>
      <c r="P384">
        <f t="shared" si="34"/>
        <v>0.59272987953071177</v>
      </c>
      <c r="Q384">
        <f t="shared" si="35"/>
        <v>0.39398760920625486</v>
      </c>
      <c r="R384">
        <f t="shared" si="36"/>
        <v>3.0971156143817136</v>
      </c>
    </row>
    <row r="385" spans="1:18" hidden="1" x14ac:dyDescent="0.25">
      <c r="A385" s="46">
        <v>2020</v>
      </c>
      <c r="B385" s="56">
        <v>241001</v>
      </c>
      <c r="C385" s="47" t="s">
        <v>67</v>
      </c>
      <c r="D385" s="47" t="s">
        <v>52</v>
      </c>
      <c r="E385" s="47" t="s">
        <v>44</v>
      </c>
      <c r="F385" s="46">
        <v>5975</v>
      </c>
      <c r="G385" s="46">
        <v>250</v>
      </c>
      <c r="H385" s="46">
        <v>2310</v>
      </c>
      <c r="I385" s="46">
        <v>1555</v>
      </c>
      <c r="J385" s="46">
        <v>810</v>
      </c>
      <c r="K385" s="46">
        <v>530</v>
      </c>
      <c r="L385" s="46">
        <v>515</v>
      </c>
      <c r="M385">
        <f t="shared" si="31"/>
        <v>2.9141095355492221E-2</v>
      </c>
      <c r="N385">
        <f t="shared" si="32"/>
        <v>0.26926372108474811</v>
      </c>
      <c r="O385">
        <f t="shared" si="33"/>
        <v>0.18125761311116162</v>
      </c>
      <c r="P385">
        <f t="shared" si="34"/>
        <v>9.4417148951794802E-2</v>
      </c>
      <c r="Q385">
        <f t="shared" si="35"/>
        <v>6.1779122153643513E-2</v>
      </c>
      <c r="R385">
        <f t="shared" si="36"/>
        <v>6.0030656432313978E-2</v>
      </c>
    </row>
    <row r="386" spans="1:18" hidden="1" x14ac:dyDescent="0.25">
      <c r="A386" s="46">
        <v>2020</v>
      </c>
      <c r="B386" s="56">
        <v>241001</v>
      </c>
      <c r="C386" s="47" t="s">
        <v>67</v>
      </c>
      <c r="D386" s="47" t="s">
        <v>52</v>
      </c>
      <c r="E386" s="47" t="s">
        <v>45</v>
      </c>
      <c r="F386" s="46">
        <v>1830</v>
      </c>
      <c r="G386" s="46">
        <v>75</v>
      </c>
      <c r="H386" s="46">
        <v>425</v>
      </c>
      <c r="I386" s="46">
        <v>380</v>
      </c>
      <c r="J386" s="46">
        <v>195</v>
      </c>
      <c r="K386" s="46">
        <v>125</v>
      </c>
      <c r="L386" s="46">
        <v>630</v>
      </c>
      <c r="M386">
        <f t="shared" si="31"/>
        <v>8.7423286066476667E-3</v>
      </c>
      <c r="N386">
        <f t="shared" si="32"/>
        <v>4.9539862104336772E-2</v>
      </c>
      <c r="O386">
        <f t="shared" si="33"/>
        <v>4.429446494034818E-2</v>
      </c>
      <c r="P386">
        <f t="shared" si="34"/>
        <v>2.2730054377283933E-2</v>
      </c>
      <c r="Q386">
        <f t="shared" si="35"/>
        <v>1.4570547677746111E-2</v>
      </c>
      <c r="R386">
        <f t="shared" si="36"/>
        <v>7.3435560295840405E-2</v>
      </c>
    </row>
    <row r="387" spans="1:18" hidden="1" x14ac:dyDescent="0.25">
      <c r="A387" s="46">
        <v>2020</v>
      </c>
      <c r="B387" s="56">
        <v>241001</v>
      </c>
      <c r="C387" s="47" t="s">
        <v>67</v>
      </c>
      <c r="D387" s="47" t="s">
        <v>52</v>
      </c>
      <c r="E387" s="47" t="s">
        <v>46</v>
      </c>
      <c r="F387" s="46">
        <v>3860</v>
      </c>
      <c r="G387" s="46">
        <v>175</v>
      </c>
      <c r="H387" s="46">
        <v>1490</v>
      </c>
      <c r="I387" s="46">
        <v>785</v>
      </c>
      <c r="J387" s="46">
        <v>225</v>
      </c>
      <c r="K387" s="46">
        <v>125</v>
      </c>
      <c r="L387" s="46">
        <v>1060</v>
      </c>
      <c r="M387">
        <f t="shared" si="31"/>
        <v>2.0398766748844555E-2</v>
      </c>
      <c r="N387">
        <f t="shared" si="32"/>
        <v>0.17368092831873364</v>
      </c>
      <c r="O387">
        <f t="shared" si="33"/>
        <v>9.1503039416245574E-2</v>
      </c>
      <c r="P387">
        <f t="shared" si="34"/>
        <v>2.6226985819943E-2</v>
      </c>
      <c r="Q387">
        <f t="shared" si="35"/>
        <v>1.4570547677746111E-2</v>
      </c>
      <c r="R387">
        <f t="shared" si="36"/>
        <v>0.12355824430728703</v>
      </c>
    </row>
    <row r="388" spans="1:18" hidden="1" x14ac:dyDescent="0.25">
      <c r="A388" s="46">
        <v>2020</v>
      </c>
      <c r="B388" s="56">
        <v>241001</v>
      </c>
      <c r="C388" s="47" t="s">
        <v>67</v>
      </c>
      <c r="D388" s="47" t="s">
        <v>52</v>
      </c>
      <c r="E388" s="47" t="s">
        <v>47</v>
      </c>
      <c r="F388" s="46">
        <v>5905</v>
      </c>
      <c r="G388" s="46">
        <v>220</v>
      </c>
      <c r="H388" s="46">
        <v>1670</v>
      </c>
      <c r="I388" s="46">
        <v>1440</v>
      </c>
      <c r="J388" s="46">
        <v>965</v>
      </c>
      <c r="K388" s="46">
        <v>440</v>
      </c>
      <c r="L388" s="46">
        <v>1165</v>
      </c>
      <c r="M388">
        <f t="shared" si="31"/>
        <v>2.5644163912833157E-2</v>
      </c>
      <c r="N388">
        <f t="shared" si="32"/>
        <v>0.19466251697468803</v>
      </c>
      <c r="O388">
        <f t="shared" si="33"/>
        <v>0.16785270924763521</v>
      </c>
      <c r="P388">
        <f t="shared" si="34"/>
        <v>0.11248462807219997</v>
      </c>
      <c r="Q388">
        <f t="shared" si="35"/>
        <v>5.1288327825666315E-2</v>
      </c>
      <c r="R388">
        <f t="shared" si="36"/>
        <v>0.13579750435659374</v>
      </c>
    </row>
    <row r="389" spans="1:18" hidden="1" x14ac:dyDescent="0.25">
      <c r="A389" s="46">
        <v>2020</v>
      </c>
      <c r="B389" s="56">
        <v>241001</v>
      </c>
      <c r="C389" s="47" t="s">
        <v>67</v>
      </c>
      <c r="D389" s="47" t="s">
        <v>52</v>
      </c>
      <c r="E389" s="47" t="s">
        <v>48</v>
      </c>
      <c r="F389" s="46">
        <v>20030</v>
      </c>
      <c r="G389" s="46">
        <v>310</v>
      </c>
      <c r="H389" s="46">
        <v>2745</v>
      </c>
      <c r="I389" s="46">
        <v>2645</v>
      </c>
      <c r="J389" s="46">
        <v>2315</v>
      </c>
      <c r="K389" s="46">
        <v>1720</v>
      </c>
      <c r="L389" s="46">
        <v>10295</v>
      </c>
      <c r="M389">
        <f t="shared" si="31"/>
        <v>3.613495824081036E-2</v>
      </c>
      <c r="N389">
        <f t="shared" si="32"/>
        <v>0.3199692270033046</v>
      </c>
      <c r="O389">
        <f t="shared" si="33"/>
        <v>0.30831278886110774</v>
      </c>
      <c r="P389">
        <f t="shared" si="34"/>
        <v>0.26984654299185795</v>
      </c>
      <c r="Q389">
        <f t="shared" si="35"/>
        <v>0.20049073604578646</v>
      </c>
      <c r="R389">
        <f t="shared" si="36"/>
        <v>1.2000303067391698</v>
      </c>
    </row>
    <row r="390" spans="1:18" hidden="1" x14ac:dyDescent="0.25">
      <c r="A390" s="46">
        <v>2020</v>
      </c>
      <c r="B390" s="56">
        <v>241001</v>
      </c>
      <c r="C390" s="47" t="s">
        <v>67</v>
      </c>
      <c r="D390" s="47" t="s">
        <v>52</v>
      </c>
      <c r="E390" s="47" t="s">
        <v>49</v>
      </c>
      <c r="F390" s="46">
        <v>8440</v>
      </c>
      <c r="G390" s="46">
        <v>65</v>
      </c>
      <c r="H390" s="46">
        <v>520</v>
      </c>
      <c r="I390" s="46">
        <v>495</v>
      </c>
      <c r="J390" s="46">
        <v>435</v>
      </c>
      <c r="K390" s="46">
        <v>330</v>
      </c>
      <c r="L390" s="46">
        <v>6595</v>
      </c>
      <c r="M390">
        <f t="shared" si="31"/>
        <v>7.5766847924279776E-3</v>
      </c>
      <c r="N390">
        <f t="shared" si="32"/>
        <v>6.0613478339423821E-2</v>
      </c>
      <c r="O390">
        <f t="shared" si="33"/>
        <v>5.76993688038746E-2</v>
      </c>
      <c r="P390">
        <f t="shared" si="34"/>
        <v>5.0705505918556465E-2</v>
      </c>
      <c r="Q390">
        <f t="shared" si="35"/>
        <v>3.8466245869249731E-2</v>
      </c>
      <c r="R390">
        <f t="shared" si="36"/>
        <v>0.76874209547788486</v>
      </c>
    </row>
    <row r="391" spans="1:18" hidden="1" x14ac:dyDescent="0.25">
      <c r="A391" s="46">
        <v>2020</v>
      </c>
      <c r="B391" s="56">
        <v>241001</v>
      </c>
      <c r="C391" s="47" t="s">
        <v>67</v>
      </c>
      <c r="D391" s="47" t="s">
        <v>52</v>
      </c>
      <c r="E391" s="47" t="s">
        <v>50</v>
      </c>
      <c r="F391" s="46">
        <v>6810</v>
      </c>
      <c r="G391" s="46">
        <v>15</v>
      </c>
      <c r="H391" s="46">
        <v>120</v>
      </c>
      <c r="I391" s="46">
        <v>120</v>
      </c>
      <c r="J391" s="46">
        <v>140</v>
      </c>
      <c r="K391" s="46">
        <v>105</v>
      </c>
      <c r="L391" s="46">
        <v>6305</v>
      </c>
      <c r="M391">
        <f t="shared" si="31"/>
        <v>1.7484657213295333E-3</v>
      </c>
      <c r="N391">
        <f t="shared" si="32"/>
        <v>1.3987725770636266E-2</v>
      </c>
      <c r="O391">
        <f t="shared" si="33"/>
        <v>1.3987725770636266E-2</v>
      </c>
      <c r="P391">
        <f t="shared" si="34"/>
        <v>1.6319013399075644E-2</v>
      </c>
      <c r="Q391">
        <f t="shared" si="35"/>
        <v>1.2239260049306732E-2</v>
      </c>
      <c r="R391">
        <f t="shared" si="36"/>
        <v>0.73493842486551386</v>
      </c>
    </row>
    <row r="392" spans="1:18" x14ac:dyDescent="0.25">
      <c r="A392" s="46">
        <v>2020</v>
      </c>
      <c r="B392" s="56">
        <v>251</v>
      </c>
      <c r="C392" s="47" t="s">
        <v>68</v>
      </c>
      <c r="D392" s="47" t="s">
        <v>42</v>
      </c>
      <c r="E392" s="47" t="s">
        <v>43</v>
      </c>
      <c r="F392" s="46">
        <v>19395</v>
      </c>
      <c r="G392" s="46">
        <v>1180</v>
      </c>
      <c r="H392" s="46">
        <v>4030</v>
      </c>
      <c r="I392" s="46">
        <v>4370</v>
      </c>
      <c r="J392" s="46">
        <v>2335</v>
      </c>
      <c r="K392" s="46">
        <v>1250</v>
      </c>
      <c r="L392" s="46">
        <v>6230</v>
      </c>
      <c r="M392">
        <f t="shared" si="31"/>
        <v>0.1375459700779233</v>
      </c>
      <c r="N392">
        <f t="shared" si="32"/>
        <v>0.46975445713053465</v>
      </c>
      <c r="O392">
        <f t="shared" si="33"/>
        <v>0.50938634681400408</v>
      </c>
      <c r="P392">
        <f t="shared" si="34"/>
        <v>0.27217783062029732</v>
      </c>
      <c r="Q392">
        <f t="shared" si="35"/>
        <v>0.14570547677746112</v>
      </c>
      <c r="R392">
        <f t="shared" si="36"/>
        <v>0.72619609625886616</v>
      </c>
    </row>
    <row r="393" spans="1:18" hidden="1" x14ac:dyDescent="0.25">
      <c r="A393" s="46">
        <v>2020</v>
      </c>
      <c r="B393" s="56">
        <v>251</v>
      </c>
      <c r="C393" s="47" t="s">
        <v>68</v>
      </c>
      <c r="D393" s="47" t="s">
        <v>42</v>
      </c>
      <c r="E393" s="47" t="s">
        <v>44</v>
      </c>
      <c r="F393" s="46">
        <v>3570</v>
      </c>
      <c r="G393" s="46">
        <v>325</v>
      </c>
      <c r="H393" s="46">
        <v>1300</v>
      </c>
      <c r="I393" s="46">
        <v>1140</v>
      </c>
      <c r="J393" s="46">
        <v>380</v>
      </c>
      <c r="K393" s="46">
        <v>190</v>
      </c>
      <c r="L393" s="46">
        <v>230</v>
      </c>
      <c r="M393">
        <f t="shared" ref="M393:M456" si="37">G393/$F$8*100</f>
        <v>3.7883423962139888E-2</v>
      </c>
      <c r="N393">
        <f t="shared" ref="N393:N456" si="38">H393/$F$8*100</f>
        <v>0.15153369584855955</v>
      </c>
      <c r="O393">
        <f t="shared" ref="O393:O456" si="39">I393/$F$8*100</f>
        <v>0.13288339482104453</v>
      </c>
      <c r="P393">
        <f t="shared" ref="P393:P456" si="40">J393/$F$8*100</f>
        <v>4.429446494034818E-2</v>
      </c>
      <c r="Q393">
        <f t="shared" ref="Q393:Q456" si="41">K393/$F$8*100</f>
        <v>2.214723247017409E-2</v>
      </c>
      <c r="R393">
        <f t="shared" ref="R393:R456" si="42">L393/$F$8*100</f>
        <v>2.6809807727052843E-2</v>
      </c>
    </row>
    <row r="394" spans="1:18" hidden="1" x14ac:dyDescent="0.25">
      <c r="A394" s="46">
        <v>2020</v>
      </c>
      <c r="B394" s="56">
        <v>251</v>
      </c>
      <c r="C394" s="47" t="s">
        <v>68</v>
      </c>
      <c r="D394" s="47" t="s">
        <v>42</v>
      </c>
      <c r="E394" s="47" t="s">
        <v>45</v>
      </c>
      <c r="F394" s="46">
        <v>1070</v>
      </c>
      <c r="G394" s="46">
        <v>75</v>
      </c>
      <c r="H394" s="46">
        <v>255</v>
      </c>
      <c r="I394" s="46">
        <v>345</v>
      </c>
      <c r="J394" s="46">
        <v>110</v>
      </c>
      <c r="K394" s="46">
        <v>50</v>
      </c>
      <c r="L394" s="46">
        <v>230</v>
      </c>
      <c r="M394">
        <f t="shared" si="37"/>
        <v>8.7423286066476667E-3</v>
      </c>
      <c r="N394">
        <f t="shared" si="38"/>
        <v>2.9723917262602068E-2</v>
      </c>
      <c r="O394">
        <f t="shared" si="39"/>
        <v>4.0214711590579266E-2</v>
      </c>
      <c r="P394">
        <f t="shared" si="40"/>
        <v>1.2822081956416579E-2</v>
      </c>
      <c r="Q394">
        <f t="shared" si="41"/>
        <v>5.8282190710984439E-3</v>
      </c>
      <c r="R394">
        <f t="shared" si="42"/>
        <v>2.6809807727052843E-2</v>
      </c>
    </row>
    <row r="395" spans="1:18" hidden="1" x14ac:dyDescent="0.25">
      <c r="A395" s="46">
        <v>2020</v>
      </c>
      <c r="B395" s="56">
        <v>251</v>
      </c>
      <c r="C395" s="47" t="s">
        <v>68</v>
      </c>
      <c r="D395" s="47" t="s">
        <v>42</v>
      </c>
      <c r="E395" s="47" t="s">
        <v>46</v>
      </c>
      <c r="F395" s="46">
        <v>1435</v>
      </c>
      <c r="G395" s="46">
        <v>135</v>
      </c>
      <c r="H395" s="46">
        <v>430</v>
      </c>
      <c r="I395" s="46">
        <v>470</v>
      </c>
      <c r="J395" s="46">
        <v>90</v>
      </c>
      <c r="K395" s="46">
        <v>55</v>
      </c>
      <c r="L395" s="46">
        <v>255</v>
      </c>
      <c r="M395">
        <f t="shared" si="37"/>
        <v>1.5736191491965801E-2</v>
      </c>
      <c r="N395">
        <f t="shared" si="38"/>
        <v>5.0122684011446615E-2</v>
      </c>
      <c r="O395">
        <f t="shared" si="39"/>
        <v>5.4785259268325379E-2</v>
      </c>
      <c r="P395">
        <f t="shared" si="40"/>
        <v>1.04907943279772E-2</v>
      </c>
      <c r="Q395">
        <f t="shared" si="41"/>
        <v>6.4110409782082893E-3</v>
      </c>
      <c r="R395">
        <f t="shared" si="42"/>
        <v>2.9723917262602068E-2</v>
      </c>
    </row>
    <row r="396" spans="1:18" hidden="1" x14ac:dyDescent="0.25">
      <c r="A396" s="46">
        <v>2020</v>
      </c>
      <c r="B396" s="56">
        <v>251</v>
      </c>
      <c r="C396" s="47" t="s">
        <v>68</v>
      </c>
      <c r="D396" s="47" t="s">
        <v>42</v>
      </c>
      <c r="E396" s="47" t="s">
        <v>47</v>
      </c>
      <c r="F396" s="46">
        <v>1715</v>
      </c>
      <c r="G396" s="46">
        <v>135</v>
      </c>
      <c r="H396" s="46">
        <v>410</v>
      </c>
      <c r="I396" s="46">
        <v>515</v>
      </c>
      <c r="J396" s="46">
        <v>270</v>
      </c>
      <c r="K396" s="46">
        <v>95</v>
      </c>
      <c r="L396" s="46">
        <v>285</v>
      </c>
      <c r="M396">
        <f t="shared" si="37"/>
        <v>1.5736191491965801E-2</v>
      </c>
      <c r="N396">
        <f t="shared" si="38"/>
        <v>4.7791396383007244E-2</v>
      </c>
      <c r="O396">
        <f t="shared" si="39"/>
        <v>6.0030656432313978E-2</v>
      </c>
      <c r="P396">
        <f t="shared" si="40"/>
        <v>3.1472382983931603E-2</v>
      </c>
      <c r="Q396">
        <f t="shared" si="41"/>
        <v>1.1073616235087045E-2</v>
      </c>
      <c r="R396">
        <f t="shared" si="42"/>
        <v>3.3220848705261131E-2</v>
      </c>
    </row>
    <row r="397" spans="1:18" hidden="1" x14ac:dyDescent="0.25">
      <c r="A397" s="46">
        <v>2020</v>
      </c>
      <c r="B397" s="56">
        <v>251</v>
      </c>
      <c r="C397" s="47" t="s">
        <v>68</v>
      </c>
      <c r="D397" s="47" t="s">
        <v>42</v>
      </c>
      <c r="E397" s="47" t="s">
        <v>48</v>
      </c>
      <c r="F397" s="46">
        <v>7400</v>
      </c>
      <c r="G397" s="46">
        <v>380</v>
      </c>
      <c r="H397" s="46">
        <v>1275</v>
      </c>
      <c r="I397" s="46">
        <v>1495</v>
      </c>
      <c r="J397" s="46">
        <v>1070</v>
      </c>
      <c r="K397" s="46">
        <v>640</v>
      </c>
      <c r="L397" s="46">
        <v>2535</v>
      </c>
      <c r="M397">
        <f t="shared" si="37"/>
        <v>4.429446494034818E-2</v>
      </c>
      <c r="N397">
        <f t="shared" si="38"/>
        <v>0.14861958631301034</v>
      </c>
      <c r="O397">
        <f t="shared" si="39"/>
        <v>0.17426375022584351</v>
      </c>
      <c r="P397">
        <f t="shared" si="40"/>
        <v>0.12472388812150671</v>
      </c>
      <c r="Q397">
        <f t="shared" si="41"/>
        <v>7.460120411006009E-2</v>
      </c>
      <c r="R397">
        <f t="shared" si="42"/>
        <v>0.29549070690469115</v>
      </c>
    </row>
    <row r="398" spans="1:18" hidden="1" x14ac:dyDescent="0.25">
      <c r="A398" s="46">
        <v>2020</v>
      </c>
      <c r="B398" s="56">
        <v>251</v>
      </c>
      <c r="C398" s="47" t="s">
        <v>68</v>
      </c>
      <c r="D398" s="47" t="s">
        <v>42</v>
      </c>
      <c r="E398" s="47" t="s">
        <v>49</v>
      </c>
      <c r="F398" s="46">
        <v>3130</v>
      </c>
      <c r="G398" s="46">
        <v>110</v>
      </c>
      <c r="H398" s="46">
        <v>330</v>
      </c>
      <c r="I398" s="46">
        <v>335</v>
      </c>
      <c r="J398" s="46">
        <v>365</v>
      </c>
      <c r="K398" s="46">
        <v>195</v>
      </c>
      <c r="L398" s="46">
        <v>1800</v>
      </c>
      <c r="M398">
        <f t="shared" si="37"/>
        <v>1.2822081956416579E-2</v>
      </c>
      <c r="N398">
        <f t="shared" si="38"/>
        <v>3.8466245869249731E-2</v>
      </c>
      <c r="O398">
        <f t="shared" si="39"/>
        <v>3.9049067776359581E-2</v>
      </c>
      <c r="P398">
        <f t="shared" si="40"/>
        <v>4.2545999219018645E-2</v>
      </c>
      <c r="Q398">
        <f t="shared" si="41"/>
        <v>2.2730054377283933E-2</v>
      </c>
      <c r="R398">
        <f t="shared" si="42"/>
        <v>0.209815886559544</v>
      </c>
    </row>
    <row r="399" spans="1:18" hidden="1" x14ac:dyDescent="0.25">
      <c r="A399" s="46">
        <v>2020</v>
      </c>
      <c r="B399" s="56">
        <v>251</v>
      </c>
      <c r="C399" s="47" t="s">
        <v>68</v>
      </c>
      <c r="D399" s="47" t="s">
        <v>42</v>
      </c>
      <c r="E399" s="47" t="s">
        <v>50</v>
      </c>
      <c r="F399" s="46">
        <v>1075</v>
      </c>
      <c r="G399" s="46">
        <v>15</v>
      </c>
      <c r="H399" s="46">
        <v>30</v>
      </c>
      <c r="I399" s="46">
        <v>70</v>
      </c>
      <c r="J399" s="46">
        <v>45</v>
      </c>
      <c r="K399" s="46">
        <v>25</v>
      </c>
      <c r="L399" s="46">
        <v>890</v>
      </c>
      <c r="M399">
        <f t="shared" si="37"/>
        <v>1.7484657213295333E-3</v>
      </c>
      <c r="N399">
        <f t="shared" si="38"/>
        <v>3.4969314426590665E-3</v>
      </c>
      <c r="O399">
        <f t="shared" si="39"/>
        <v>8.1595066995378222E-3</v>
      </c>
      <c r="P399">
        <f t="shared" si="40"/>
        <v>5.2453971639886002E-3</v>
      </c>
      <c r="Q399">
        <f t="shared" si="41"/>
        <v>2.914109535549222E-3</v>
      </c>
      <c r="R399">
        <f t="shared" si="42"/>
        <v>0.10374229946555232</v>
      </c>
    </row>
    <row r="400" spans="1:18" hidden="1" x14ac:dyDescent="0.25">
      <c r="A400" s="46">
        <v>2020</v>
      </c>
      <c r="B400" s="56">
        <v>251</v>
      </c>
      <c r="C400" s="47" t="s">
        <v>68</v>
      </c>
      <c r="D400" s="47" t="s">
        <v>51</v>
      </c>
      <c r="E400" s="47" t="s">
        <v>43</v>
      </c>
      <c r="F400" s="46">
        <v>10265</v>
      </c>
      <c r="G400" s="46">
        <v>685</v>
      </c>
      <c r="H400" s="46">
        <v>2115</v>
      </c>
      <c r="I400" s="46">
        <v>2425</v>
      </c>
      <c r="J400" s="46">
        <v>1310</v>
      </c>
      <c r="K400" s="46">
        <v>665</v>
      </c>
      <c r="L400" s="46">
        <v>3060</v>
      </c>
      <c r="M400">
        <f t="shared" si="37"/>
        <v>7.984660127404869E-2</v>
      </c>
      <c r="N400">
        <f t="shared" si="38"/>
        <v>0.24653366670746418</v>
      </c>
      <c r="O400">
        <f t="shared" si="39"/>
        <v>0.28266862494827455</v>
      </c>
      <c r="P400">
        <f t="shared" si="40"/>
        <v>0.15269933966277924</v>
      </c>
      <c r="Q400">
        <f t="shared" si="41"/>
        <v>7.7515313645609304E-2</v>
      </c>
      <c r="R400">
        <f t="shared" si="42"/>
        <v>0.35668700715122481</v>
      </c>
    </row>
    <row r="401" spans="1:18" hidden="1" x14ac:dyDescent="0.25">
      <c r="A401" s="46">
        <v>2020</v>
      </c>
      <c r="B401" s="56">
        <v>251</v>
      </c>
      <c r="C401" s="47" t="s">
        <v>68</v>
      </c>
      <c r="D401" s="47" t="s">
        <v>51</v>
      </c>
      <c r="E401" s="47" t="s">
        <v>44</v>
      </c>
      <c r="F401" s="46">
        <v>1835</v>
      </c>
      <c r="G401" s="46">
        <v>170</v>
      </c>
      <c r="H401" s="46">
        <v>675</v>
      </c>
      <c r="I401" s="46">
        <v>585</v>
      </c>
      <c r="J401" s="46">
        <v>200</v>
      </c>
      <c r="K401" s="46">
        <v>95</v>
      </c>
      <c r="L401" s="46">
        <v>115</v>
      </c>
      <c r="M401">
        <f t="shared" si="37"/>
        <v>1.9815944841734712E-2</v>
      </c>
      <c r="N401">
        <f t="shared" si="38"/>
        <v>7.8680957459829004E-2</v>
      </c>
      <c r="O401">
        <f t="shared" si="39"/>
        <v>6.8190163131851805E-2</v>
      </c>
      <c r="P401">
        <f t="shared" si="40"/>
        <v>2.3312876284393776E-2</v>
      </c>
      <c r="Q401">
        <f t="shared" si="41"/>
        <v>1.1073616235087045E-2</v>
      </c>
      <c r="R401">
        <f t="shared" si="42"/>
        <v>1.3404903863526422E-2</v>
      </c>
    </row>
    <row r="402" spans="1:18" hidden="1" x14ac:dyDescent="0.25">
      <c r="A402" s="46">
        <v>2020</v>
      </c>
      <c r="B402" s="56">
        <v>251</v>
      </c>
      <c r="C402" s="47" t="s">
        <v>68</v>
      </c>
      <c r="D402" s="47" t="s">
        <v>51</v>
      </c>
      <c r="E402" s="47" t="s">
        <v>45</v>
      </c>
      <c r="F402" s="46">
        <v>590</v>
      </c>
      <c r="G402" s="46">
        <v>50</v>
      </c>
      <c r="H402" s="46">
        <v>130</v>
      </c>
      <c r="I402" s="46">
        <v>200</v>
      </c>
      <c r="J402" s="46">
        <v>60</v>
      </c>
      <c r="K402" s="46">
        <v>25</v>
      </c>
      <c r="L402" s="46">
        <v>120</v>
      </c>
      <c r="M402">
        <f t="shared" si="37"/>
        <v>5.8282190710984439E-3</v>
      </c>
      <c r="N402">
        <f t="shared" si="38"/>
        <v>1.5153369584855955E-2</v>
      </c>
      <c r="O402">
        <f t="shared" si="39"/>
        <v>2.3312876284393776E-2</v>
      </c>
      <c r="P402">
        <f t="shared" si="40"/>
        <v>6.993862885318133E-3</v>
      </c>
      <c r="Q402">
        <f t="shared" si="41"/>
        <v>2.914109535549222E-3</v>
      </c>
      <c r="R402">
        <f t="shared" si="42"/>
        <v>1.3987725770636266E-2</v>
      </c>
    </row>
    <row r="403" spans="1:18" hidden="1" x14ac:dyDescent="0.25">
      <c r="A403" s="46">
        <v>2020</v>
      </c>
      <c r="B403" s="56">
        <v>251</v>
      </c>
      <c r="C403" s="47" t="s">
        <v>68</v>
      </c>
      <c r="D403" s="47" t="s">
        <v>51</v>
      </c>
      <c r="E403" s="47" t="s">
        <v>46</v>
      </c>
      <c r="F403" s="46">
        <v>805</v>
      </c>
      <c r="G403" s="46">
        <v>85</v>
      </c>
      <c r="H403" s="46">
        <v>200</v>
      </c>
      <c r="I403" s="46">
        <v>310</v>
      </c>
      <c r="J403" s="46">
        <v>45</v>
      </c>
      <c r="K403" s="46">
        <v>35</v>
      </c>
      <c r="L403" s="46">
        <v>130</v>
      </c>
      <c r="M403">
        <f t="shared" si="37"/>
        <v>9.9079724208673559E-3</v>
      </c>
      <c r="N403">
        <f t="shared" si="38"/>
        <v>2.3312876284393776E-2</v>
      </c>
      <c r="O403">
        <f t="shared" si="39"/>
        <v>3.613495824081036E-2</v>
      </c>
      <c r="P403">
        <f t="shared" si="40"/>
        <v>5.2453971639886002E-3</v>
      </c>
      <c r="Q403">
        <f t="shared" si="41"/>
        <v>4.0797533497689111E-3</v>
      </c>
      <c r="R403">
        <f t="shared" si="42"/>
        <v>1.5153369584855955E-2</v>
      </c>
    </row>
    <row r="404" spans="1:18" hidden="1" x14ac:dyDescent="0.25">
      <c r="A404" s="46">
        <v>2020</v>
      </c>
      <c r="B404" s="56">
        <v>251</v>
      </c>
      <c r="C404" s="47" t="s">
        <v>68</v>
      </c>
      <c r="D404" s="47" t="s">
        <v>51</v>
      </c>
      <c r="E404" s="47" t="s">
        <v>47</v>
      </c>
      <c r="F404" s="46">
        <v>965</v>
      </c>
      <c r="G404" s="46">
        <v>80</v>
      </c>
      <c r="H404" s="46">
        <v>235</v>
      </c>
      <c r="I404" s="46">
        <v>295</v>
      </c>
      <c r="J404" s="46">
        <v>150</v>
      </c>
      <c r="K404" s="46">
        <v>50</v>
      </c>
      <c r="L404" s="46">
        <v>150</v>
      </c>
      <c r="M404">
        <f t="shared" si="37"/>
        <v>9.3251505137575113E-3</v>
      </c>
      <c r="N404">
        <f t="shared" si="38"/>
        <v>2.7392629634162689E-2</v>
      </c>
      <c r="O404">
        <f t="shared" si="39"/>
        <v>3.4386492519480824E-2</v>
      </c>
      <c r="P404">
        <f t="shared" si="40"/>
        <v>1.7484657213295333E-2</v>
      </c>
      <c r="Q404">
        <f t="shared" si="41"/>
        <v>5.8282190710984439E-3</v>
      </c>
      <c r="R404">
        <f t="shared" si="42"/>
        <v>1.7484657213295333E-2</v>
      </c>
    </row>
    <row r="405" spans="1:18" hidden="1" x14ac:dyDescent="0.25">
      <c r="A405" s="46">
        <v>2020</v>
      </c>
      <c r="B405" s="56">
        <v>251</v>
      </c>
      <c r="C405" s="47" t="s">
        <v>68</v>
      </c>
      <c r="D405" s="47" t="s">
        <v>51</v>
      </c>
      <c r="E405" s="47" t="s">
        <v>48</v>
      </c>
      <c r="F405" s="46">
        <v>3910</v>
      </c>
      <c r="G405" s="46">
        <v>235</v>
      </c>
      <c r="H405" s="46">
        <v>660</v>
      </c>
      <c r="I405" s="46">
        <v>830</v>
      </c>
      <c r="J405" s="46">
        <v>630</v>
      </c>
      <c r="K405" s="46">
        <v>350</v>
      </c>
      <c r="L405" s="46">
        <v>1205</v>
      </c>
      <c r="M405">
        <f t="shared" si="37"/>
        <v>2.7392629634162689E-2</v>
      </c>
      <c r="N405">
        <f t="shared" si="38"/>
        <v>7.6932491738499462E-2</v>
      </c>
      <c r="O405">
        <f t="shared" si="39"/>
        <v>9.6748436580234173E-2</v>
      </c>
      <c r="P405">
        <f t="shared" si="40"/>
        <v>7.3435560295840405E-2</v>
      </c>
      <c r="Q405">
        <f t="shared" si="41"/>
        <v>4.0797533497689109E-2</v>
      </c>
      <c r="R405">
        <f t="shared" si="42"/>
        <v>0.14046007961347251</v>
      </c>
    </row>
    <row r="406" spans="1:18" hidden="1" x14ac:dyDescent="0.25">
      <c r="A406" s="46">
        <v>2020</v>
      </c>
      <c r="B406" s="56">
        <v>251</v>
      </c>
      <c r="C406" s="47" t="s">
        <v>68</v>
      </c>
      <c r="D406" s="47" t="s">
        <v>51</v>
      </c>
      <c r="E406" s="47" t="s">
        <v>49</v>
      </c>
      <c r="F406" s="46">
        <v>1650</v>
      </c>
      <c r="G406" s="46">
        <v>65</v>
      </c>
      <c r="H406" s="46">
        <v>195</v>
      </c>
      <c r="I406" s="46">
        <v>170</v>
      </c>
      <c r="J406" s="46">
        <v>205</v>
      </c>
      <c r="K406" s="46">
        <v>105</v>
      </c>
      <c r="L406" s="46">
        <v>910</v>
      </c>
      <c r="M406">
        <f t="shared" si="37"/>
        <v>7.5766847924279776E-3</v>
      </c>
      <c r="N406">
        <f t="shared" si="38"/>
        <v>2.2730054377283933E-2</v>
      </c>
      <c r="O406">
        <f t="shared" si="39"/>
        <v>1.9815944841734712E-2</v>
      </c>
      <c r="P406">
        <f t="shared" si="40"/>
        <v>2.3895698191503622E-2</v>
      </c>
      <c r="Q406">
        <f t="shared" si="41"/>
        <v>1.2239260049306732E-2</v>
      </c>
      <c r="R406">
        <f t="shared" si="42"/>
        <v>0.10607358709399169</v>
      </c>
    </row>
    <row r="407" spans="1:18" hidden="1" x14ac:dyDescent="0.25">
      <c r="A407" s="46">
        <v>2020</v>
      </c>
      <c r="B407" s="56">
        <v>251</v>
      </c>
      <c r="C407" s="47" t="s">
        <v>68</v>
      </c>
      <c r="D407" s="47" t="s">
        <v>51</v>
      </c>
      <c r="E407" s="47" t="s">
        <v>50</v>
      </c>
      <c r="F407" s="46">
        <v>505</v>
      </c>
      <c r="G407" s="46">
        <v>5</v>
      </c>
      <c r="H407" s="46">
        <v>15</v>
      </c>
      <c r="I407" s="46">
        <v>30</v>
      </c>
      <c r="J407" s="46">
        <v>20</v>
      </c>
      <c r="K407" s="46">
        <v>10</v>
      </c>
      <c r="L407" s="46">
        <v>425</v>
      </c>
      <c r="M407">
        <f t="shared" si="37"/>
        <v>5.8282190710984446E-4</v>
      </c>
      <c r="N407">
        <f t="shared" si="38"/>
        <v>1.7484657213295333E-3</v>
      </c>
      <c r="O407">
        <f t="shared" si="39"/>
        <v>3.4969314426590665E-3</v>
      </c>
      <c r="P407">
        <f t="shared" si="40"/>
        <v>2.3312876284393778E-3</v>
      </c>
      <c r="Q407">
        <f t="shared" si="41"/>
        <v>1.1656438142196889E-3</v>
      </c>
      <c r="R407">
        <f t="shared" si="42"/>
        <v>4.9539862104336772E-2</v>
      </c>
    </row>
    <row r="408" spans="1:18" hidden="1" x14ac:dyDescent="0.25">
      <c r="A408" s="46">
        <v>2020</v>
      </c>
      <c r="B408" s="56">
        <v>251</v>
      </c>
      <c r="C408" s="47" t="s">
        <v>68</v>
      </c>
      <c r="D408" s="47" t="s">
        <v>52</v>
      </c>
      <c r="E408" s="47" t="s">
        <v>43</v>
      </c>
      <c r="F408" s="46">
        <v>9130</v>
      </c>
      <c r="G408" s="46">
        <v>495</v>
      </c>
      <c r="H408" s="46">
        <v>1910</v>
      </c>
      <c r="I408" s="46">
        <v>1945</v>
      </c>
      <c r="J408" s="46">
        <v>1025</v>
      </c>
      <c r="K408" s="46">
        <v>585</v>
      </c>
      <c r="L408" s="46">
        <v>3170</v>
      </c>
      <c r="M408">
        <f t="shared" si="37"/>
        <v>5.76993688038746E-2</v>
      </c>
      <c r="N408">
        <f t="shared" si="38"/>
        <v>0.22263796851596057</v>
      </c>
      <c r="O408">
        <f t="shared" si="39"/>
        <v>0.2267177218657295</v>
      </c>
      <c r="P408">
        <f t="shared" si="40"/>
        <v>0.11947849095751811</v>
      </c>
      <c r="Q408">
        <f t="shared" si="41"/>
        <v>6.8190163131851805E-2</v>
      </c>
      <c r="R408">
        <f t="shared" si="42"/>
        <v>0.36950908910764141</v>
      </c>
    </row>
    <row r="409" spans="1:18" hidden="1" x14ac:dyDescent="0.25">
      <c r="A409" s="46">
        <v>2020</v>
      </c>
      <c r="B409" s="56">
        <v>251</v>
      </c>
      <c r="C409" s="47" t="s">
        <v>68</v>
      </c>
      <c r="D409" s="47" t="s">
        <v>52</v>
      </c>
      <c r="E409" s="47" t="s">
        <v>44</v>
      </c>
      <c r="F409" s="46">
        <v>1730</v>
      </c>
      <c r="G409" s="46">
        <v>160</v>
      </c>
      <c r="H409" s="46">
        <v>625</v>
      </c>
      <c r="I409" s="46">
        <v>555</v>
      </c>
      <c r="J409" s="46">
        <v>185</v>
      </c>
      <c r="K409" s="46">
        <v>95</v>
      </c>
      <c r="L409" s="46">
        <v>115</v>
      </c>
      <c r="M409">
        <f t="shared" si="37"/>
        <v>1.8650301027515023E-2</v>
      </c>
      <c r="N409">
        <f t="shared" si="38"/>
        <v>7.2852738388730562E-2</v>
      </c>
      <c r="O409">
        <f t="shared" si="39"/>
        <v>6.4693231689192734E-2</v>
      </c>
      <c r="P409">
        <f t="shared" si="40"/>
        <v>2.1564410563064244E-2</v>
      </c>
      <c r="Q409">
        <f t="shared" si="41"/>
        <v>1.1073616235087045E-2</v>
      </c>
      <c r="R409">
        <f t="shared" si="42"/>
        <v>1.3404903863526422E-2</v>
      </c>
    </row>
    <row r="410" spans="1:18" hidden="1" x14ac:dyDescent="0.25">
      <c r="A410" s="46">
        <v>2020</v>
      </c>
      <c r="B410" s="56">
        <v>251</v>
      </c>
      <c r="C410" s="47" t="s">
        <v>68</v>
      </c>
      <c r="D410" s="47" t="s">
        <v>52</v>
      </c>
      <c r="E410" s="47" t="s">
        <v>45</v>
      </c>
      <c r="F410" s="46">
        <v>480</v>
      </c>
      <c r="G410" s="46">
        <v>30</v>
      </c>
      <c r="H410" s="46">
        <v>120</v>
      </c>
      <c r="I410" s="46">
        <v>145</v>
      </c>
      <c r="J410" s="46">
        <v>50</v>
      </c>
      <c r="K410" s="46">
        <v>25</v>
      </c>
      <c r="L410" s="46">
        <v>110</v>
      </c>
      <c r="M410">
        <f t="shared" si="37"/>
        <v>3.4969314426590665E-3</v>
      </c>
      <c r="N410">
        <f t="shared" si="38"/>
        <v>1.3987725770636266E-2</v>
      </c>
      <c r="O410">
        <f t="shared" si="39"/>
        <v>1.6901835306185491E-2</v>
      </c>
      <c r="P410">
        <f t="shared" si="40"/>
        <v>5.8282190710984439E-3</v>
      </c>
      <c r="Q410">
        <f t="shared" si="41"/>
        <v>2.914109535549222E-3</v>
      </c>
      <c r="R410">
        <f t="shared" si="42"/>
        <v>1.2822081956416579E-2</v>
      </c>
    </row>
    <row r="411" spans="1:18" hidden="1" x14ac:dyDescent="0.25">
      <c r="A411" s="46">
        <v>2020</v>
      </c>
      <c r="B411" s="56">
        <v>251</v>
      </c>
      <c r="C411" s="47" t="s">
        <v>68</v>
      </c>
      <c r="D411" s="47" t="s">
        <v>52</v>
      </c>
      <c r="E411" s="47" t="s">
        <v>46</v>
      </c>
      <c r="F411" s="46">
        <v>630</v>
      </c>
      <c r="G411" s="46">
        <v>55</v>
      </c>
      <c r="H411" s="46">
        <v>225</v>
      </c>
      <c r="I411" s="46">
        <v>160</v>
      </c>
      <c r="J411" s="46">
        <v>50</v>
      </c>
      <c r="K411" s="46">
        <v>20</v>
      </c>
      <c r="L411" s="46">
        <v>120</v>
      </c>
      <c r="M411">
        <f t="shared" si="37"/>
        <v>6.4110409782082893E-3</v>
      </c>
      <c r="N411">
        <f t="shared" si="38"/>
        <v>2.6226985819943E-2</v>
      </c>
      <c r="O411">
        <f t="shared" si="39"/>
        <v>1.8650301027515023E-2</v>
      </c>
      <c r="P411">
        <f t="shared" si="40"/>
        <v>5.8282190710984439E-3</v>
      </c>
      <c r="Q411">
        <f t="shared" si="41"/>
        <v>2.3312876284393778E-3</v>
      </c>
      <c r="R411">
        <f t="shared" si="42"/>
        <v>1.3987725770636266E-2</v>
      </c>
    </row>
    <row r="412" spans="1:18" hidden="1" x14ac:dyDescent="0.25">
      <c r="A412" s="46">
        <v>2020</v>
      </c>
      <c r="B412" s="56">
        <v>251</v>
      </c>
      <c r="C412" s="47" t="s">
        <v>68</v>
      </c>
      <c r="D412" s="47" t="s">
        <v>52</v>
      </c>
      <c r="E412" s="47" t="s">
        <v>47</v>
      </c>
      <c r="F412" s="46">
        <v>750</v>
      </c>
      <c r="G412" s="46">
        <v>55</v>
      </c>
      <c r="H412" s="46">
        <v>175</v>
      </c>
      <c r="I412" s="46">
        <v>220</v>
      </c>
      <c r="J412" s="46">
        <v>115</v>
      </c>
      <c r="K412" s="46">
        <v>45</v>
      </c>
      <c r="L412" s="46">
        <v>140</v>
      </c>
      <c r="M412">
        <f t="shared" si="37"/>
        <v>6.4110409782082893E-3</v>
      </c>
      <c r="N412">
        <f t="shared" si="38"/>
        <v>2.0398766748844555E-2</v>
      </c>
      <c r="O412">
        <f t="shared" si="39"/>
        <v>2.5644163912833157E-2</v>
      </c>
      <c r="P412">
        <f t="shared" si="40"/>
        <v>1.3404903863526422E-2</v>
      </c>
      <c r="Q412">
        <f t="shared" si="41"/>
        <v>5.2453971639886002E-3</v>
      </c>
      <c r="R412">
        <f t="shared" si="42"/>
        <v>1.6319013399075644E-2</v>
      </c>
    </row>
    <row r="413" spans="1:18" hidden="1" x14ac:dyDescent="0.25">
      <c r="A413" s="46">
        <v>2020</v>
      </c>
      <c r="B413" s="56">
        <v>251</v>
      </c>
      <c r="C413" s="47" t="s">
        <v>68</v>
      </c>
      <c r="D413" s="47" t="s">
        <v>52</v>
      </c>
      <c r="E413" s="47" t="s">
        <v>48</v>
      </c>
      <c r="F413" s="46">
        <v>3490</v>
      </c>
      <c r="G413" s="46">
        <v>145</v>
      </c>
      <c r="H413" s="46">
        <v>615</v>
      </c>
      <c r="I413" s="46">
        <v>665</v>
      </c>
      <c r="J413" s="46">
        <v>440</v>
      </c>
      <c r="K413" s="46">
        <v>290</v>
      </c>
      <c r="L413" s="46">
        <v>1330</v>
      </c>
      <c r="M413">
        <f t="shared" si="37"/>
        <v>1.6901835306185491E-2</v>
      </c>
      <c r="N413">
        <f t="shared" si="38"/>
        <v>7.1687094574510862E-2</v>
      </c>
      <c r="O413">
        <f t="shared" si="39"/>
        <v>7.7515313645609304E-2</v>
      </c>
      <c r="P413">
        <f t="shared" si="40"/>
        <v>5.1288327825666315E-2</v>
      </c>
      <c r="Q413">
        <f t="shared" si="41"/>
        <v>3.3803670612370981E-2</v>
      </c>
      <c r="R413">
        <f t="shared" si="42"/>
        <v>0.15503062729121861</v>
      </c>
    </row>
    <row r="414" spans="1:18" hidden="1" x14ac:dyDescent="0.25">
      <c r="A414" s="46">
        <v>2020</v>
      </c>
      <c r="B414" s="56">
        <v>251</v>
      </c>
      <c r="C414" s="47" t="s">
        <v>68</v>
      </c>
      <c r="D414" s="47" t="s">
        <v>52</v>
      </c>
      <c r="E414" s="47" t="s">
        <v>49</v>
      </c>
      <c r="F414" s="46">
        <v>1480</v>
      </c>
      <c r="G414" s="46">
        <v>45</v>
      </c>
      <c r="H414" s="46">
        <v>135</v>
      </c>
      <c r="I414" s="46">
        <v>160</v>
      </c>
      <c r="J414" s="46">
        <v>160</v>
      </c>
      <c r="K414" s="46">
        <v>95</v>
      </c>
      <c r="L414" s="46">
        <v>890</v>
      </c>
      <c r="M414">
        <f t="shared" si="37"/>
        <v>5.2453971639886002E-3</v>
      </c>
      <c r="N414">
        <f t="shared" si="38"/>
        <v>1.5736191491965801E-2</v>
      </c>
      <c r="O414">
        <f t="shared" si="39"/>
        <v>1.8650301027515023E-2</v>
      </c>
      <c r="P414">
        <f t="shared" si="40"/>
        <v>1.8650301027515023E-2</v>
      </c>
      <c r="Q414">
        <f t="shared" si="41"/>
        <v>1.1073616235087045E-2</v>
      </c>
      <c r="R414">
        <f t="shared" si="42"/>
        <v>0.10374229946555232</v>
      </c>
    </row>
    <row r="415" spans="1:18" hidden="1" x14ac:dyDescent="0.25">
      <c r="A415" s="46">
        <v>2020</v>
      </c>
      <c r="B415" s="56">
        <v>251</v>
      </c>
      <c r="C415" s="47" t="s">
        <v>68</v>
      </c>
      <c r="D415" s="47" t="s">
        <v>52</v>
      </c>
      <c r="E415" s="47" t="s">
        <v>50</v>
      </c>
      <c r="F415" s="46">
        <v>570</v>
      </c>
      <c r="G415" s="46">
        <v>10</v>
      </c>
      <c r="H415" s="46">
        <v>15</v>
      </c>
      <c r="I415" s="46">
        <v>40</v>
      </c>
      <c r="J415" s="46">
        <v>30</v>
      </c>
      <c r="K415" s="46">
        <v>15</v>
      </c>
      <c r="L415" s="46">
        <v>465</v>
      </c>
      <c r="M415">
        <f t="shared" si="37"/>
        <v>1.1656438142196889E-3</v>
      </c>
      <c r="N415">
        <f t="shared" si="38"/>
        <v>1.7484657213295333E-3</v>
      </c>
      <c r="O415">
        <f t="shared" si="39"/>
        <v>4.6625752568787556E-3</v>
      </c>
      <c r="P415">
        <f t="shared" si="40"/>
        <v>3.4969314426590665E-3</v>
      </c>
      <c r="Q415">
        <f t="shared" si="41"/>
        <v>1.7484657213295333E-3</v>
      </c>
      <c r="R415">
        <f t="shared" si="42"/>
        <v>5.4202437361215529E-2</v>
      </c>
    </row>
    <row r="416" spans="1:18" x14ac:dyDescent="0.25">
      <c r="A416" s="46">
        <v>2020</v>
      </c>
      <c r="B416" s="56">
        <v>252</v>
      </c>
      <c r="C416" s="47" t="s">
        <v>69</v>
      </c>
      <c r="D416" s="47" t="s">
        <v>42</v>
      </c>
      <c r="E416" s="47" t="s">
        <v>43</v>
      </c>
      <c r="F416" s="46">
        <v>17460</v>
      </c>
      <c r="G416" s="46">
        <v>740</v>
      </c>
      <c r="H416" s="46">
        <v>2950</v>
      </c>
      <c r="I416" s="46">
        <v>3995</v>
      </c>
      <c r="J416" s="46">
        <v>1450</v>
      </c>
      <c r="K416" s="46">
        <v>690</v>
      </c>
      <c r="L416" s="46">
        <v>7640</v>
      </c>
      <c r="M416">
        <f t="shared" si="37"/>
        <v>8.6257642252256975E-2</v>
      </c>
      <c r="N416">
        <f t="shared" si="38"/>
        <v>0.34386492519480827</v>
      </c>
      <c r="O416">
        <f t="shared" si="39"/>
        <v>0.46567470378076575</v>
      </c>
      <c r="P416">
        <f t="shared" si="40"/>
        <v>0.16901835306185489</v>
      </c>
      <c r="Q416">
        <f t="shared" si="41"/>
        <v>8.0429423181158533E-2</v>
      </c>
      <c r="R416">
        <f t="shared" si="42"/>
        <v>0.89055187406384229</v>
      </c>
    </row>
    <row r="417" spans="1:18" hidden="1" x14ac:dyDescent="0.25">
      <c r="A417" s="46">
        <v>2020</v>
      </c>
      <c r="B417" s="56">
        <v>252</v>
      </c>
      <c r="C417" s="47" t="s">
        <v>69</v>
      </c>
      <c r="D417" s="47" t="s">
        <v>42</v>
      </c>
      <c r="E417" s="47" t="s">
        <v>44</v>
      </c>
      <c r="F417" s="46">
        <v>3270</v>
      </c>
      <c r="G417" s="46">
        <v>300</v>
      </c>
      <c r="H417" s="46">
        <v>1165</v>
      </c>
      <c r="I417" s="46">
        <v>1160</v>
      </c>
      <c r="J417" s="46">
        <v>350</v>
      </c>
      <c r="K417" s="46">
        <v>130</v>
      </c>
      <c r="L417" s="46">
        <v>160</v>
      </c>
      <c r="M417">
        <f t="shared" si="37"/>
        <v>3.4969314426590667E-2</v>
      </c>
      <c r="N417">
        <f t="shared" si="38"/>
        <v>0.13579750435659374</v>
      </c>
      <c r="O417">
        <f t="shared" si="39"/>
        <v>0.13521468244948393</v>
      </c>
      <c r="P417">
        <f t="shared" si="40"/>
        <v>4.0797533497689109E-2</v>
      </c>
      <c r="Q417">
        <f t="shared" si="41"/>
        <v>1.5153369584855955E-2</v>
      </c>
      <c r="R417">
        <f t="shared" si="42"/>
        <v>1.8650301027515023E-2</v>
      </c>
    </row>
    <row r="418" spans="1:18" hidden="1" x14ac:dyDescent="0.25">
      <c r="A418" s="46">
        <v>2020</v>
      </c>
      <c r="B418" s="56">
        <v>252</v>
      </c>
      <c r="C418" s="47" t="s">
        <v>69</v>
      </c>
      <c r="D418" s="47" t="s">
        <v>42</v>
      </c>
      <c r="E418" s="47" t="s">
        <v>45</v>
      </c>
      <c r="F418" s="46">
        <v>960</v>
      </c>
      <c r="G418" s="46">
        <v>45</v>
      </c>
      <c r="H418" s="46">
        <v>195</v>
      </c>
      <c r="I418" s="46">
        <v>350</v>
      </c>
      <c r="J418" s="46">
        <v>105</v>
      </c>
      <c r="K418" s="46">
        <v>25</v>
      </c>
      <c r="L418" s="46">
        <v>240</v>
      </c>
      <c r="M418">
        <f t="shared" si="37"/>
        <v>5.2453971639886002E-3</v>
      </c>
      <c r="N418">
        <f t="shared" si="38"/>
        <v>2.2730054377283933E-2</v>
      </c>
      <c r="O418">
        <f t="shared" si="39"/>
        <v>4.0797533497689109E-2</v>
      </c>
      <c r="P418">
        <f t="shared" si="40"/>
        <v>1.2239260049306732E-2</v>
      </c>
      <c r="Q418">
        <f t="shared" si="41"/>
        <v>2.914109535549222E-3</v>
      </c>
      <c r="R418">
        <f t="shared" si="42"/>
        <v>2.7975451541272532E-2</v>
      </c>
    </row>
    <row r="419" spans="1:18" hidden="1" x14ac:dyDescent="0.25">
      <c r="A419" s="46">
        <v>2020</v>
      </c>
      <c r="B419" s="56">
        <v>252</v>
      </c>
      <c r="C419" s="47" t="s">
        <v>69</v>
      </c>
      <c r="D419" s="47" t="s">
        <v>42</v>
      </c>
      <c r="E419" s="47" t="s">
        <v>46</v>
      </c>
      <c r="F419" s="46">
        <v>1245</v>
      </c>
      <c r="G419" s="46">
        <v>85</v>
      </c>
      <c r="H419" s="46">
        <v>240</v>
      </c>
      <c r="I419" s="46">
        <v>380</v>
      </c>
      <c r="J419" s="46">
        <v>95</v>
      </c>
      <c r="K419" s="46">
        <v>40</v>
      </c>
      <c r="L419" s="46">
        <v>405</v>
      </c>
      <c r="M419">
        <f t="shared" si="37"/>
        <v>9.9079724208673559E-3</v>
      </c>
      <c r="N419">
        <f t="shared" si="38"/>
        <v>2.7975451541272532E-2</v>
      </c>
      <c r="O419">
        <f t="shared" si="39"/>
        <v>4.429446494034818E-2</v>
      </c>
      <c r="P419">
        <f t="shared" si="40"/>
        <v>1.1073616235087045E-2</v>
      </c>
      <c r="Q419">
        <f t="shared" si="41"/>
        <v>4.6625752568787556E-3</v>
      </c>
      <c r="R419">
        <f t="shared" si="42"/>
        <v>4.7208574475897401E-2</v>
      </c>
    </row>
    <row r="420" spans="1:18" hidden="1" x14ac:dyDescent="0.25">
      <c r="A420" s="46">
        <v>2020</v>
      </c>
      <c r="B420" s="56">
        <v>252</v>
      </c>
      <c r="C420" s="47" t="s">
        <v>69</v>
      </c>
      <c r="D420" s="47" t="s">
        <v>42</v>
      </c>
      <c r="E420" s="47" t="s">
        <v>47</v>
      </c>
      <c r="F420" s="46">
        <v>1435</v>
      </c>
      <c r="G420" s="46">
        <v>65</v>
      </c>
      <c r="H420" s="46">
        <v>320</v>
      </c>
      <c r="I420" s="46">
        <v>450</v>
      </c>
      <c r="J420" s="46">
        <v>150</v>
      </c>
      <c r="K420" s="46">
        <v>70</v>
      </c>
      <c r="L420" s="46">
        <v>385</v>
      </c>
      <c r="M420">
        <f t="shared" si="37"/>
        <v>7.5766847924279776E-3</v>
      </c>
      <c r="N420">
        <f t="shared" si="38"/>
        <v>3.7300602055030045E-2</v>
      </c>
      <c r="O420">
        <f t="shared" si="39"/>
        <v>5.2453971639886E-2</v>
      </c>
      <c r="P420">
        <f t="shared" si="40"/>
        <v>1.7484657213295333E-2</v>
      </c>
      <c r="Q420">
        <f t="shared" si="41"/>
        <v>8.1595066995378222E-3</v>
      </c>
      <c r="R420">
        <f t="shared" si="42"/>
        <v>4.4877286847458023E-2</v>
      </c>
    </row>
    <row r="421" spans="1:18" hidden="1" x14ac:dyDescent="0.25">
      <c r="A421" s="46">
        <v>2020</v>
      </c>
      <c r="B421" s="56">
        <v>252</v>
      </c>
      <c r="C421" s="47" t="s">
        <v>69</v>
      </c>
      <c r="D421" s="47" t="s">
        <v>42</v>
      </c>
      <c r="E421" s="47" t="s">
        <v>48</v>
      </c>
      <c r="F421" s="46">
        <v>5895</v>
      </c>
      <c r="G421" s="46">
        <v>190</v>
      </c>
      <c r="H421" s="46">
        <v>810</v>
      </c>
      <c r="I421" s="46">
        <v>1345</v>
      </c>
      <c r="J421" s="46">
        <v>575</v>
      </c>
      <c r="K421" s="46">
        <v>325</v>
      </c>
      <c r="L421" s="46">
        <v>2655</v>
      </c>
      <c r="M421">
        <f t="shared" si="37"/>
        <v>2.214723247017409E-2</v>
      </c>
      <c r="N421">
        <f t="shared" si="38"/>
        <v>9.4417148951794802E-2</v>
      </c>
      <c r="O421">
        <f t="shared" si="39"/>
        <v>0.15677909301254817</v>
      </c>
      <c r="P421">
        <f t="shared" si="40"/>
        <v>6.702451931763212E-2</v>
      </c>
      <c r="Q421">
        <f t="shared" si="41"/>
        <v>3.7883423962139888E-2</v>
      </c>
      <c r="R421">
        <f t="shared" si="42"/>
        <v>0.30947843267532738</v>
      </c>
    </row>
    <row r="422" spans="1:18" hidden="1" x14ac:dyDescent="0.25">
      <c r="A422" s="46">
        <v>2020</v>
      </c>
      <c r="B422" s="56">
        <v>252</v>
      </c>
      <c r="C422" s="47" t="s">
        <v>69</v>
      </c>
      <c r="D422" s="47" t="s">
        <v>42</v>
      </c>
      <c r="E422" s="47" t="s">
        <v>49</v>
      </c>
      <c r="F422" s="46">
        <v>2815</v>
      </c>
      <c r="G422" s="46">
        <v>40</v>
      </c>
      <c r="H422" s="46">
        <v>185</v>
      </c>
      <c r="I422" s="46">
        <v>265</v>
      </c>
      <c r="J422" s="46">
        <v>145</v>
      </c>
      <c r="K422" s="46">
        <v>75</v>
      </c>
      <c r="L422" s="46">
        <v>2100</v>
      </c>
      <c r="M422">
        <f t="shared" si="37"/>
        <v>4.6625752568787556E-3</v>
      </c>
      <c r="N422">
        <f t="shared" si="38"/>
        <v>2.1564410563064244E-2</v>
      </c>
      <c r="O422">
        <f t="shared" si="39"/>
        <v>3.0889561076821757E-2</v>
      </c>
      <c r="P422">
        <f t="shared" si="40"/>
        <v>1.6901835306185491E-2</v>
      </c>
      <c r="Q422">
        <f t="shared" si="41"/>
        <v>8.7423286066476667E-3</v>
      </c>
      <c r="R422">
        <f t="shared" si="42"/>
        <v>0.24478520098613465</v>
      </c>
    </row>
    <row r="423" spans="1:18" hidden="1" x14ac:dyDescent="0.25">
      <c r="A423" s="46">
        <v>2020</v>
      </c>
      <c r="B423" s="56">
        <v>252</v>
      </c>
      <c r="C423" s="47" t="s">
        <v>69</v>
      </c>
      <c r="D423" s="47" t="s">
        <v>42</v>
      </c>
      <c r="E423" s="47" t="s">
        <v>50</v>
      </c>
      <c r="F423" s="46">
        <v>1845</v>
      </c>
      <c r="G423" s="46">
        <v>10</v>
      </c>
      <c r="H423" s="46">
        <v>35</v>
      </c>
      <c r="I423" s="46">
        <v>40</v>
      </c>
      <c r="J423" s="46">
        <v>30</v>
      </c>
      <c r="K423" s="46">
        <v>25</v>
      </c>
      <c r="L423" s="46">
        <v>1695</v>
      </c>
      <c r="M423">
        <f t="shared" si="37"/>
        <v>1.1656438142196889E-3</v>
      </c>
      <c r="N423">
        <f t="shared" si="38"/>
        <v>4.0797533497689111E-3</v>
      </c>
      <c r="O423">
        <f t="shared" si="39"/>
        <v>4.6625752568787556E-3</v>
      </c>
      <c r="P423">
        <f t="shared" si="40"/>
        <v>3.4969314426590665E-3</v>
      </c>
      <c r="Q423">
        <f t="shared" si="41"/>
        <v>2.914109535549222E-3</v>
      </c>
      <c r="R423">
        <f t="shared" si="42"/>
        <v>0.19757662651023727</v>
      </c>
    </row>
    <row r="424" spans="1:18" hidden="1" x14ac:dyDescent="0.25">
      <c r="A424" s="46">
        <v>2020</v>
      </c>
      <c r="B424" s="56">
        <v>252</v>
      </c>
      <c r="C424" s="47" t="s">
        <v>69</v>
      </c>
      <c r="D424" s="47" t="s">
        <v>51</v>
      </c>
      <c r="E424" s="47" t="s">
        <v>43</v>
      </c>
      <c r="F424" s="46">
        <v>9095</v>
      </c>
      <c r="G424" s="46">
        <v>370</v>
      </c>
      <c r="H424" s="46">
        <v>1495</v>
      </c>
      <c r="I424" s="46">
        <v>2255</v>
      </c>
      <c r="J424" s="46">
        <v>815</v>
      </c>
      <c r="K424" s="46">
        <v>345</v>
      </c>
      <c r="L424" s="46">
        <v>3815</v>
      </c>
      <c r="M424">
        <f t="shared" si="37"/>
        <v>4.3128821126128487E-2</v>
      </c>
      <c r="N424">
        <f t="shared" si="38"/>
        <v>0.17426375022584351</v>
      </c>
      <c r="O424">
        <f t="shared" si="39"/>
        <v>0.26285268010653984</v>
      </c>
      <c r="P424">
        <f t="shared" si="40"/>
        <v>9.4999970858904645E-2</v>
      </c>
      <c r="Q424">
        <f t="shared" si="41"/>
        <v>4.0214711590579266E-2</v>
      </c>
      <c r="R424">
        <f t="shared" si="42"/>
        <v>0.44469311512481136</v>
      </c>
    </row>
    <row r="425" spans="1:18" hidden="1" x14ac:dyDescent="0.25">
      <c r="A425" s="46">
        <v>2020</v>
      </c>
      <c r="B425" s="56">
        <v>252</v>
      </c>
      <c r="C425" s="47" t="s">
        <v>69</v>
      </c>
      <c r="D425" s="47" t="s">
        <v>51</v>
      </c>
      <c r="E425" s="47" t="s">
        <v>44</v>
      </c>
      <c r="F425" s="46">
        <v>1725</v>
      </c>
      <c r="G425" s="46">
        <v>155</v>
      </c>
      <c r="H425" s="46">
        <v>605</v>
      </c>
      <c r="I425" s="46">
        <v>605</v>
      </c>
      <c r="J425" s="46">
        <v>210</v>
      </c>
      <c r="K425" s="46">
        <v>65</v>
      </c>
      <c r="L425" s="46">
        <v>85</v>
      </c>
      <c r="M425">
        <f t="shared" si="37"/>
        <v>1.806747912040518E-2</v>
      </c>
      <c r="N425">
        <f t="shared" si="38"/>
        <v>7.0521450760291177E-2</v>
      </c>
      <c r="O425">
        <f t="shared" si="39"/>
        <v>7.0521450760291177E-2</v>
      </c>
      <c r="P425">
        <f t="shared" si="40"/>
        <v>2.4478520098613465E-2</v>
      </c>
      <c r="Q425">
        <f t="shared" si="41"/>
        <v>7.5766847924279776E-3</v>
      </c>
      <c r="R425">
        <f t="shared" si="42"/>
        <v>9.9079724208673559E-3</v>
      </c>
    </row>
    <row r="426" spans="1:18" hidden="1" x14ac:dyDescent="0.25">
      <c r="A426" s="46">
        <v>2020</v>
      </c>
      <c r="B426" s="56">
        <v>252</v>
      </c>
      <c r="C426" s="47" t="s">
        <v>69</v>
      </c>
      <c r="D426" s="47" t="s">
        <v>51</v>
      </c>
      <c r="E426" s="47" t="s">
        <v>45</v>
      </c>
      <c r="F426" s="46">
        <v>510</v>
      </c>
      <c r="G426" s="46">
        <v>20</v>
      </c>
      <c r="H426" s="46">
        <v>95</v>
      </c>
      <c r="I426" s="46">
        <v>200</v>
      </c>
      <c r="J426" s="46">
        <v>65</v>
      </c>
      <c r="K426" s="46">
        <v>15</v>
      </c>
      <c r="L426" s="46">
        <v>115</v>
      </c>
      <c r="M426">
        <f t="shared" si="37"/>
        <v>2.3312876284393778E-3</v>
      </c>
      <c r="N426">
        <f t="shared" si="38"/>
        <v>1.1073616235087045E-2</v>
      </c>
      <c r="O426">
        <f t="shared" si="39"/>
        <v>2.3312876284393776E-2</v>
      </c>
      <c r="P426">
        <f t="shared" si="40"/>
        <v>7.5766847924279776E-3</v>
      </c>
      <c r="Q426">
        <f t="shared" si="41"/>
        <v>1.7484657213295333E-3</v>
      </c>
      <c r="R426">
        <f t="shared" si="42"/>
        <v>1.3404903863526422E-2</v>
      </c>
    </row>
    <row r="427" spans="1:18" hidden="1" x14ac:dyDescent="0.25">
      <c r="A427" s="46">
        <v>2020</v>
      </c>
      <c r="B427" s="56">
        <v>252</v>
      </c>
      <c r="C427" s="47" t="s">
        <v>69</v>
      </c>
      <c r="D427" s="47" t="s">
        <v>51</v>
      </c>
      <c r="E427" s="47" t="s">
        <v>46</v>
      </c>
      <c r="F427" s="46">
        <v>670</v>
      </c>
      <c r="G427" s="46">
        <v>40</v>
      </c>
      <c r="H427" s="46">
        <v>105</v>
      </c>
      <c r="I427" s="46">
        <v>235</v>
      </c>
      <c r="J427" s="46">
        <v>50</v>
      </c>
      <c r="K427" s="46">
        <v>25</v>
      </c>
      <c r="L427" s="46">
        <v>220</v>
      </c>
      <c r="M427">
        <f t="shared" si="37"/>
        <v>4.6625752568787556E-3</v>
      </c>
      <c r="N427">
        <f t="shared" si="38"/>
        <v>1.2239260049306732E-2</v>
      </c>
      <c r="O427">
        <f t="shared" si="39"/>
        <v>2.7392629634162689E-2</v>
      </c>
      <c r="P427">
        <f t="shared" si="40"/>
        <v>5.8282190710984439E-3</v>
      </c>
      <c r="Q427">
        <f t="shared" si="41"/>
        <v>2.914109535549222E-3</v>
      </c>
      <c r="R427">
        <f t="shared" si="42"/>
        <v>2.5644163912833157E-2</v>
      </c>
    </row>
    <row r="428" spans="1:18" hidden="1" x14ac:dyDescent="0.25">
      <c r="A428" s="46">
        <v>2020</v>
      </c>
      <c r="B428" s="56">
        <v>252</v>
      </c>
      <c r="C428" s="47" t="s">
        <v>69</v>
      </c>
      <c r="D428" s="47" t="s">
        <v>51</v>
      </c>
      <c r="E428" s="47" t="s">
        <v>47</v>
      </c>
      <c r="F428" s="46">
        <v>775</v>
      </c>
      <c r="G428" s="46">
        <v>25</v>
      </c>
      <c r="H428" s="46">
        <v>155</v>
      </c>
      <c r="I428" s="46">
        <v>270</v>
      </c>
      <c r="J428" s="46">
        <v>85</v>
      </c>
      <c r="K428" s="46">
        <v>25</v>
      </c>
      <c r="L428" s="46">
        <v>215</v>
      </c>
      <c r="M428">
        <f t="shared" si="37"/>
        <v>2.914109535549222E-3</v>
      </c>
      <c r="N428">
        <f t="shared" si="38"/>
        <v>1.806747912040518E-2</v>
      </c>
      <c r="O428">
        <f t="shared" si="39"/>
        <v>3.1472382983931603E-2</v>
      </c>
      <c r="P428">
        <f t="shared" si="40"/>
        <v>9.9079724208673559E-3</v>
      </c>
      <c r="Q428">
        <f t="shared" si="41"/>
        <v>2.914109535549222E-3</v>
      </c>
      <c r="R428">
        <f t="shared" si="42"/>
        <v>2.5061342005723308E-2</v>
      </c>
    </row>
    <row r="429" spans="1:18" hidden="1" x14ac:dyDescent="0.25">
      <c r="A429" s="46">
        <v>2020</v>
      </c>
      <c r="B429" s="56">
        <v>252</v>
      </c>
      <c r="C429" s="47" t="s">
        <v>69</v>
      </c>
      <c r="D429" s="47" t="s">
        <v>51</v>
      </c>
      <c r="E429" s="47" t="s">
        <v>48</v>
      </c>
      <c r="F429" s="46">
        <v>3060</v>
      </c>
      <c r="G429" s="46">
        <v>105</v>
      </c>
      <c r="H429" s="46">
        <v>415</v>
      </c>
      <c r="I429" s="46">
        <v>775</v>
      </c>
      <c r="J429" s="46">
        <v>305</v>
      </c>
      <c r="K429" s="46">
        <v>165</v>
      </c>
      <c r="L429" s="46">
        <v>1295</v>
      </c>
      <c r="M429">
        <f t="shared" si="37"/>
        <v>1.2239260049306732E-2</v>
      </c>
      <c r="N429">
        <f t="shared" si="38"/>
        <v>4.8374218290117087E-2</v>
      </c>
      <c r="O429">
        <f t="shared" si="39"/>
        <v>9.0337395602025888E-2</v>
      </c>
      <c r="P429">
        <f t="shared" si="40"/>
        <v>3.555213633370051E-2</v>
      </c>
      <c r="Q429">
        <f t="shared" si="41"/>
        <v>1.9233122934624865E-2</v>
      </c>
      <c r="R429">
        <f t="shared" si="42"/>
        <v>0.15095087394144971</v>
      </c>
    </row>
    <row r="430" spans="1:18" hidden="1" x14ac:dyDescent="0.25">
      <c r="A430" s="46">
        <v>2020</v>
      </c>
      <c r="B430" s="56">
        <v>252</v>
      </c>
      <c r="C430" s="47" t="s">
        <v>69</v>
      </c>
      <c r="D430" s="47" t="s">
        <v>51</v>
      </c>
      <c r="E430" s="47" t="s">
        <v>49</v>
      </c>
      <c r="F430" s="46">
        <v>1500</v>
      </c>
      <c r="G430" s="46">
        <v>20</v>
      </c>
      <c r="H430" s="46">
        <v>110</v>
      </c>
      <c r="I430" s="46">
        <v>155</v>
      </c>
      <c r="J430" s="46">
        <v>90</v>
      </c>
      <c r="K430" s="46">
        <v>35</v>
      </c>
      <c r="L430" s="46">
        <v>1085</v>
      </c>
      <c r="M430">
        <f t="shared" si="37"/>
        <v>2.3312876284393778E-3</v>
      </c>
      <c r="N430">
        <f t="shared" si="38"/>
        <v>1.2822081956416579E-2</v>
      </c>
      <c r="O430">
        <f t="shared" si="39"/>
        <v>1.806747912040518E-2</v>
      </c>
      <c r="P430">
        <f t="shared" si="40"/>
        <v>1.04907943279772E-2</v>
      </c>
      <c r="Q430">
        <f t="shared" si="41"/>
        <v>4.0797533497689111E-3</v>
      </c>
      <c r="R430">
        <f t="shared" si="42"/>
        <v>0.12647235384283623</v>
      </c>
    </row>
    <row r="431" spans="1:18" hidden="1" x14ac:dyDescent="0.25">
      <c r="A431" s="46">
        <v>2020</v>
      </c>
      <c r="B431" s="56">
        <v>252</v>
      </c>
      <c r="C431" s="47" t="s">
        <v>69</v>
      </c>
      <c r="D431" s="47" t="s">
        <v>51</v>
      </c>
      <c r="E431" s="47" t="s">
        <v>50</v>
      </c>
      <c r="F431" s="46">
        <v>855</v>
      </c>
      <c r="G431" s="46">
        <v>5</v>
      </c>
      <c r="H431" s="46">
        <v>15</v>
      </c>
      <c r="I431" s="46">
        <v>15</v>
      </c>
      <c r="J431" s="46">
        <v>15</v>
      </c>
      <c r="K431" s="46">
        <v>10</v>
      </c>
      <c r="L431" s="46">
        <v>795</v>
      </c>
      <c r="M431">
        <f t="shared" si="37"/>
        <v>5.8282190710984446E-4</v>
      </c>
      <c r="N431">
        <f t="shared" si="38"/>
        <v>1.7484657213295333E-3</v>
      </c>
      <c r="O431">
        <f t="shared" si="39"/>
        <v>1.7484657213295333E-3</v>
      </c>
      <c r="P431">
        <f t="shared" si="40"/>
        <v>1.7484657213295333E-3</v>
      </c>
      <c r="Q431">
        <f t="shared" si="41"/>
        <v>1.1656438142196889E-3</v>
      </c>
      <c r="R431">
        <f t="shared" si="42"/>
        <v>9.266868323046526E-2</v>
      </c>
    </row>
    <row r="432" spans="1:18" hidden="1" x14ac:dyDescent="0.25">
      <c r="A432" s="46">
        <v>2020</v>
      </c>
      <c r="B432" s="56">
        <v>252</v>
      </c>
      <c r="C432" s="47" t="s">
        <v>69</v>
      </c>
      <c r="D432" s="47" t="s">
        <v>52</v>
      </c>
      <c r="E432" s="47" t="s">
        <v>43</v>
      </c>
      <c r="F432" s="46">
        <v>8365</v>
      </c>
      <c r="G432" s="46">
        <v>370</v>
      </c>
      <c r="H432" s="46">
        <v>1450</v>
      </c>
      <c r="I432" s="46">
        <v>1740</v>
      </c>
      <c r="J432" s="46">
        <v>635</v>
      </c>
      <c r="K432" s="46">
        <v>345</v>
      </c>
      <c r="L432" s="46">
        <v>3820</v>
      </c>
      <c r="M432">
        <f t="shared" si="37"/>
        <v>4.3128821126128487E-2</v>
      </c>
      <c r="N432">
        <f t="shared" si="38"/>
        <v>0.16901835306185489</v>
      </c>
      <c r="O432">
        <f t="shared" si="39"/>
        <v>0.20282202367422586</v>
      </c>
      <c r="P432">
        <f t="shared" si="40"/>
        <v>7.4018382202950248E-2</v>
      </c>
      <c r="Q432">
        <f t="shared" si="41"/>
        <v>4.0214711590579266E-2</v>
      </c>
      <c r="R432">
        <f t="shared" si="42"/>
        <v>0.44527593703192114</v>
      </c>
    </row>
    <row r="433" spans="1:18" hidden="1" x14ac:dyDescent="0.25">
      <c r="A433" s="46">
        <v>2020</v>
      </c>
      <c r="B433" s="56">
        <v>252</v>
      </c>
      <c r="C433" s="47" t="s">
        <v>69</v>
      </c>
      <c r="D433" s="47" t="s">
        <v>52</v>
      </c>
      <c r="E433" s="47" t="s">
        <v>44</v>
      </c>
      <c r="F433" s="46">
        <v>1545</v>
      </c>
      <c r="G433" s="46">
        <v>150</v>
      </c>
      <c r="H433" s="46">
        <v>555</v>
      </c>
      <c r="I433" s="46">
        <v>555</v>
      </c>
      <c r="J433" s="46">
        <v>145</v>
      </c>
      <c r="K433" s="46">
        <v>65</v>
      </c>
      <c r="L433" s="46">
        <v>75</v>
      </c>
      <c r="M433">
        <f t="shared" si="37"/>
        <v>1.7484657213295333E-2</v>
      </c>
      <c r="N433">
        <f t="shared" si="38"/>
        <v>6.4693231689192734E-2</v>
      </c>
      <c r="O433">
        <f t="shared" si="39"/>
        <v>6.4693231689192734E-2</v>
      </c>
      <c r="P433">
        <f t="shared" si="40"/>
        <v>1.6901835306185491E-2</v>
      </c>
      <c r="Q433">
        <f t="shared" si="41"/>
        <v>7.5766847924279776E-3</v>
      </c>
      <c r="R433">
        <f t="shared" si="42"/>
        <v>8.7423286066476667E-3</v>
      </c>
    </row>
    <row r="434" spans="1:18" hidden="1" x14ac:dyDescent="0.25">
      <c r="A434" s="46">
        <v>2020</v>
      </c>
      <c r="B434" s="56">
        <v>252</v>
      </c>
      <c r="C434" s="47" t="s">
        <v>69</v>
      </c>
      <c r="D434" s="47" t="s">
        <v>52</v>
      </c>
      <c r="E434" s="47" t="s">
        <v>45</v>
      </c>
      <c r="F434" s="46">
        <v>450</v>
      </c>
      <c r="G434" s="46">
        <v>25</v>
      </c>
      <c r="H434" s="46">
        <v>100</v>
      </c>
      <c r="I434" s="46">
        <v>150</v>
      </c>
      <c r="J434" s="46">
        <v>40</v>
      </c>
      <c r="K434" s="46">
        <v>10</v>
      </c>
      <c r="L434" s="46">
        <v>120</v>
      </c>
      <c r="M434">
        <f t="shared" si="37"/>
        <v>2.914109535549222E-3</v>
      </c>
      <c r="N434">
        <f t="shared" si="38"/>
        <v>1.1656438142196888E-2</v>
      </c>
      <c r="O434">
        <f t="shared" si="39"/>
        <v>1.7484657213295333E-2</v>
      </c>
      <c r="P434">
        <f t="shared" si="40"/>
        <v>4.6625752568787556E-3</v>
      </c>
      <c r="Q434">
        <f t="shared" si="41"/>
        <v>1.1656438142196889E-3</v>
      </c>
      <c r="R434">
        <f t="shared" si="42"/>
        <v>1.3987725770636266E-2</v>
      </c>
    </row>
    <row r="435" spans="1:18" hidden="1" x14ac:dyDescent="0.25">
      <c r="A435" s="46">
        <v>2020</v>
      </c>
      <c r="B435" s="56">
        <v>252</v>
      </c>
      <c r="C435" s="47" t="s">
        <v>69</v>
      </c>
      <c r="D435" s="47" t="s">
        <v>52</v>
      </c>
      <c r="E435" s="47" t="s">
        <v>46</v>
      </c>
      <c r="F435" s="46">
        <v>570</v>
      </c>
      <c r="G435" s="46">
        <v>45</v>
      </c>
      <c r="H435" s="46">
        <v>135</v>
      </c>
      <c r="I435" s="46">
        <v>150</v>
      </c>
      <c r="J435" s="46">
        <v>45</v>
      </c>
      <c r="K435" s="46">
        <v>15</v>
      </c>
      <c r="L435" s="46">
        <v>180</v>
      </c>
      <c r="M435">
        <f t="shared" si="37"/>
        <v>5.2453971639886002E-3</v>
      </c>
      <c r="N435">
        <f t="shared" si="38"/>
        <v>1.5736191491965801E-2</v>
      </c>
      <c r="O435">
        <f t="shared" si="39"/>
        <v>1.7484657213295333E-2</v>
      </c>
      <c r="P435">
        <f t="shared" si="40"/>
        <v>5.2453971639886002E-3</v>
      </c>
      <c r="Q435">
        <f t="shared" si="41"/>
        <v>1.7484657213295333E-3</v>
      </c>
      <c r="R435">
        <f t="shared" si="42"/>
        <v>2.0981588655954401E-2</v>
      </c>
    </row>
    <row r="436" spans="1:18" hidden="1" x14ac:dyDescent="0.25">
      <c r="A436" s="46">
        <v>2020</v>
      </c>
      <c r="B436" s="56">
        <v>252</v>
      </c>
      <c r="C436" s="47" t="s">
        <v>69</v>
      </c>
      <c r="D436" s="47" t="s">
        <v>52</v>
      </c>
      <c r="E436" s="47" t="s">
        <v>47</v>
      </c>
      <c r="F436" s="46">
        <v>660</v>
      </c>
      <c r="G436" s="46">
        <v>40</v>
      </c>
      <c r="H436" s="46">
        <v>165</v>
      </c>
      <c r="I436" s="46">
        <v>180</v>
      </c>
      <c r="J436" s="46">
        <v>65</v>
      </c>
      <c r="K436" s="46">
        <v>45</v>
      </c>
      <c r="L436" s="46">
        <v>170</v>
      </c>
      <c r="M436">
        <f t="shared" si="37"/>
        <v>4.6625752568787556E-3</v>
      </c>
      <c r="N436">
        <f t="shared" si="38"/>
        <v>1.9233122934624865E-2</v>
      </c>
      <c r="O436">
        <f t="shared" si="39"/>
        <v>2.0981588655954401E-2</v>
      </c>
      <c r="P436">
        <f t="shared" si="40"/>
        <v>7.5766847924279776E-3</v>
      </c>
      <c r="Q436">
        <f t="shared" si="41"/>
        <v>5.2453971639886002E-3</v>
      </c>
      <c r="R436">
        <f t="shared" si="42"/>
        <v>1.9815944841734712E-2</v>
      </c>
    </row>
    <row r="437" spans="1:18" hidden="1" x14ac:dyDescent="0.25">
      <c r="A437" s="46">
        <v>2020</v>
      </c>
      <c r="B437" s="56">
        <v>252</v>
      </c>
      <c r="C437" s="47" t="s">
        <v>69</v>
      </c>
      <c r="D437" s="47" t="s">
        <v>52</v>
      </c>
      <c r="E437" s="47" t="s">
        <v>48</v>
      </c>
      <c r="F437" s="46">
        <v>2840</v>
      </c>
      <c r="G437" s="46">
        <v>80</v>
      </c>
      <c r="H437" s="46">
        <v>395</v>
      </c>
      <c r="I437" s="46">
        <v>570</v>
      </c>
      <c r="J437" s="46">
        <v>270</v>
      </c>
      <c r="K437" s="46">
        <v>160</v>
      </c>
      <c r="L437" s="46">
        <v>1360</v>
      </c>
      <c r="M437">
        <f t="shared" si="37"/>
        <v>9.3251505137575113E-3</v>
      </c>
      <c r="N437">
        <f t="shared" si="38"/>
        <v>4.6042930661677708E-2</v>
      </c>
      <c r="O437">
        <f t="shared" si="39"/>
        <v>6.6441697410522263E-2</v>
      </c>
      <c r="P437">
        <f t="shared" si="40"/>
        <v>3.1472382983931603E-2</v>
      </c>
      <c r="Q437">
        <f t="shared" si="41"/>
        <v>1.8650301027515023E-2</v>
      </c>
      <c r="R437">
        <f t="shared" si="42"/>
        <v>0.15852755873387769</v>
      </c>
    </row>
    <row r="438" spans="1:18" hidden="1" x14ac:dyDescent="0.25">
      <c r="A438" s="46">
        <v>2020</v>
      </c>
      <c r="B438" s="56">
        <v>252</v>
      </c>
      <c r="C438" s="47" t="s">
        <v>69</v>
      </c>
      <c r="D438" s="47" t="s">
        <v>52</v>
      </c>
      <c r="E438" s="47" t="s">
        <v>49</v>
      </c>
      <c r="F438" s="46">
        <v>1315</v>
      </c>
      <c r="G438" s="46">
        <v>20</v>
      </c>
      <c r="H438" s="46">
        <v>75</v>
      </c>
      <c r="I438" s="46">
        <v>110</v>
      </c>
      <c r="J438" s="46">
        <v>50</v>
      </c>
      <c r="K438" s="46">
        <v>45</v>
      </c>
      <c r="L438" s="46">
        <v>1010</v>
      </c>
      <c r="M438">
        <f t="shared" si="37"/>
        <v>2.3312876284393778E-3</v>
      </c>
      <c r="N438">
        <f t="shared" si="38"/>
        <v>8.7423286066476667E-3</v>
      </c>
      <c r="O438">
        <f t="shared" si="39"/>
        <v>1.2822081956416579E-2</v>
      </c>
      <c r="P438">
        <f t="shared" si="40"/>
        <v>5.8282190710984439E-3</v>
      </c>
      <c r="Q438">
        <f t="shared" si="41"/>
        <v>5.2453971639886002E-3</v>
      </c>
      <c r="R438">
        <f t="shared" si="42"/>
        <v>0.11773002523618858</v>
      </c>
    </row>
    <row r="439" spans="1:18" hidden="1" x14ac:dyDescent="0.25">
      <c r="A439" s="46">
        <v>2020</v>
      </c>
      <c r="B439" s="56">
        <v>252</v>
      </c>
      <c r="C439" s="47" t="s">
        <v>69</v>
      </c>
      <c r="D439" s="47" t="s">
        <v>52</v>
      </c>
      <c r="E439" s="47" t="s">
        <v>50</v>
      </c>
      <c r="F439" s="46">
        <v>990</v>
      </c>
      <c r="G439" s="46">
        <v>5</v>
      </c>
      <c r="H439" s="46">
        <v>20</v>
      </c>
      <c r="I439" s="46">
        <v>25</v>
      </c>
      <c r="J439" s="46">
        <v>20</v>
      </c>
      <c r="K439" s="46">
        <v>15</v>
      </c>
      <c r="L439" s="46">
        <v>900</v>
      </c>
      <c r="M439">
        <f t="shared" si="37"/>
        <v>5.8282190710984446E-4</v>
      </c>
      <c r="N439">
        <f t="shared" si="38"/>
        <v>2.3312876284393778E-3</v>
      </c>
      <c r="O439">
        <f t="shared" si="39"/>
        <v>2.914109535549222E-3</v>
      </c>
      <c r="P439">
        <f t="shared" si="40"/>
        <v>2.3312876284393778E-3</v>
      </c>
      <c r="Q439">
        <f t="shared" si="41"/>
        <v>1.7484657213295333E-3</v>
      </c>
      <c r="R439">
        <f t="shared" si="42"/>
        <v>0.104907943279772</v>
      </c>
    </row>
    <row r="440" spans="1:18" x14ac:dyDescent="0.25">
      <c r="A440" s="46">
        <v>2020</v>
      </c>
      <c r="B440" s="56">
        <v>254</v>
      </c>
      <c r="C440" s="47" t="s">
        <v>70</v>
      </c>
      <c r="D440" s="47" t="s">
        <v>42</v>
      </c>
      <c r="E440" s="47" t="s">
        <v>43</v>
      </c>
      <c r="F440" s="46">
        <v>25525</v>
      </c>
      <c r="G440" s="46">
        <v>1315</v>
      </c>
      <c r="H440" s="46">
        <v>4980</v>
      </c>
      <c r="I440" s="46">
        <v>5460</v>
      </c>
      <c r="J440" s="46">
        <v>2335</v>
      </c>
      <c r="K440" s="46">
        <v>1275</v>
      </c>
      <c r="L440" s="46">
        <v>10160</v>
      </c>
      <c r="M440">
        <f t="shared" si="37"/>
        <v>0.15328216156988908</v>
      </c>
      <c r="N440">
        <f t="shared" si="38"/>
        <v>0.58049061948140501</v>
      </c>
      <c r="O440">
        <f t="shared" si="39"/>
        <v>0.63644152256395015</v>
      </c>
      <c r="P440">
        <f t="shared" si="40"/>
        <v>0.27217783062029732</v>
      </c>
      <c r="Q440">
        <f t="shared" si="41"/>
        <v>0.14861958631301034</v>
      </c>
      <c r="R440">
        <f t="shared" si="42"/>
        <v>1.184294115247204</v>
      </c>
    </row>
    <row r="441" spans="1:18" hidden="1" x14ac:dyDescent="0.25">
      <c r="A441" s="46">
        <v>2020</v>
      </c>
      <c r="B441" s="56">
        <v>254</v>
      </c>
      <c r="C441" s="47" t="s">
        <v>70</v>
      </c>
      <c r="D441" s="47" t="s">
        <v>42</v>
      </c>
      <c r="E441" s="47" t="s">
        <v>44</v>
      </c>
      <c r="F441" s="46">
        <v>4000</v>
      </c>
      <c r="G441" s="46">
        <v>420</v>
      </c>
      <c r="H441" s="46">
        <v>1500</v>
      </c>
      <c r="I441" s="46">
        <v>1205</v>
      </c>
      <c r="J441" s="46">
        <v>435</v>
      </c>
      <c r="K441" s="46">
        <v>200</v>
      </c>
      <c r="L441" s="46">
        <v>245</v>
      </c>
      <c r="M441">
        <f t="shared" si="37"/>
        <v>4.895704019722693E-2</v>
      </c>
      <c r="N441">
        <f t="shared" si="38"/>
        <v>0.17484657213295332</v>
      </c>
      <c r="O441">
        <f t="shared" si="39"/>
        <v>0.14046007961347251</v>
      </c>
      <c r="P441">
        <f t="shared" si="40"/>
        <v>5.0705505918556465E-2</v>
      </c>
      <c r="Q441">
        <f t="shared" si="41"/>
        <v>2.3312876284393776E-2</v>
      </c>
      <c r="R441">
        <f t="shared" si="42"/>
        <v>2.8558273448382378E-2</v>
      </c>
    </row>
    <row r="442" spans="1:18" hidden="1" x14ac:dyDescent="0.25">
      <c r="A442" s="46">
        <v>2020</v>
      </c>
      <c r="B442" s="56">
        <v>254</v>
      </c>
      <c r="C442" s="47" t="s">
        <v>70</v>
      </c>
      <c r="D442" s="47" t="s">
        <v>42</v>
      </c>
      <c r="E442" s="47" t="s">
        <v>45</v>
      </c>
      <c r="F442" s="46">
        <v>1310</v>
      </c>
      <c r="G442" s="46">
        <v>75</v>
      </c>
      <c r="H442" s="46">
        <v>340</v>
      </c>
      <c r="I442" s="46">
        <v>340</v>
      </c>
      <c r="J442" s="46">
        <v>140</v>
      </c>
      <c r="K442" s="46">
        <v>60</v>
      </c>
      <c r="L442" s="46">
        <v>350</v>
      </c>
      <c r="M442">
        <f t="shared" si="37"/>
        <v>8.7423286066476667E-3</v>
      </c>
      <c r="N442">
        <f t="shared" si="38"/>
        <v>3.9631889683469423E-2</v>
      </c>
      <c r="O442">
        <f t="shared" si="39"/>
        <v>3.9631889683469423E-2</v>
      </c>
      <c r="P442">
        <f t="shared" si="40"/>
        <v>1.6319013399075644E-2</v>
      </c>
      <c r="Q442">
        <f t="shared" si="41"/>
        <v>6.993862885318133E-3</v>
      </c>
      <c r="R442">
        <f t="shared" si="42"/>
        <v>4.0797533497689109E-2</v>
      </c>
    </row>
    <row r="443" spans="1:18" hidden="1" x14ac:dyDescent="0.25">
      <c r="A443" s="46">
        <v>2020</v>
      </c>
      <c r="B443" s="56">
        <v>254</v>
      </c>
      <c r="C443" s="47" t="s">
        <v>70</v>
      </c>
      <c r="D443" s="47" t="s">
        <v>42</v>
      </c>
      <c r="E443" s="47" t="s">
        <v>46</v>
      </c>
      <c r="F443" s="46">
        <v>2080</v>
      </c>
      <c r="G443" s="46">
        <v>165</v>
      </c>
      <c r="H443" s="46">
        <v>530</v>
      </c>
      <c r="I443" s="46">
        <v>720</v>
      </c>
      <c r="J443" s="46">
        <v>135</v>
      </c>
      <c r="K443" s="46">
        <v>60</v>
      </c>
      <c r="L443" s="46">
        <v>465</v>
      </c>
      <c r="M443">
        <f t="shared" si="37"/>
        <v>1.9233122934624865E-2</v>
      </c>
      <c r="N443">
        <f t="shared" si="38"/>
        <v>6.1779122153643513E-2</v>
      </c>
      <c r="O443">
        <f t="shared" si="39"/>
        <v>8.3926354623817603E-2</v>
      </c>
      <c r="P443">
        <f t="shared" si="40"/>
        <v>1.5736191491965801E-2</v>
      </c>
      <c r="Q443">
        <f t="shared" si="41"/>
        <v>6.993862885318133E-3</v>
      </c>
      <c r="R443">
        <f t="shared" si="42"/>
        <v>5.4202437361215529E-2</v>
      </c>
    </row>
    <row r="444" spans="1:18" hidden="1" x14ac:dyDescent="0.25">
      <c r="A444" s="46">
        <v>2020</v>
      </c>
      <c r="B444" s="56">
        <v>254</v>
      </c>
      <c r="C444" s="47" t="s">
        <v>70</v>
      </c>
      <c r="D444" s="47" t="s">
        <v>42</v>
      </c>
      <c r="E444" s="47" t="s">
        <v>47</v>
      </c>
      <c r="F444" s="46">
        <v>2815</v>
      </c>
      <c r="G444" s="46">
        <v>165</v>
      </c>
      <c r="H444" s="46">
        <v>715</v>
      </c>
      <c r="I444" s="46">
        <v>915</v>
      </c>
      <c r="J444" s="46">
        <v>320</v>
      </c>
      <c r="K444" s="46">
        <v>140</v>
      </c>
      <c r="L444" s="46">
        <v>550</v>
      </c>
      <c r="M444">
        <f t="shared" si="37"/>
        <v>1.9233122934624865E-2</v>
      </c>
      <c r="N444">
        <f t="shared" si="38"/>
        <v>8.3343532716707761E-2</v>
      </c>
      <c r="O444">
        <f t="shared" si="39"/>
        <v>0.10665640900110153</v>
      </c>
      <c r="P444">
        <f t="shared" si="40"/>
        <v>3.7300602055030045E-2</v>
      </c>
      <c r="Q444">
        <f t="shared" si="41"/>
        <v>1.6319013399075644E-2</v>
      </c>
      <c r="R444">
        <f t="shared" si="42"/>
        <v>6.4110409782082892E-2</v>
      </c>
    </row>
    <row r="445" spans="1:18" hidden="1" x14ac:dyDescent="0.25">
      <c r="A445" s="46">
        <v>2020</v>
      </c>
      <c r="B445" s="56">
        <v>254</v>
      </c>
      <c r="C445" s="47" t="s">
        <v>70</v>
      </c>
      <c r="D445" s="47" t="s">
        <v>42</v>
      </c>
      <c r="E445" s="47" t="s">
        <v>48</v>
      </c>
      <c r="F445" s="46">
        <v>9440</v>
      </c>
      <c r="G445" s="46">
        <v>400</v>
      </c>
      <c r="H445" s="46">
        <v>1555</v>
      </c>
      <c r="I445" s="46">
        <v>1915</v>
      </c>
      <c r="J445" s="46">
        <v>1060</v>
      </c>
      <c r="K445" s="46">
        <v>665</v>
      </c>
      <c r="L445" s="46">
        <v>3845</v>
      </c>
      <c r="M445">
        <f t="shared" si="37"/>
        <v>4.6625752568787551E-2</v>
      </c>
      <c r="N445">
        <f t="shared" si="38"/>
        <v>0.18125761311116162</v>
      </c>
      <c r="O445">
        <f t="shared" si="39"/>
        <v>0.22322079042307041</v>
      </c>
      <c r="P445">
        <f t="shared" si="40"/>
        <v>0.12355824430728703</v>
      </c>
      <c r="Q445">
        <f t="shared" si="41"/>
        <v>7.7515313645609304E-2</v>
      </c>
      <c r="R445">
        <f t="shared" si="42"/>
        <v>0.44819004656747041</v>
      </c>
    </row>
    <row r="446" spans="1:18" hidden="1" x14ac:dyDescent="0.25">
      <c r="A446" s="46">
        <v>2020</v>
      </c>
      <c r="B446" s="56">
        <v>254</v>
      </c>
      <c r="C446" s="47" t="s">
        <v>70</v>
      </c>
      <c r="D446" s="47" t="s">
        <v>42</v>
      </c>
      <c r="E446" s="47" t="s">
        <v>49</v>
      </c>
      <c r="F446" s="46">
        <v>3710</v>
      </c>
      <c r="G446" s="46">
        <v>80</v>
      </c>
      <c r="H446" s="46">
        <v>285</v>
      </c>
      <c r="I446" s="46">
        <v>295</v>
      </c>
      <c r="J446" s="46">
        <v>195</v>
      </c>
      <c r="K446" s="46">
        <v>120</v>
      </c>
      <c r="L446" s="46">
        <v>2730</v>
      </c>
      <c r="M446">
        <f t="shared" si="37"/>
        <v>9.3251505137575113E-3</v>
      </c>
      <c r="N446">
        <f t="shared" si="38"/>
        <v>3.3220848705261131E-2</v>
      </c>
      <c r="O446">
        <f t="shared" si="39"/>
        <v>3.4386492519480824E-2</v>
      </c>
      <c r="P446">
        <f t="shared" si="40"/>
        <v>2.2730054377283933E-2</v>
      </c>
      <c r="Q446">
        <f t="shared" si="41"/>
        <v>1.3987725770636266E-2</v>
      </c>
      <c r="R446">
        <f t="shared" si="42"/>
        <v>0.31822076128197507</v>
      </c>
    </row>
    <row r="447" spans="1:18" hidden="1" x14ac:dyDescent="0.25">
      <c r="A447" s="46">
        <v>2020</v>
      </c>
      <c r="B447" s="56">
        <v>254</v>
      </c>
      <c r="C447" s="47" t="s">
        <v>70</v>
      </c>
      <c r="D447" s="47" t="s">
        <v>42</v>
      </c>
      <c r="E447" s="47" t="s">
        <v>50</v>
      </c>
      <c r="F447" s="46">
        <v>2180</v>
      </c>
      <c r="G447" s="46">
        <v>15</v>
      </c>
      <c r="H447" s="46">
        <v>50</v>
      </c>
      <c r="I447" s="46">
        <v>65</v>
      </c>
      <c r="J447" s="46">
        <v>50</v>
      </c>
      <c r="K447" s="46">
        <v>25</v>
      </c>
      <c r="L447" s="46">
        <v>1975</v>
      </c>
      <c r="M447">
        <f t="shared" si="37"/>
        <v>1.7484657213295333E-3</v>
      </c>
      <c r="N447">
        <f t="shared" si="38"/>
        <v>5.8282190710984439E-3</v>
      </c>
      <c r="O447">
        <f t="shared" si="39"/>
        <v>7.5766847924279776E-3</v>
      </c>
      <c r="P447">
        <f t="shared" si="40"/>
        <v>5.8282190710984439E-3</v>
      </c>
      <c r="Q447">
        <f t="shared" si="41"/>
        <v>2.914109535549222E-3</v>
      </c>
      <c r="R447">
        <f t="shared" si="42"/>
        <v>0.23021465330838858</v>
      </c>
    </row>
    <row r="448" spans="1:18" hidden="1" x14ac:dyDescent="0.25">
      <c r="A448" s="46">
        <v>2020</v>
      </c>
      <c r="B448" s="56">
        <v>254</v>
      </c>
      <c r="C448" s="47" t="s">
        <v>70</v>
      </c>
      <c r="D448" s="47" t="s">
        <v>51</v>
      </c>
      <c r="E448" s="47" t="s">
        <v>43</v>
      </c>
      <c r="F448" s="46">
        <v>13755</v>
      </c>
      <c r="G448" s="46">
        <v>735</v>
      </c>
      <c r="H448" s="46">
        <v>2765</v>
      </c>
      <c r="I448" s="46">
        <v>3325</v>
      </c>
      <c r="J448" s="46">
        <v>1290</v>
      </c>
      <c r="K448" s="46">
        <v>670</v>
      </c>
      <c r="L448" s="46">
        <v>4975</v>
      </c>
      <c r="M448">
        <f t="shared" si="37"/>
        <v>8.5674820345147132E-2</v>
      </c>
      <c r="N448">
        <f t="shared" si="38"/>
        <v>0.32230051463174397</v>
      </c>
      <c r="O448">
        <f t="shared" si="39"/>
        <v>0.38757656822804654</v>
      </c>
      <c r="P448">
        <f t="shared" si="40"/>
        <v>0.15036805203433987</v>
      </c>
      <c r="Q448">
        <f t="shared" si="41"/>
        <v>7.8098135552719161E-2</v>
      </c>
      <c r="R448">
        <f t="shared" si="42"/>
        <v>0.57990779757429523</v>
      </c>
    </row>
    <row r="449" spans="1:18" hidden="1" x14ac:dyDescent="0.25">
      <c r="A449" s="46">
        <v>2020</v>
      </c>
      <c r="B449" s="56">
        <v>254</v>
      </c>
      <c r="C449" s="47" t="s">
        <v>70</v>
      </c>
      <c r="D449" s="47" t="s">
        <v>51</v>
      </c>
      <c r="E449" s="47" t="s">
        <v>44</v>
      </c>
      <c r="F449" s="46">
        <v>2080</v>
      </c>
      <c r="G449" s="46">
        <v>220</v>
      </c>
      <c r="H449" s="46">
        <v>785</v>
      </c>
      <c r="I449" s="46">
        <v>625</v>
      </c>
      <c r="J449" s="46">
        <v>230</v>
      </c>
      <c r="K449" s="46">
        <v>110</v>
      </c>
      <c r="L449" s="46">
        <v>110</v>
      </c>
      <c r="M449">
        <f t="shared" si="37"/>
        <v>2.5644163912833157E-2</v>
      </c>
      <c r="N449">
        <f t="shared" si="38"/>
        <v>9.1503039416245574E-2</v>
      </c>
      <c r="O449">
        <f t="shared" si="39"/>
        <v>7.2852738388730562E-2</v>
      </c>
      <c r="P449">
        <f t="shared" si="40"/>
        <v>2.6809807727052843E-2</v>
      </c>
      <c r="Q449">
        <f t="shared" si="41"/>
        <v>1.2822081956416579E-2</v>
      </c>
      <c r="R449">
        <f t="shared" si="42"/>
        <v>1.2822081956416579E-2</v>
      </c>
    </row>
    <row r="450" spans="1:18" hidden="1" x14ac:dyDescent="0.25">
      <c r="A450" s="46">
        <v>2020</v>
      </c>
      <c r="B450" s="56">
        <v>254</v>
      </c>
      <c r="C450" s="47" t="s">
        <v>70</v>
      </c>
      <c r="D450" s="47" t="s">
        <v>51</v>
      </c>
      <c r="E450" s="47" t="s">
        <v>45</v>
      </c>
      <c r="F450" s="46">
        <v>710</v>
      </c>
      <c r="G450" s="46">
        <v>45</v>
      </c>
      <c r="H450" s="46">
        <v>195</v>
      </c>
      <c r="I450" s="46">
        <v>195</v>
      </c>
      <c r="J450" s="46">
        <v>70</v>
      </c>
      <c r="K450" s="46">
        <v>35</v>
      </c>
      <c r="L450" s="46">
        <v>175</v>
      </c>
      <c r="M450">
        <f t="shared" si="37"/>
        <v>5.2453971639886002E-3</v>
      </c>
      <c r="N450">
        <f t="shared" si="38"/>
        <v>2.2730054377283933E-2</v>
      </c>
      <c r="O450">
        <f t="shared" si="39"/>
        <v>2.2730054377283933E-2</v>
      </c>
      <c r="P450">
        <f t="shared" si="40"/>
        <v>8.1595066995378222E-3</v>
      </c>
      <c r="Q450">
        <f t="shared" si="41"/>
        <v>4.0797533497689111E-3</v>
      </c>
      <c r="R450">
        <f t="shared" si="42"/>
        <v>2.0398766748844555E-2</v>
      </c>
    </row>
    <row r="451" spans="1:18" hidden="1" x14ac:dyDescent="0.25">
      <c r="A451" s="46">
        <v>2020</v>
      </c>
      <c r="B451" s="56">
        <v>254</v>
      </c>
      <c r="C451" s="47" t="s">
        <v>70</v>
      </c>
      <c r="D451" s="47" t="s">
        <v>51</v>
      </c>
      <c r="E451" s="47" t="s">
        <v>46</v>
      </c>
      <c r="F451" s="46">
        <v>1215</v>
      </c>
      <c r="G451" s="46">
        <v>85</v>
      </c>
      <c r="H451" s="46">
        <v>285</v>
      </c>
      <c r="I451" s="46">
        <v>515</v>
      </c>
      <c r="J451" s="46">
        <v>75</v>
      </c>
      <c r="K451" s="46">
        <v>25</v>
      </c>
      <c r="L451" s="46">
        <v>230</v>
      </c>
      <c r="M451">
        <f t="shared" si="37"/>
        <v>9.9079724208673559E-3</v>
      </c>
      <c r="N451">
        <f t="shared" si="38"/>
        <v>3.3220848705261131E-2</v>
      </c>
      <c r="O451">
        <f t="shared" si="39"/>
        <v>6.0030656432313978E-2</v>
      </c>
      <c r="P451">
        <f t="shared" si="40"/>
        <v>8.7423286066476667E-3</v>
      </c>
      <c r="Q451">
        <f t="shared" si="41"/>
        <v>2.914109535549222E-3</v>
      </c>
      <c r="R451">
        <f t="shared" si="42"/>
        <v>2.6809807727052843E-2</v>
      </c>
    </row>
    <row r="452" spans="1:18" hidden="1" x14ac:dyDescent="0.25">
      <c r="A452" s="46">
        <v>2020</v>
      </c>
      <c r="B452" s="56">
        <v>254</v>
      </c>
      <c r="C452" s="47" t="s">
        <v>70</v>
      </c>
      <c r="D452" s="47" t="s">
        <v>51</v>
      </c>
      <c r="E452" s="47" t="s">
        <v>47</v>
      </c>
      <c r="F452" s="46">
        <v>1665</v>
      </c>
      <c r="G452" s="46">
        <v>90</v>
      </c>
      <c r="H452" s="46">
        <v>400</v>
      </c>
      <c r="I452" s="46">
        <v>610</v>
      </c>
      <c r="J452" s="46">
        <v>190</v>
      </c>
      <c r="K452" s="46">
        <v>65</v>
      </c>
      <c r="L452" s="46">
        <v>310</v>
      </c>
      <c r="M452">
        <f t="shared" si="37"/>
        <v>1.04907943279772E-2</v>
      </c>
      <c r="N452">
        <f t="shared" si="38"/>
        <v>4.6625752568787551E-2</v>
      </c>
      <c r="O452">
        <f t="shared" si="39"/>
        <v>7.1104272667401019E-2</v>
      </c>
      <c r="P452">
        <f t="shared" si="40"/>
        <v>2.214723247017409E-2</v>
      </c>
      <c r="Q452">
        <f t="shared" si="41"/>
        <v>7.5766847924279776E-3</v>
      </c>
      <c r="R452">
        <f t="shared" si="42"/>
        <v>3.613495824081036E-2</v>
      </c>
    </row>
    <row r="453" spans="1:18" hidden="1" x14ac:dyDescent="0.25">
      <c r="A453" s="46">
        <v>2020</v>
      </c>
      <c r="B453" s="56">
        <v>254</v>
      </c>
      <c r="C453" s="47" t="s">
        <v>70</v>
      </c>
      <c r="D453" s="47" t="s">
        <v>51</v>
      </c>
      <c r="E453" s="47" t="s">
        <v>48</v>
      </c>
      <c r="F453" s="46">
        <v>5145</v>
      </c>
      <c r="G453" s="46">
        <v>250</v>
      </c>
      <c r="H453" s="46">
        <v>910</v>
      </c>
      <c r="I453" s="46">
        <v>1195</v>
      </c>
      <c r="J453" s="46">
        <v>595</v>
      </c>
      <c r="K453" s="46">
        <v>365</v>
      </c>
      <c r="L453" s="46">
        <v>1825</v>
      </c>
      <c r="M453">
        <f t="shared" si="37"/>
        <v>2.9141095355492221E-2</v>
      </c>
      <c r="N453">
        <f t="shared" si="38"/>
        <v>0.10607358709399169</v>
      </c>
      <c r="O453">
        <f t="shared" si="39"/>
        <v>0.13929443579925282</v>
      </c>
      <c r="P453">
        <f t="shared" si="40"/>
        <v>6.9355806946071491E-2</v>
      </c>
      <c r="Q453">
        <f t="shared" si="41"/>
        <v>4.2545999219018645E-2</v>
      </c>
      <c r="R453">
        <f t="shared" si="42"/>
        <v>0.21272999609509322</v>
      </c>
    </row>
    <row r="454" spans="1:18" hidden="1" x14ac:dyDescent="0.25">
      <c r="A454" s="46">
        <v>2020</v>
      </c>
      <c r="B454" s="56">
        <v>254</v>
      </c>
      <c r="C454" s="47" t="s">
        <v>70</v>
      </c>
      <c r="D454" s="47" t="s">
        <v>51</v>
      </c>
      <c r="E454" s="47" t="s">
        <v>49</v>
      </c>
      <c r="F454" s="46">
        <v>1970</v>
      </c>
      <c r="G454" s="46">
        <v>40</v>
      </c>
      <c r="H454" s="46">
        <v>175</v>
      </c>
      <c r="I454" s="46">
        <v>160</v>
      </c>
      <c r="J454" s="46">
        <v>110</v>
      </c>
      <c r="K454" s="46">
        <v>60</v>
      </c>
      <c r="L454" s="46">
        <v>1430</v>
      </c>
      <c r="M454">
        <f t="shared" si="37"/>
        <v>4.6625752568787556E-3</v>
      </c>
      <c r="N454">
        <f t="shared" si="38"/>
        <v>2.0398766748844555E-2</v>
      </c>
      <c r="O454">
        <f t="shared" si="39"/>
        <v>1.8650301027515023E-2</v>
      </c>
      <c r="P454">
        <f t="shared" si="40"/>
        <v>1.2822081956416579E-2</v>
      </c>
      <c r="Q454">
        <f t="shared" si="41"/>
        <v>6.993862885318133E-3</v>
      </c>
      <c r="R454">
        <f t="shared" si="42"/>
        <v>0.16668706543341552</v>
      </c>
    </row>
    <row r="455" spans="1:18" hidden="1" x14ac:dyDescent="0.25">
      <c r="A455" s="46">
        <v>2020</v>
      </c>
      <c r="B455" s="56">
        <v>254</v>
      </c>
      <c r="C455" s="47" t="s">
        <v>70</v>
      </c>
      <c r="D455" s="47" t="s">
        <v>51</v>
      </c>
      <c r="E455" s="47" t="s">
        <v>50</v>
      </c>
      <c r="F455" s="46">
        <v>975</v>
      </c>
      <c r="G455" s="46">
        <v>5</v>
      </c>
      <c r="H455" s="46">
        <v>15</v>
      </c>
      <c r="I455" s="46">
        <v>30</v>
      </c>
      <c r="J455" s="46">
        <v>20</v>
      </c>
      <c r="K455" s="46">
        <v>5</v>
      </c>
      <c r="L455" s="46">
        <v>900</v>
      </c>
      <c r="M455">
        <f t="shared" si="37"/>
        <v>5.8282190710984446E-4</v>
      </c>
      <c r="N455">
        <f t="shared" si="38"/>
        <v>1.7484657213295333E-3</v>
      </c>
      <c r="O455">
        <f t="shared" si="39"/>
        <v>3.4969314426590665E-3</v>
      </c>
      <c r="P455">
        <f t="shared" si="40"/>
        <v>2.3312876284393778E-3</v>
      </c>
      <c r="Q455">
        <f t="shared" si="41"/>
        <v>5.8282190710984446E-4</v>
      </c>
      <c r="R455">
        <f t="shared" si="42"/>
        <v>0.104907943279772</v>
      </c>
    </row>
    <row r="456" spans="1:18" hidden="1" x14ac:dyDescent="0.25">
      <c r="A456" s="46">
        <v>2020</v>
      </c>
      <c r="B456" s="56">
        <v>254</v>
      </c>
      <c r="C456" s="47" t="s">
        <v>70</v>
      </c>
      <c r="D456" s="47" t="s">
        <v>52</v>
      </c>
      <c r="E456" s="47" t="s">
        <v>43</v>
      </c>
      <c r="F456" s="46">
        <v>11770</v>
      </c>
      <c r="G456" s="46">
        <v>585</v>
      </c>
      <c r="H456" s="46">
        <v>2215</v>
      </c>
      <c r="I456" s="46">
        <v>2135</v>
      </c>
      <c r="J456" s="46">
        <v>1045</v>
      </c>
      <c r="K456" s="46">
        <v>605</v>
      </c>
      <c r="L456" s="46">
        <v>5190</v>
      </c>
      <c r="M456">
        <f t="shared" si="37"/>
        <v>6.8190163131851805E-2</v>
      </c>
      <c r="N456">
        <f t="shared" si="38"/>
        <v>0.2581901048496611</v>
      </c>
      <c r="O456">
        <f t="shared" si="39"/>
        <v>0.24886495433590355</v>
      </c>
      <c r="P456">
        <f t="shared" si="40"/>
        <v>0.12180977858595748</v>
      </c>
      <c r="Q456">
        <f t="shared" si="41"/>
        <v>7.0521450760291177E-2</v>
      </c>
      <c r="R456">
        <f t="shared" si="42"/>
        <v>0.60496913958001852</v>
      </c>
    </row>
    <row r="457" spans="1:18" hidden="1" x14ac:dyDescent="0.25">
      <c r="A457" s="46">
        <v>2020</v>
      </c>
      <c r="B457" s="56">
        <v>254</v>
      </c>
      <c r="C457" s="47" t="s">
        <v>70</v>
      </c>
      <c r="D457" s="47" t="s">
        <v>52</v>
      </c>
      <c r="E457" s="47" t="s">
        <v>44</v>
      </c>
      <c r="F457" s="46">
        <v>1920</v>
      </c>
      <c r="G457" s="46">
        <v>200</v>
      </c>
      <c r="H457" s="46">
        <v>715</v>
      </c>
      <c r="I457" s="46">
        <v>580</v>
      </c>
      <c r="J457" s="46">
        <v>205</v>
      </c>
      <c r="K457" s="46">
        <v>90</v>
      </c>
      <c r="L457" s="46">
        <v>135</v>
      </c>
      <c r="M457">
        <f t="shared" ref="M457:M520" si="43">G457/$F$8*100</f>
        <v>2.3312876284393776E-2</v>
      </c>
      <c r="N457">
        <f t="shared" ref="N457:N520" si="44">H457/$F$8*100</f>
        <v>8.3343532716707761E-2</v>
      </c>
      <c r="O457">
        <f t="shared" ref="O457:O520" si="45">I457/$F$8*100</f>
        <v>6.7607341224741963E-2</v>
      </c>
      <c r="P457">
        <f t="shared" ref="P457:P520" si="46">J457/$F$8*100</f>
        <v>2.3895698191503622E-2</v>
      </c>
      <c r="Q457">
        <f t="shared" ref="Q457:Q520" si="47">K457/$F$8*100</f>
        <v>1.04907943279772E-2</v>
      </c>
      <c r="R457">
        <f t="shared" ref="R457:R520" si="48">L457/$F$8*100</f>
        <v>1.5736191491965801E-2</v>
      </c>
    </row>
    <row r="458" spans="1:18" hidden="1" x14ac:dyDescent="0.25">
      <c r="A458" s="46">
        <v>2020</v>
      </c>
      <c r="B458" s="56">
        <v>254</v>
      </c>
      <c r="C458" s="47" t="s">
        <v>70</v>
      </c>
      <c r="D458" s="47" t="s">
        <v>52</v>
      </c>
      <c r="E458" s="47" t="s">
        <v>45</v>
      </c>
      <c r="F458" s="46">
        <v>595</v>
      </c>
      <c r="G458" s="46">
        <v>30</v>
      </c>
      <c r="H458" s="46">
        <v>140</v>
      </c>
      <c r="I458" s="46">
        <v>150</v>
      </c>
      <c r="J458" s="46">
        <v>70</v>
      </c>
      <c r="K458" s="46">
        <v>25</v>
      </c>
      <c r="L458" s="46">
        <v>180</v>
      </c>
      <c r="M458">
        <f t="shared" si="43"/>
        <v>3.4969314426590665E-3</v>
      </c>
      <c r="N458">
        <f t="shared" si="44"/>
        <v>1.6319013399075644E-2</v>
      </c>
      <c r="O458">
        <f t="shared" si="45"/>
        <v>1.7484657213295333E-2</v>
      </c>
      <c r="P458">
        <f t="shared" si="46"/>
        <v>8.1595066995378222E-3</v>
      </c>
      <c r="Q458">
        <f t="shared" si="47"/>
        <v>2.914109535549222E-3</v>
      </c>
      <c r="R458">
        <f t="shared" si="48"/>
        <v>2.0981588655954401E-2</v>
      </c>
    </row>
    <row r="459" spans="1:18" hidden="1" x14ac:dyDescent="0.25">
      <c r="A459" s="46">
        <v>2020</v>
      </c>
      <c r="B459" s="56">
        <v>254</v>
      </c>
      <c r="C459" s="47" t="s">
        <v>70</v>
      </c>
      <c r="D459" s="47" t="s">
        <v>52</v>
      </c>
      <c r="E459" s="47" t="s">
        <v>46</v>
      </c>
      <c r="F459" s="46">
        <v>865</v>
      </c>
      <c r="G459" s="46">
        <v>80</v>
      </c>
      <c r="H459" s="46">
        <v>250</v>
      </c>
      <c r="I459" s="46">
        <v>210</v>
      </c>
      <c r="J459" s="46">
        <v>60</v>
      </c>
      <c r="K459" s="46">
        <v>35</v>
      </c>
      <c r="L459" s="46">
        <v>235</v>
      </c>
      <c r="M459">
        <f t="shared" si="43"/>
        <v>9.3251505137575113E-3</v>
      </c>
      <c r="N459">
        <f t="shared" si="44"/>
        <v>2.9141095355492221E-2</v>
      </c>
      <c r="O459">
        <f t="shared" si="45"/>
        <v>2.4478520098613465E-2</v>
      </c>
      <c r="P459">
        <f t="shared" si="46"/>
        <v>6.993862885318133E-3</v>
      </c>
      <c r="Q459">
        <f t="shared" si="47"/>
        <v>4.0797533497689111E-3</v>
      </c>
      <c r="R459">
        <f t="shared" si="48"/>
        <v>2.7392629634162689E-2</v>
      </c>
    </row>
    <row r="460" spans="1:18" hidden="1" x14ac:dyDescent="0.25">
      <c r="A460" s="46">
        <v>2020</v>
      </c>
      <c r="B460" s="56">
        <v>254</v>
      </c>
      <c r="C460" s="47" t="s">
        <v>70</v>
      </c>
      <c r="D460" s="47" t="s">
        <v>52</v>
      </c>
      <c r="E460" s="47" t="s">
        <v>47</v>
      </c>
      <c r="F460" s="46">
        <v>1150</v>
      </c>
      <c r="G460" s="46">
        <v>75</v>
      </c>
      <c r="H460" s="46">
        <v>320</v>
      </c>
      <c r="I460" s="46">
        <v>310</v>
      </c>
      <c r="J460" s="46">
        <v>130</v>
      </c>
      <c r="K460" s="46">
        <v>75</v>
      </c>
      <c r="L460" s="46">
        <v>245</v>
      </c>
      <c r="M460">
        <f t="shared" si="43"/>
        <v>8.7423286066476667E-3</v>
      </c>
      <c r="N460">
        <f t="shared" si="44"/>
        <v>3.7300602055030045E-2</v>
      </c>
      <c r="O460">
        <f t="shared" si="45"/>
        <v>3.613495824081036E-2</v>
      </c>
      <c r="P460">
        <f t="shared" si="46"/>
        <v>1.5153369584855955E-2</v>
      </c>
      <c r="Q460">
        <f t="shared" si="47"/>
        <v>8.7423286066476667E-3</v>
      </c>
      <c r="R460">
        <f t="shared" si="48"/>
        <v>2.8558273448382378E-2</v>
      </c>
    </row>
    <row r="461" spans="1:18" hidden="1" x14ac:dyDescent="0.25">
      <c r="A461" s="46">
        <v>2020</v>
      </c>
      <c r="B461" s="56">
        <v>254</v>
      </c>
      <c r="C461" s="47" t="s">
        <v>70</v>
      </c>
      <c r="D461" s="47" t="s">
        <v>52</v>
      </c>
      <c r="E461" s="47" t="s">
        <v>48</v>
      </c>
      <c r="F461" s="46">
        <v>4295</v>
      </c>
      <c r="G461" s="46">
        <v>150</v>
      </c>
      <c r="H461" s="46">
        <v>650</v>
      </c>
      <c r="I461" s="46">
        <v>720</v>
      </c>
      <c r="J461" s="46">
        <v>460</v>
      </c>
      <c r="K461" s="46">
        <v>300</v>
      </c>
      <c r="L461" s="46">
        <v>2020</v>
      </c>
      <c r="M461">
        <f t="shared" si="43"/>
        <v>1.7484657213295333E-2</v>
      </c>
      <c r="N461">
        <f t="shared" si="44"/>
        <v>7.5766847924279776E-2</v>
      </c>
      <c r="O461">
        <f t="shared" si="45"/>
        <v>8.3926354623817603E-2</v>
      </c>
      <c r="P461">
        <f t="shared" si="46"/>
        <v>5.3619615454105686E-2</v>
      </c>
      <c r="Q461">
        <f t="shared" si="47"/>
        <v>3.4969314426590667E-2</v>
      </c>
      <c r="R461">
        <f t="shared" si="48"/>
        <v>0.23546005047237717</v>
      </c>
    </row>
    <row r="462" spans="1:18" hidden="1" x14ac:dyDescent="0.25">
      <c r="A462" s="46">
        <v>2020</v>
      </c>
      <c r="B462" s="56">
        <v>254</v>
      </c>
      <c r="C462" s="47" t="s">
        <v>70</v>
      </c>
      <c r="D462" s="47" t="s">
        <v>52</v>
      </c>
      <c r="E462" s="47" t="s">
        <v>49</v>
      </c>
      <c r="F462" s="46">
        <v>1740</v>
      </c>
      <c r="G462" s="46">
        <v>40</v>
      </c>
      <c r="H462" s="46">
        <v>115</v>
      </c>
      <c r="I462" s="46">
        <v>135</v>
      </c>
      <c r="J462" s="46">
        <v>90</v>
      </c>
      <c r="K462" s="46">
        <v>60</v>
      </c>
      <c r="L462" s="46">
        <v>1300</v>
      </c>
      <c r="M462">
        <f t="shared" si="43"/>
        <v>4.6625752568787556E-3</v>
      </c>
      <c r="N462">
        <f t="shared" si="44"/>
        <v>1.3404903863526422E-2</v>
      </c>
      <c r="O462">
        <f t="shared" si="45"/>
        <v>1.5736191491965801E-2</v>
      </c>
      <c r="P462">
        <f t="shared" si="46"/>
        <v>1.04907943279772E-2</v>
      </c>
      <c r="Q462">
        <f t="shared" si="47"/>
        <v>6.993862885318133E-3</v>
      </c>
      <c r="R462">
        <f t="shared" si="48"/>
        <v>0.15153369584855955</v>
      </c>
    </row>
    <row r="463" spans="1:18" hidden="1" x14ac:dyDescent="0.25">
      <c r="A463" s="46">
        <v>2020</v>
      </c>
      <c r="B463" s="56">
        <v>254</v>
      </c>
      <c r="C463" s="47" t="s">
        <v>70</v>
      </c>
      <c r="D463" s="47" t="s">
        <v>52</v>
      </c>
      <c r="E463" s="47" t="s">
        <v>50</v>
      </c>
      <c r="F463" s="46">
        <v>1205</v>
      </c>
      <c r="G463" s="46">
        <v>10</v>
      </c>
      <c r="H463" s="46">
        <v>35</v>
      </c>
      <c r="I463" s="46">
        <v>35</v>
      </c>
      <c r="J463" s="46">
        <v>25</v>
      </c>
      <c r="K463" s="46">
        <v>20</v>
      </c>
      <c r="L463" s="46">
        <v>1075</v>
      </c>
      <c r="M463">
        <f t="shared" si="43"/>
        <v>1.1656438142196889E-3</v>
      </c>
      <c r="N463">
        <f t="shared" si="44"/>
        <v>4.0797533497689111E-3</v>
      </c>
      <c r="O463">
        <f t="shared" si="45"/>
        <v>4.0797533497689111E-3</v>
      </c>
      <c r="P463">
        <f t="shared" si="46"/>
        <v>2.914109535549222E-3</v>
      </c>
      <c r="Q463">
        <f t="shared" si="47"/>
        <v>2.3312876284393778E-3</v>
      </c>
      <c r="R463">
        <f t="shared" si="48"/>
        <v>0.12530671002861654</v>
      </c>
    </row>
    <row r="464" spans="1:18" x14ac:dyDescent="0.25">
      <c r="A464" s="46">
        <v>2020</v>
      </c>
      <c r="B464" s="56">
        <v>254021</v>
      </c>
      <c r="C464" s="47" t="s">
        <v>71</v>
      </c>
      <c r="D464" s="47" t="s">
        <v>42</v>
      </c>
      <c r="E464" s="47" t="s">
        <v>43</v>
      </c>
      <c r="F464" s="46">
        <v>15150</v>
      </c>
      <c r="G464" s="46">
        <v>720</v>
      </c>
      <c r="H464" s="46">
        <v>2860</v>
      </c>
      <c r="I464" s="46">
        <v>3380</v>
      </c>
      <c r="J464" s="46">
        <v>1410</v>
      </c>
      <c r="K464" s="46">
        <v>750</v>
      </c>
      <c r="L464" s="46">
        <v>6030</v>
      </c>
      <c r="M464">
        <f t="shared" si="43"/>
        <v>8.3926354623817603E-2</v>
      </c>
      <c r="N464">
        <f t="shared" si="44"/>
        <v>0.33337413086683104</v>
      </c>
      <c r="O464">
        <f t="shared" si="45"/>
        <v>0.39398760920625486</v>
      </c>
      <c r="P464">
        <f t="shared" si="46"/>
        <v>0.16435577780497612</v>
      </c>
      <c r="Q464">
        <f t="shared" si="47"/>
        <v>8.742328606647666E-2</v>
      </c>
      <c r="R464">
        <f t="shared" si="48"/>
        <v>0.70288321997447234</v>
      </c>
    </row>
    <row r="465" spans="1:18" hidden="1" x14ac:dyDescent="0.25">
      <c r="A465" s="46">
        <v>2020</v>
      </c>
      <c r="B465" s="56">
        <v>254021</v>
      </c>
      <c r="C465" s="47" t="s">
        <v>71</v>
      </c>
      <c r="D465" s="47" t="s">
        <v>42</v>
      </c>
      <c r="E465" s="47" t="s">
        <v>44</v>
      </c>
      <c r="F465" s="46">
        <v>2420</v>
      </c>
      <c r="G465" s="46">
        <v>245</v>
      </c>
      <c r="H465" s="46">
        <v>910</v>
      </c>
      <c r="I465" s="46">
        <v>745</v>
      </c>
      <c r="J465" s="46">
        <v>255</v>
      </c>
      <c r="K465" s="46">
        <v>120</v>
      </c>
      <c r="L465" s="46">
        <v>145</v>
      </c>
      <c r="M465">
        <f t="shared" si="43"/>
        <v>2.8558273448382378E-2</v>
      </c>
      <c r="N465">
        <f t="shared" si="44"/>
        <v>0.10607358709399169</v>
      </c>
      <c r="O465">
        <f t="shared" si="45"/>
        <v>8.6840464159366818E-2</v>
      </c>
      <c r="P465">
        <f t="shared" si="46"/>
        <v>2.9723917262602068E-2</v>
      </c>
      <c r="Q465">
        <f t="shared" si="47"/>
        <v>1.3987725770636266E-2</v>
      </c>
      <c r="R465">
        <f t="shared" si="48"/>
        <v>1.6901835306185491E-2</v>
      </c>
    </row>
    <row r="466" spans="1:18" hidden="1" x14ac:dyDescent="0.25">
      <c r="A466" s="46">
        <v>2020</v>
      </c>
      <c r="B466" s="56">
        <v>254021</v>
      </c>
      <c r="C466" s="47" t="s">
        <v>71</v>
      </c>
      <c r="D466" s="47" t="s">
        <v>42</v>
      </c>
      <c r="E466" s="47" t="s">
        <v>45</v>
      </c>
      <c r="F466" s="46">
        <v>780</v>
      </c>
      <c r="G466" s="46">
        <v>45</v>
      </c>
      <c r="H466" s="46">
        <v>175</v>
      </c>
      <c r="I466" s="46">
        <v>230</v>
      </c>
      <c r="J466" s="46">
        <v>85</v>
      </c>
      <c r="K466" s="46">
        <v>35</v>
      </c>
      <c r="L466" s="46">
        <v>210</v>
      </c>
      <c r="M466">
        <f t="shared" si="43"/>
        <v>5.2453971639886002E-3</v>
      </c>
      <c r="N466">
        <f t="shared" si="44"/>
        <v>2.0398766748844555E-2</v>
      </c>
      <c r="O466">
        <f t="shared" si="45"/>
        <v>2.6809807727052843E-2</v>
      </c>
      <c r="P466">
        <f t="shared" si="46"/>
        <v>9.9079724208673559E-3</v>
      </c>
      <c r="Q466">
        <f t="shared" si="47"/>
        <v>4.0797533497689111E-3</v>
      </c>
      <c r="R466">
        <f t="shared" si="48"/>
        <v>2.4478520098613465E-2</v>
      </c>
    </row>
    <row r="467" spans="1:18" hidden="1" x14ac:dyDescent="0.25">
      <c r="A467" s="46">
        <v>2020</v>
      </c>
      <c r="B467" s="56">
        <v>254021</v>
      </c>
      <c r="C467" s="47" t="s">
        <v>71</v>
      </c>
      <c r="D467" s="47" t="s">
        <v>42</v>
      </c>
      <c r="E467" s="47" t="s">
        <v>46</v>
      </c>
      <c r="F467" s="46">
        <v>1335</v>
      </c>
      <c r="G467" s="46">
        <v>100</v>
      </c>
      <c r="H467" s="46">
        <v>300</v>
      </c>
      <c r="I467" s="46">
        <v>525</v>
      </c>
      <c r="J467" s="46">
        <v>95</v>
      </c>
      <c r="K467" s="46">
        <v>35</v>
      </c>
      <c r="L467" s="46">
        <v>280</v>
      </c>
      <c r="M467">
        <f t="shared" si="43"/>
        <v>1.1656438142196888E-2</v>
      </c>
      <c r="N467">
        <f t="shared" si="44"/>
        <v>3.4969314426590667E-2</v>
      </c>
      <c r="O467">
        <f t="shared" si="45"/>
        <v>6.1196300246533664E-2</v>
      </c>
      <c r="P467">
        <f t="shared" si="46"/>
        <v>1.1073616235087045E-2</v>
      </c>
      <c r="Q467">
        <f t="shared" si="47"/>
        <v>4.0797533497689111E-3</v>
      </c>
      <c r="R467">
        <f t="shared" si="48"/>
        <v>3.2638026798151289E-2</v>
      </c>
    </row>
    <row r="468" spans="1:18" hidden="1" x14ac:dyDescent="0.25">
      <c r="A468" s="46">
        <v>2020</v>
      </c>
      <c r="B468" s="56">
        <v>254021</v>
      </c>
      <c r="C468" s="47" t="s">
        <v>71</v>
      </c>
      <c r="D468" s="47" t="s">
        <v>42</v>
      </c>
      <c r="E468" s="47" t="s">
        <v>47</v>
      </c>
      <c r="F468" s="46">
        <v>1720</v>
      </c>
      <c r="G468" s="46">
        <v>90</v>
      </c>
      <c r="H468" s="46">
        <v>445</v>
      </c>
      <c r="I468" s="46">
        <v>535</v>
      </c>
      <c r="J468" s="46">
        <v>210</v>
      </c>
      <c r="K468" s="46">
        <v>90</v>
      </c>
      <c r="L468" s="46">
        <v>345</v>
      </c>
      <c r="M468">
        <f t="shared" si="43"/>
        <v>1.04907943279772E-2</v>
      </c>
      <c r="N468">
        <f t="shared" si="44"/>
        <v>5.1871149732776158E-2</v>
      </c>
      <c r="O468">
        <f t="shared" si="45"/>
        <v>6.2361944060753356E-2</v>
      </c>
      <c r="P468">
        <f t="shared" si="46"/>
        <v>2.4478520098613465E-2</v>
      </c>
      <c r="Q468">
        <f t="shared" si="47"/>
        <v>1.04907943279772E-2</v>
      </c>
      <c r="R468">
        <f t="shared" si="48"/>
        <v>4.0214711590579266E-2</v>
      </c>
    </row>
    <row r="469" spans="1:18" hidden="1" x14ac:dyDescent="0.25">
      <c r="A469" s="46">
        <v>2020</v>
      </c>
      <c r="B469" s="56">
        <v>254021</v>
      </c>
      <c r="C469" s="47" t="s">
        <v>71</v>
      </c>
      <c r="D469" s="47" t="s">
        <v>42</v>
      </c>
      <c r="E469" s="47" t="s">
        <v>48</v>
      </c>
      <c r="F469" s="46">
        <v>5490</v>
      </c>
      <c r="G469" s="46">
        <v>200</v>
      </c>
      <c r="H469" s="46">
        <v>860</v>
      </c>
      <c r="I469" s="46">
        <v>1125</v>
      </c>
      <c r="J469" s="46">
        <v>625</v>
      </c>
      <c r="K469" s="46">
        <v>390</v>
      </c>
      <c r="L469" s="46">
        <v>2290</v>
      </c>
      <c r="M469">
        <f t="shared" si="43"/>
        <v>2.3312876284393776E-2</v>
      </c>
      <c r="N469">
        <f t="shared" si="44"/>
        <v>0.10024536802289323</v>
      </c>
      <c r="O469">
        <f t="shared" si="45"/>
        <v>0.131134929099715</v>
      </c>
      <c r="P469">
        <f t="shared" si="46"/>
        <v>7.2852738388730562E-2</v>
      </c>
      <c r="Q469">
        <f t="shared" si="47"/>
        <v>4.5460108754567866E-2</v>
      </c>
      <c r="R469">
        <f t="shared" si="48"/>
        <v>0.26693243345630874</v>
      </c>
    </row>
    <row r="470" spans="1:18" hidden="1" x14ac:dyDescent="0.25">
      <c r="A470" s="46">
        <v>2020</v>
      </c>
      <c r="B470" s="56">
        <v>254021</v>
      </c>
      <c r="C470" s="47" t="s">
        <v>71</v>
      </c>
      <c r="D470" s="47" t="s">
        <v>42</v>
      </c>
      <c r="E470" s="47" t="s">
        <v>49</v>
      </c>
      <c r="F470" s="46">
        <v>2140</v>
      </c>
      <c r="G470" s="46">
        <v>35</v>
      </c>
      <c r="H470" s="46">
        <v>150</v>
      </c>
      <c r="I470" s="46">
        <v>185</v>
      </c>
      <c r="J470" s="46">
        <v>115</v>
      </c>
      <c r="K470" s="46">
        <v>65</v>
      </c>
      <c r="L470" s="46">
        <v>1590</v>
      </c>
      <c r="M470">
        <f t="shared" si="43"/>
        <v>4.0797533497689111E-3</v>
      </c>
      <c r="N470">
        <f t="shared" si="44"/>
        <v>1.7484657213295333E-2</v>
      </c>
      <c r="O470">
        <f t="shared" si="45"/>
        <v>2.1564410563064244E-2</v>
      </c>
      <c r="P470">
        <f t="shared" si="46"/>
        <v>1.3404903863526422E-2</v>
      </c>
      <c r="Q470">
        <f t="shared" si="47"/>
        <v>7.5766847924279776E-3</v>
      </c>
      <c r="R470">
        <f t="shared" si="48"/>
        <v>0.18533736646093052</v>
      </c>
    </row>
    <row r="471" spans="1:18" hidden="1" x14ac:dyDescent="0.25">
      <c r="A471" s="46">
        <v>2020</v>
      </c>
      <c r="B471" s="56">
        <v>254021</v>
      </c>
      <c r="C471" s="47" t="s">
        <v>71</v>
      </c>
      <c r="D471" s="47" t="s">
        <v>42</v>
      </c>
      <c r="E471" s="47" t="s">
        <v>50</v>
      </c>
      <c r="F471" s="46">
        <v>1265</v>
      </c>
      <c r="G471" s="46">
        <v>5</v>
      </c>
      <c r="H471" s="46">
        <v>20</v>
      </c>
      <c r="I471" s="46">
        <v>40</v>
      </c>
      <c r="J471" s="46">
        <v>25</v>
      </c>
      <c r="K471" s="46">
        <v>10</v>
      </c>
      <c r="L471" s="46">
        <v>1165</v>
      </c>
      <c r="M471">
        <f t="shared" si="43"/>
        <v>5.8282190710984446E-4</v>
      </c>
      <c r="N471">
        <f t="shared" si="44"/>
        <v>2.3312876284393778E-3</v>
      </c>
      <c r="O471">
        <f t="shared" si="45"/>
        <v>4.6625752568787556E-3</v>
      </c>
      <c r="P471">
        <f t="shared" si="46"/>
        <v>2.914109535549222E-3</v>
      </c>
      <c r="Q471">
        <f t="shared" si="47"/>
        <v>1.1656438142196889E-3</v>
      </c>
      <c r="R471">
        <f t="shared" si="48"/>
        <v>0.13579750435659374</v>
      </c>
    </row>
    <row r="472" spans="1:18" hidden="1" x14ac:dyDescent="0.25">
      <c r="A472" s="46">
        <v>2020</v>
      </c>
      <c r="B472" s="56">
        <v>254021</v>
      </c>
      <c r="C472" s="47" t="s">
        <v>71</v>
      </c>
      <c r="D472" s="47" t="s">
        <v>51</v>
      </c>
      <c r="E472" s="47" t="s">
        <v>43</v>
      </c>
      <c r="F472" s="46">
        <v>7980</v>
      </c>
      <c r="G472" s="46">
        <v>370</v>
      </c>
      <c r="H472" s="46">
        <v>1550</v>
      </c>
      <c r="I472" s="46">
        <v>2005</v>
      </c>
      <c r="J472" s="46">
        <v>765</v>
      </c>
      <c r="K472" s="46">
        <v>375</v>
      </c>
      <c r="L472" s="46">
        <v>2915</v>
      </c>
      <c r="M472">
        <f t="shared" si="43"/>
        <v>4.3128821126128487E-2</v>
      </c>
      <c r="N472">
        <f t="shared" si="44"/>
        <v>0.18067479120405178</v>
      </c>
      <c r="O472">
        <f t="shared" si="45"/>
        <v>0.23371158475104761</v>
      </c>
      <c r="P472">
        <f t="shared" si="46"/>
        <v>8.9171751787806203E-2</v>
      </c>
      <c r="Q472">
        <f t="shared" si="47"/>
        <v>4.371164303323833E-2</v>
      </c>
      <c r="R472">
        <f t="shared" si="48"/>
        <v>0.33978517184503931</v>
      </c>
    </row>
    <row r="473" spans="1:18" hidden="1" x14ac:dyDescent="0.25">
      <c r="A473" s="46">
        <v>2020</v>
      </c>
      <c r="B473" s="56">
        <v>254021</v>
      </c>
      <c r="C473" s="47" t="s">
        <v>71</v>
      </c>
      <c r="D473" s="47" t="s">
        <v>51</v>
      </c>
      <c r="E473" s="47" t="s">
        <v>44</v>
      </c>
      <c r="F473" s="46">
        <v>1260</v>
      </c>
      <c r="G473" s="46">
        <v>120</v>
      </c>
      <c r="H473" s="46">
        <v>485</v>
      </c>
      <c r="I473" s="46">
        <v>390</v>
      </c>
      <c r="J473" s="46">
        <v>135</v>
      </c>
      <c r="K473" s="46">
        <v>60</v>
      </c>
      <c r="L473" s="46">
        <v>70</v>
      </c>
      <c r="M473">
        <f t="shared" si="43"/>
        <v>1.3987725770636266E-2</v>
      </c>
      <c r="N473">
        <f t="shared" si="44"/>
        <v>5.6533724989654914E-2</v>
      </c>
      <c r="O473">
        <f t="shared" si="45"/>
        <v>4.5460108754567866E-2</v>
      </c>
      <c r="P473">
        <f t="shared" si="46"/>
        <v>1.5736191491965801E-2</v>
      </c>
      <c r="Q473">
        <f t="shared" si="47"/>
        <v>6.993862885318133E-3</v>
      </c>
      <c r="R473">
        <f t="shared" si="48"/>
        <v>8.1595066995378222E-3</v>
      </c>
    </row>
    <row r="474" spans="1:18" hidden="1" x14ac:dyDescent="0.25">
      <c r="A474" s="46">
        <v>2020</v>
      </c>
      <c r="B474" s="56">
        <v>254021</v>
      </c>
      <c r="C474" s="47" t="s">
        <v>71</v>
      </c>
      <c r="D474" s="47" t="s">
        <v>51</v>
      </c>
      <c r="E474" s="47" t="s">
        <v>45</v>
      </c>
      <c r="F474" s="46">
        <v>430</v>
      </c>
      <c r="G474" s="46">
        <v>25</v>
      </c>
      <c r="H474" s="46">
        <v>105</v>
      </c>
      <c r="I474" s="46">
        <v>135</v>
      </c>
      <c r="J474" s="46">
        <v>45</v>
      </c>
      <c r="K474" s="46">
        <v>20</v>
      </c>
      <c r="L474" s="46">
        <v>100</v>
      </c>
      <c r="M474">
        <f t="shared" si="43"/>
        <v>2.914109535549222E-3</v>
      </c>
      <c r="N474">
        <f t="shared" si="44"/>
        <v>1.2239260049306732E-2</v>
      </c>
      <c r="O474">
        <f t="shared" si="45"/>
        <v>1.5736191491965801E-2</v>
      </c>
      <c r="P474">
        <f t="shared" si="46"/>
        <v>5.2453971639886002E-3</v>
      </c>
      <c r="Q474">
        <f t="shared" si="47"/>
        <v>2.3312876284393778E-3</v>
      </c>
      <c r="R474">
        <f t="shared" si="48"/>
        <v>1.1656438142196888E-2</v>
      </c>
    </row>
    <row r="475" spans="1:18" hidden="1" x14ac:dyDescent="0.25">
      <c r="A475" s="46">
        <v>2020</v>
      </c>
      <c r="B475" s="56">
        <v>254021</v>
      </c>
      <c r="C475" s="47" t="s">
        <v>71</v>
      </c>
      <c r="D475" s="47" t="s">
        <v>51</v>
      </c>
      <c r="E475" s="47" t="s">
        <v>46</v>
      </c>
      <c r="F475" s="46">
        <v>770</v>
      </c>
      <c r="G475" s="46">
        <v>45</v>
      </c>
      <c r="H475" s="46">
        <v>145</v>
      </c>
      <c r="I475" s="46">
        <v>375</v>
      </c>
      <c r="J475" s="46">
        <v>55</v>
      </c>
      <c r="K475" s="46">
        <v>15</v>
      </c>
      <c r="L475" s="46">
        <v>135</v>
      </c>
      <c r="M475">
        <f t="shared" si="43"/>
        <v>5.2453971639886002E-3</v>
      </c>
      <c r="N475">
        <f t="shared" si="44"/>
        <v>1.6901835306185491E-2</v>
      </c>
      <c r="O475">
        <f t="shared" si="45"/>
        <v>4.371164303323833E-2</v>
      </c>
      <c r="P475">
        <f t="shared" si="46"/>
        <v>6.4110409782082893E-3</v>
      </c>
      <c r="Q475">
        <f t="shared" si="47"/>
        <v>1.7484657213295333E-3</v>
      </c>
      <c r="R475">
        <f t="shared" si="48"/>
        <v>1.5736191491965801E-2</v>
      </c>
    </row>
    <row r="476" spans="1:18" hidden="1" x14ac:dyDescent="0.25">
      <c r="A476" s="46">
        <v>2020</v>
      </c>
      <c r="B476" s="56">
        <v>254021</v>
      </c>
      <c r="C476" s="47" t="s">
        <v>71</v>
      </c>
      <c r="D476" s="47" t="s">
        <v>51</v>
      </c>
      <c r="E476" s="47" t="s">
        <v>47</v>
      </c>
      <c r="F476" s="46">
        <v>970</v>
      </c>
      <c r="G476" s="46">
        <v>50</v>
      </c>
      <c r="H476" s="46">
        <v>230</v>
      </c>
      <c r="I476" s="46">
        <v>340</v>
      </c>
      <c r="J476" s="46">
        <v>120</v>
      </c>
      <c r="K476" s="46">
        <v>40</v>
      </c>
      <c r="L476" s="46">
        <v>190</v>
      </c>
      <c r="M476">
        <f t="shared" si="43"/>
        <v>5.8282190710984439E-3</v>
      </c>
      <c r="N476">
        <f t="shared" si="44"/>
        <v>2.6809807727052843E-2</v>
      </c>
      <c r="O476">
        <f t="shared" si="45"/>
        <v>3.9631889683469423E-2</v>
      </c>
      <c r="P476">
        <f t="shared" si="46"/>
        <v>1.3987725770636266E-2</v>
      </c>
      <c r="Q476">
        <f t="shared" si="47"/>
        <v>4.6625752568787556E-3</v>
      </c>
      <c r="R476">
        <f t="shared" si="48"/>
        <v>2.214723247017409E-2</v>
      </c>
    </row>
    <row r="477" spans="1:18" hidden="1" x14ac:dyDescent="0.25">
      <c r="A477" s="46">
        <v>2020</v>
      </c>
      <c r="B477" s="56">
        <v>254021</v>
      </c>
      <c r="C477" s="47" t="s">
        <v>71</v>
      </c>
      <c r="D477" s="47" t="s">
        <v>51</v>
      </c>
      <c r="E477" s="47" t="s">
        <v>48</v>
      </c>
      <c r="F477" s="46">
        <v>2885</v>
      </c>
      <c r="G477" s="46">
        <v>110</v>
      </c>
      <c r="H477" s="46">
        <v>480</v>
      </c>
      <c r="I477" s="46">
        <v>670</v>
      </c>
      <c r="J477" s="46">
        <v>330</v>
      </c>
      <c r="K477" s="46">
        <v>205</v>
      </c>
      <c r="L477" s="46">
        <v>1085</v>
      </c>
      <c r="M477">
        <f t="shared" si="43"/>
        <v>1.2822081956416579E-2</v>
      </c>
      <c r="N477">
        <f t="shared" si="44"/>
        <v>5.5950903082545064E-2</v>
      </c>
      <c r="O477">
        <f t="shared" si="45"/>
        <v>7.8098135552719161E-2</v>
      </c>
      <c r="P477">
        <f t="shared" si="46"/>
        <v>3.8466245869249731E-2</v>
      </c>
      <c r="Q477">
        <f t="shared" si="47"/>
        <v>2.3895698191503622E-2</v>
      </c>
      <c r="R477">
        <f t="shared" si="48"/>
        <v>0.12647235384283623</v>
      </c>
    </row>
    <row r="478" spans="1:18" hidden="1" x14ac:dyDescent="0.25">
      <c r="A478" s="46">
        <v>2020</v>
      </c>
      <c r="B478" s="56">
        <v>254021</v>
      </c>
      <c r="C478" s="47" t="s">
        <v>71</v>
      </c>
      <c r="D478" s="47" t="s">
        <v>51</v>
      </c>
      <c r="E478" s="47" t="s">
        <v>49</v>
      </c>
      <c r="F478" s="46">
        <v>1115</v>
      </c>
      <c r="G478" s="46">
        <v>20</v>
      </c>
      <c r="H478" s="46">
        <v>95</v>
      </c>
      <c r="I478" s="46">
        <v>90</v>
      </c>
      <c r="J478" s="46">
        <v>70</v>
      </c>
      <c r="K478" s="46">
        <v>30</v>
      </c>
      <c r="L478" s="46">
        <v>820</v>
      </c>
      <c r="M478">
        <f t="shared" si="43"/>
        <v>2.3312876284393778E-3</v>
      </c>
      <c r="N478">
        <f t="shared" si="44"/>
        <v>1.1073616235087045E-2</v>
      </c>
      <c r="O478">
        <f t="shared" si="45"/>
        <v>1.04907943279772E-2</v>
      </c>
      <c r="P478">
        <f t="shared" si="46"/>
        <v>8.1595066995378222E-3</v>
      </c>
      <c r="Q478">
        <f t="shared" si="47"/>
        <v>3.4969314426590665E-3</v>
      </c>
      <c r="R478">
        <f t="shared" si="48"/>
        <v>9.5582792766014488E-2</v>
      </c>
    </row>
    <row r="479" spans="1:18" hidden="1" x14ac:dyDescent="0.25">
      <c r="A479" s="46">
        <v>2020</v>
      </c>
      <c r="B479" s="56">
        <v>254021</v>
      </c>
      <c r="C479" s="47" t="s">
        <v>71</v>
      </c>
      <c r="D479" s="47" t="s">
        <v>51</v>
      </c>
      <c r="E479" s="47" t="s">
        <v>50</v>
      </c>
      <c r="F479" s="46">
        <v>550</v>
      </c>
      <c r="G479" s="46">
        <v>0</v>
      </c>
      <c r="H479" s="46">
        <v>5</v>
      </c>
      <c r="I479" s="46">
        <v>15</v>
      </c>
      <c r="J479" s="46">
        <v>10</v>
      </c>
      <c r="K479" s="46">
        <v>5</v>
      </c>
      <c r="L479" s="46">
        <v>515</v>
      </c>
      <c r="M479">
        <f t="shared" si="43"/>
        <v>0</v>
      </c>
      <c r="N479">
        <f t="shared" si="44"/>
        <v>5.8282190710984446E-4</v>
      </c>
      <c r="O479">
        <f t="shared" si="45"/>
        <v>1.7484657213295333E-3</v>
      </c>
      <c r="P479">
        <f t="shared" si="46"/>
        <v>1.1656438142196889E-3</v>
      </c>
      <c r="Q479">
        <f t="shared" si="47"/>
        <v>5.8282190710984446E-4</v>
      </c>
      <c r="R479">
        <f t="shared" si="48"/>
        <v>6.0030656432313978E-2</v>
      </c>
    </row>
    <row r="480" spans="1:18" hidden="1" x14ac:dyDescent="0.25">
      <c r="A480" s="46">
        <v>2020</v>
      </c>
      <c r="B480" s="56">
        <v>254021</v>
      </c>
      <c r="C480" s="47" t="s">
        <v>71</v>
      </c>
      <c r="D480" s="47" t="s">
        <v>52</v>
      </c>
      <c r="E480" s="47" t="s">
        <v>43</v>
      </c>
      <c r="F480" s="46">
        <v>7170</v>
      </c>
      <c r="G480" s="46">
        <v>350</v>
      </c>
      <c r="H480" s="46">
        <v>1310</v>
      </c>
      <c r="I480" s="46">
        <v>1375</v>
      </c>
      <c r="J480" s="46">
        <v>645</v>
      </c>
      <c r="K480" s="46">
        <v>375</v>
      </c>
      <c r="L480" s="46">
        <v>3115</v>
      </c>
      <c r="M480">
        <f t="shared" si="43"/>
        <v>4.0797533497689109E-2</v>
      </c>
      <c r="N480">
        <f t="shared" si="44"/>
        <v>0.15269933966277924</v>
      </c>
      <c r="O480">
        <f t="shared" si="45"/>
        <v>0.16027602445520722</v>
      </c>
      <c r="P480">
        <f t="shared" si="46"/>
        <v>7.5184026017169933E-2</v>
      </c>
      <c r="Q480">
        <f t="shared" si="47"/>
        <v>4.371164303323833E-2</v>
      </c>
      <c r="R480">
        <f t="shared" si="48"/>
        <v>0.36309804812943308</v>
      </c>
    </row>
    <row r="481" spans="1:18" hidden="1" x14ac:dyDescent="0.25">
      <c r="A481" s="46">
        <v>2020</v>
      </c>
      <c r="B481" s="56">
        <v>254021</v>
      </c>
      <c r="C481" s="47" t="s">
        <v>71</v>
      </c>
      <c r="D481" s="47" t="s">
        <v>52</v>
      </c>
      <c r="E481" s="47" t="s">
        <v>44</v>
      </c>
      <c r="F481" s="46">
        <v>1160</v>
      </c>
      <c r="G481" s="46">
        <v>125</v>
      </c>
      <c r="H481" s="46">
        <v>420</v>
      </c>
      <c r="I481" s="46">
        <v>360</v>
      </c>
      <c r="J481" s="46">
        <v>120</v>
      </c>
      <c r="K481" s="46">
        <v>55</v>
      </c>
      <c r="L481" s="46">
        <v>75</v>
      </c>
      <c r="M481">
        <f t="shared" si="43"/>
        <v>1.4570547677746111E-2</v>
      </c>
      <c r="N481">
        <f t="shared" si="44"/>
        <v>4.895704019722693E-2</v>
      </c>
      <c r="O481">
        <f t="shared" si="45"/>
        <v>4.1963177311908802E-2</v>
      </c>
      <c r="P481">
        <f t="shared" si="46"/>
        <v>1.3987725770636266E-2</v>
      </c>
      <c r="Q481">
        <f t="shared" si="47"/>
        <v>6.4110409782082893E-3</v>
      </c>
      <c r="R481">
        <f t="shared" si="48"/>
        <v>8.7423286066476667E-3</v>
      </c>
    </row>
    <row r="482" spans="1:18" hidden="1" x14ac:dyDescent="0.25">
      <c r="A482" s="46">
        <v>2020</v>
      </c>
      <c r="B482" s="56">
        <v>254021</v>
      </c>
      <c r="C482" s="47" t="s">
        <v>71</v>
      </c>
      <c r="D482" s="47" t="s">
        <v>52</v>
      </c>
      <c r="E482" s="47" t="s">
        <v>45</v>
      </c>
      <c r="F482" s="46">
        <v>345</v>
      </c>
      <c r="G482" s="46">
        <v>20</v>
      </c>
      <c r="H482" s="46">
        <v>70</v>
      </c>
      <c r="I482" s="46">
        <v>95</v>
      </c>
      <c r="J482" s="46">
        <v>40</v>
      </c>
      <c r="K482" s="46">
        <v>15</v>
      </c>
      <c r="L482" s="46">
        <v>110</v>
      </c>
      <c r="M482">
        <f t="shared" si="43"/>
        <v>2.3312876284393778E-3</v>
      </c>
      <c r="N482">
        <f t="shared" si="44"/>
        <v>8.1595066995378222E-3</v>
      </c>
      <c r="O482">
        <f t="shared" si="45"/>
        <v>1.1073616235087045E-2</v>
      </c>
      <c r="P482">
        <f t="shared" si="46"/>
        <v>4.6625752568787556E-3</v>
      </c>
      <c r="Q482">
        <f t="shared" si="47"/>
        <v>1.7484657213295333E-3</v>
      </c>
      <c r="R482">
        <f t="shared" si="48"/>
        <v>1.2822081956416579E-2</v>
      </c>
    </row>
    <row r="483" spans="1:18" hidden="1" x14ac:dyDescent="0.25">
      <c r="A483" s="46">
        <v>2020</v>
      </c>
      <c r="B483" s="56">
        <v>254021</v>
      </c>
      <c r="C483" s="47" t="s">
        <v>71</v>
      </c>
      <c r="D483" s="47" t="s">
        <v>52</v>
      </c>
      <c r="E483" s="47" t="s">
        <v>46</v>
      </c>
      <c r="F483" s="46">
        <v>565</v>
      </c>
      <c r="G483" s="46">
        <v>55</v>
      </c>
      <c r="H483" s="46">
        <v>150</v>
      </c>
      <c r="I483" s="46">
        <v>150</v>
      </c>
      <c r="J483" s="46">
        <v>40</v>
      </c>
      <c r="K483" s="46">
        <v>25</v>
      </c>
      <c r="L483" s="46">
        <v>145</v>
      </c>
      <c r="M483">
        <f t="shared" si="43"/>
        <v>6.4110409782082893E-3</v>
      </c>
      <c r="N483">
        <f t="shared" si="44"/>
        <v>1.7484657213295333E-2</v>
      </c>
      <c r="O483">
        <f t="shared" si="45"/>
        <v>1.7484657213295333E-2</v>
      </c>
      <c r="P483">
        <f t="shared" si="46"/>
        <v>4.6625752568787556E-3</v>
      </c>
      <c r="Q483">
        <f t="shared" si="47"/>
        <v>2.914109535549222E-3</v>
      </c>
      <c r="R483">
        <f t="shared" si="48"/>
        <v>1.6901835306185491E-2</v>
      </c>
    </row>
    <row r="484" spans="1:18" hidden="1" x14ac:dyDescent="0.25">
      <c r="A484" s="46">
        <v>2020</v>
      </c>
      <c r="B484" s="56">
        <v>254021</v>
      </c>
      <c r="C484" s="47" t="s">
        <v>71</v>
      </c>
      <c r="D484" s="47" t="s">
        <v>52</v>
      </c>
      <c r="E484" s="47" t="s">
        <v>47</v>
      </c>
      <c r="F484" s="46">
        <v>750</v>
      </c>
      <c r="G484" s="46">
        <v>40</v>
      </c>
      <c r="H484" s="46">
        <v>215</v>
      </c>
      <c r="I484" s="46">
        <v>200</v>
      </c>
      <c r="J484" s="46">
        <v>90</v>
      </c>
      <c r="K484" s="46">
        <v>50</v>
      </c>
      <c r="L484" s="46">
        <v>155</v>
      </c>
      <c r="M484">
        <f t="shared" si="43"/>
        <v>4.6625752568787556E-3</v>
      </c>
      <c r="N484">
        <f t="shared" si="44"/>
        <v>2.5061342005723308E-2</v>
      </c>
      <c r="O484">
        <f t="shared" si="45"/>
        <v>2.3312876284393776E-2</v>
      </c>
      <c r="P484">
        <f t="shared" si="46"/>
        <v>1.04907943279772E-2</v>
      </c>
      <c r="Q484">
        <f t="shared" si="47"/>
        <v>5.8282190710984439E-3</v>
      </c>
      <c r="R484">
        <f t="shared" si="48"/>
        <v>1.806747912040518E-2</v>
      </c>
    </row>
    <row r="485" spans="1:18" hidden="1" x14ac:dyDescent="0.25">
      <c r="A485" s="46">
        <v>2020</v>
      </c>
      <c r="B485" s="56">
        <v>254021</v>
      </c>
      <c r="C485" s="47" t="s">
        <v>71</v>
      </c>
      <c r="D485" s="47" t="s">
        <v>52</v>
      </c>
      <c r="E485" s="47" t="s">
        <v>48</v>
      </c>
      <c r="F485" s="46">
        <v>2605</v>
      </c>
      <c r="G485" s="46">
        <v>90</v>
      </c>
      <c r="H485" s="46">
        <v>380</v>
      </c>
      <c r="I485" s="46">
        <v>455</v>
      </c>
      <c r="J485" s="46">
        <v>295</v>
      </c>
      <c r="K485" s="46">
        <v>185</v>
      </c>
      <c r="L485" s="46">
        <v>1205</v>
      </c>
      <c r="M485">
        <f t="shared" si="43"/>
        <v>1.04907943279772E-2</v>
      </c>
      <c r="N485">
        <f t="shared" si="44"/>
        <v>4.429446494034818E-2</v>
      </c>
      <c r="O485">
        <f t="shared" si="45"/>
        <v>5.3036793546995843E-2</v>
      </c>
      <c r="P485">
        <f t="shared" si="46"/>
        <v>3.4386492519480824E-2</v>
      </c>
      <c r="Q485">
        <f t="shared" si="47"/>
        <v>2.1564410563064244E-2</v>
      </c>
      <c r="R485">
        <f t="shared" si="48"/>
        <v>0.14046007961347251</v>
      </c>
    </row>
    <row r="486" spans="1:18" hidden="1" x14ac:dyDescent="0.25">
      <c r="A486" s="46">
        <v>2020</v>
      </c>
      <c r="B486" s="56">
        <v>254021</v>
      </c>
      <c r="C486" s="47" t="s">
        <v>71</v>
      </c>
      <c r="D486" s="47" t="s">
        <v>52</v>
      </c>
      <c r="E486" s="47" t="s">
        <v>49</v>
      </c>
      <c r="F486" s="46">
        <v>1025</v>
      </c>
      <c r="G486" s="46">
        <v>20</v>
      </c>
      <c r="H486" s="46">
        <v>55</v>
      </c>
      <c r="I486" s="46">
        <v>95</v>
      </c>
      <c r="J486" s="46">
        <v>50</v>
      </c>
      <c r="K486" s="46">
        <v>35</v>
      </c>
      <c r="L486" s="46">
        <v>770</v>
      </c>
      <c r="M486">
        <f t="shared" si="43"/>
        <v>2.3312876284393778E-3</v>
      </c>
      <c r="N486">
        <f t="shared" si="44"/>
        <v>6.4110409782082893E-3</v>
      </c>
      <c r="O486">
        <f t="shared" si="45"/>
        <v>1.1073616235087045E-2</v>
      </c>
      <c r="P486">
        <f t="shared" si="46"/>
        <v>5.8282190710984439E-3</v>
      </c>
      <c r="Q486">
        <f t="shared" si="47"/>
        <v>4.0797533497689111E-3</v>
      </c>
      <c r="R486">
        <f t="shared" si="48"/>
        <v>8.9754573694916046E-2</v>
      </c>
    </row>
    <row r="487" spans="1:18" hidden="1" x14ac:dyDescent="0.25">
      <c r="A487" s="46">
        <v>2020</v>
      </c>
      <c r="B487" s="56">
        <v>254021</v>
      </c>
      <c r="C487" s="47" t="s">
        <v>71</v>
      </c>
      <c r="D487" s="47" t="s">
        <v>52</v>
      </c>
      <c r="E487" s="47" t="s">
        <v>50</v>
      </c>
      <c r="F487" s="46">
        <v>720</v>
      </c>
      <c r="G487" s="46">
        <v>0</v>
      </c>
      <c r="H487" s="46">
        <v>15</v>
      </c>
      <c r="I487" s="46">
        <v>25</v>
      </c>
      <c r="J487" s="46">
        <v>15</v>
      </c>
      <c r="K487" s="46">
        <v>10</v>
      </c>
      <c r="L487" s="46">
        <v>655</v>
      </c>
      <c r="M487">
        <f t="shared" si="43"/>
        <v>0</v>
      </c>
      <c r="N487">
        <f t="shared" si="44"/>
        <v>1.7484657213295333E-3</v>
      </c>
      <c r="O487">
        <f t="shared" si="45"/>
        <v>2.914109535549222E-3</v>
      </c>
      <c r="P487">
        <f t="shared" si="46"/>
        <v>1.7484657213295333E-3</v>
      </c>
      <c r="Q487">
        <f t="shared" si="47"/>
        <v>1.1656438142196889E-3</v>
      </c>
      <c r="R487">
        <f t="shared" si="48"/>
        <v>7.6349669831389619E-2</v>
      </c>
    </row>
    <row r="488" spans="1:18" x14ac:dyDescent="0.25">
      <c r="A488" s="46">
        <v>2020</v>
      </c>
      <c r="B488" s="56">
        <v>255</v>
      </c>
      <c r="C488" s="47" t="s">
        <v>72</v>
      </c>
      <c r="D488" s="47" t="s">
        <v>42</v>
      </c>
      <c r="E488" s="47" t="s">
        <v>43</v>
      </c>
      <c r="F488" s="46">
        <v>4490</v>
      </c>
      <c r="G488" s="46">
        <v>150</v>
      </c>
      <c r="H488" s="46">
        <v>835</v>
      </c>
      <c r="I488" s="46">
        <v>955</v>
      </c>
      <c r="J488" s="46">
        <v>225</v>
      </c>
      <c r="K488" s="46">
        <v>175</v>
      </c>
      <c r="L488" s="46">
        <v>2150</v>
      </c>
      <c r="M488">
        <f t="shared" si="43"/>
        <v>1.7484657213295333E-2</v>
      </c>
      <c r="N488">
        <f t="shared" si="44"/>
        <v>9.7331258487344016E-2</v>
      </c>
      <c r="O488">
        <f t="shared" si="45"/>
        <v>0.11131898425798029</v>
      </c>
      <c r="P488">
        <f t="shared" si="46"/>
        <v>2.6226985819943E-2</v>
      </c>
      <c r="Q488">
        <f t="shared" si="47"/>
        <v>2.0398766748844555E-2</v>
      </c>
      <c r="R488">
        <f t="shared" si="48"/>
        <v>0.25061342005723308</v>
      </c>
    </row>
    <row r="489" spans="1:18" hidden="1" x14ac:dyDescent="0.25">
      <c r="A489" s="46">
        <v>2020</v>
      </c>
      <c r="B489" s="56">
        <v>255</v>
      </c>
      <c r="C489" s="47" t="s">
        <v>72</v>
      </c>
      <c r="D489" s="47" t="s">
        <v>42</v>
      </c>
      <c r="E489" s="47" t="s">
        <v>44</v>
      </c>
      <c r="F489" s="46">
        <v>705</v>
      </c>
      <c r="G489" s="46">
        <v>65</v>
      </c>
      <c r="H489" s="46">
        <v>295</v>
      </c>
      <c r="I489" s="46">
        <v>220</v>
      </c>
      <c r="J489" s="46">
        <v>55</v>
      </c>
      <c r="K489" s="46">
        <v>30</v>
      </c>
      <c r="L489" s="46">
        <v>35</v>
      </c>
      <c r="M489">
        <f t="shared" si="43"/>
        <v>7.5766847924279776E-3</v>
      </c>
      <c r="N489">
        <f t="shared" si="44"/>
        <v>3.4386492519480824E-2</v>
      </c>
      <c r="O489">
        <f t="shared" si="45"/>
        <v>2.5644163912833157E-2</v>
      </c>
      <c r="P489">
        <f t="shared" si="46"/>
        <v>6.4110409782082893E-3</v>
      </c>
      <c r="Q489">
        <f t="shared" si="47"/>
        <v>3.4969314426590665E-3</v>
      </c>
      <c r="R489">
        <f t="shared" si="48"/>
        <v>4.0797533497689111E-3</v>
      </c>
    </row>
    <row r="490" spans="1:18" hidden="1" x14ac:dyDescent="0.25">
      <c r="A490" s="46">
        <v>2020</v>
      </c>
      <c r="B490" s="56">
        <v>255</v>
      </c>
      <c r="C490" s="47" t="s">
        <v>72</v>
      </c>
      <c r="D490" s="47" t="s">
        <v>42</v>
      </c>
      <c r="E490" s="47" t="s">
        <v>45</v>
      </c>
      <c r="F490" s="46">
        <v>230</v>
      </c>
      <c r="G490" s="46">
        <v>10</v>
      </c>
      <c r="H490" s="46">
        <v>75</v>
      </c>
      <c r="I490" s="46">
        <v>75</v>
      </c>
      <c r="J490" s="46">
        <v>10</v>
      </c>
      <c r="K490" s="46">
        <v>15</v>
      </c>
      <c r="L490" s="46">
        <v>50</v>
      </c>
      <c r="M490">
        <f t="shared" si="43"/>
        <v>1.1656438142196889E-3</v>
      </c>
      <c r="N490">
        <f t="shared" si="44"/>
        <v>8.7423286066476667E-3</v>
      </c>
      <c r="O490">
        <f t="shared" si="45"/>
        <v>8.7423286066476667E-3</v>
      </c>
      <c r="P490">
        <f t="shared" si="46"/>
        <v>1.1656438142196889E-3</v>
      </c>
      <c r="Q490">
        <f t="shared" si="47"/>
        <v>1.7484657213295333E-3</v>
      </c>
      <c r="R490">
        <f t="shared" si="48"/>
        <v>5.8282190710984439E-3</v>
      </c>
    </row>
    <row r="491" spans="1:18" hidden="1" x14ac:dyDescent="0.25">
      <c r="A491" s="46">
        <v>2020</v>
      </c>
      <c r="B491" s="56">
        <v>255</v>
      </c>
      <c r="C491" s="47" t="s">
        <v>72</v>
      </c>
      <c r="D491" s="47" t="s">
        <v>42</v>
      </c>
      <c r="E491" s="47" t="s">
        <v>46</v>
      </c>
      <c r="F491" s="46">
        <v>335</v>
      </c>
      <c r="G491" s="46">
        <v>10</v>
      </c>
      <c r="H491" s="46">
        <v>65</v>
      </c>
      <c r="I491" s="46">
        <v>120</v>
      </c>
      <c r="J491" s="46">
        <v>10</v>
      </c>
      <c r="K491" s="46">
        <v>15</v>
      </c>
      <c r="L491" s="46">
        <v>115</v>
      </c>
      <c r="M491">
        <f t="shared" si="43"/>
        <v>1.1656438142196889E-3</v>
      </c>
      <c r="N491">
        <f t="shared" si="44"/>
        <v>7.5766847924279776E-3</v>
      </c>
      <c r="O491">
        <f t="shared" si="45"/>
        <v>1.3987725770636266E-2</v>
      </c>
      <c r="P491">
        <f t="shared" si="46"/>
        <v>1.1656438142196889E-3</v>
      </c>
      <c r="Q491">
        <f t="shared" si="47"/>
        <v>1.7484657213295333E-3</v>
      </c>
      <c r="R491">
        <f t="shared" si="48"/>
        <v>1.3404903863526422E-2</v>
      </c>
    </row>
    <row r="492" spans="1:18" hidden="1" x14ac:dyDescent="0.25">
      <c r="A492" s="46">
        <v>2020</v>
      </c>
      <c r="B492" s="56">
        <v>255</v>
      </c>
      <c r="C492" s="47" t="s">
        <v>72</v>
      </c>
      <c r="D492" s="47" t="s">
        <v>42</v>
      </c>
      <c r="E492" s="47" t="s">
        <v>47</v>
      </c>
      <c r="F492" s="46">
        <v>380</v>
      </c>
      <c r="G492" s="46">
        <v>15</v>
      </c>
      <c r="H492" s="46">
        <v>95</v>
      </c>
      <c r="I492" s="46">
        <v>130</v>
      </c>
      <c r="J492" s="46">
        <v>25</v>
      </c>
      <c r="K492" s="46">
        <v>10</v>
      </c>
      <c r="L492" s="46">
        <v>105</v>
      </c>
      <c r="M492">
        <f t="shared" si="43"/>
        <v>1.7484657213295333E-3</v>
      </c>
      <c r="N492">
        <f t="shared" si="44"/>
        <v>1.1073616235087045E-2</v>
      </c>
      <c r="O492">
        <f t="shared" si="45"/>
        <v>1.5153369584855955E-2</v>
      </c>
      <c r="P492">
        <f t="shared" si="46"/>
        <v>2.914109535549222E-3</v>
      </c>
      <c r="Q492">
        <f t="shared" si="47"/>
        <v>1.1656438142196889E-3</v>
      </c>
      <c r="R492">
        <f t="shared" si="48"/>
        <v>1.2239260049306732E-2</v>
      </c>
    </row>
    <row r="493" spans="1:18" hidden="1" x14ac:dyDescent="0.25">
      <c r="A493" s="46">
        <v>2020</v>
      </c>
      <c r="B493" s="56">
        <v>255</v>
      </c>
      <c r="C493" s="47" t="s">
        <v>72</v>
      </c>
      <c r="D493" s="47" t="s">
        <v>42</v>
      </c>
      <c r="E493" s="47" t="s">
        <v>48</v>
      </c>
      <c r="F493" s="46">
        <v>1560</v>
      </c>
      <c r="G493" s="46">
        <v>45</v>
      </c>
      <c r="H493" s="46">
        <v>255</v>
      </c>
      <c r="I493" s="46">
        <v>335</v>
      </c>
      <c r="J493" s="46">
        <v>110</v>
      </c>
      <c r="K493" s="46">
        <v>75</v>
      </c>
      <c r="L493" s="46">
        <v>740</v>
      </c>
      <c r="M493">
        <f t="shared" si="43"/>
        <v>5.2453971639886002E-3</v>
      </c>
      <c r="N493">
        <f t="shared" si="44"/>
        <v>2.9723917262602068E-2</v>
      </c>
      <c r="O493">
        <f t="shared" si="45"/>
        <v>3.9049067776359581E-2</v>
      </c>
      <c r="P493">
        <f t="shared" si="46"/>
        <v>1.2822081956416579E-2</v>
      </c>
      <c r="Q493">
        <f t="shared" si="47"/>
        <v>8.7423286066476667E-3</v>
      </c>
      <c r="R493">
        <f t="shared" si="48"/>
        <v>8.6257642252256975E-2</v>
      </c>
    </row>
    <row r="494" spans="1:18" hidden="1" x14ac:dyDescent="0.25">
      <c r="A494" s="46">
        <v>2020</v>
      </c>
      <c r="B494" s="56">
        <v>255</v>
      </c>
      <c r="C494" s="47" t="s">
        <v>72</v>
      </c>
      <c r="D494" s="47" t="s">
        <v>42</v>
      </c>
      <c r="E494" s="47" t="s">
        <v>49</v>
      </c>
      <c r="F494" s="46">
        <v>770</v>
      </c>
      <c r="G494" s="46">
        <v>10</v>
      </c>
      <c r="H494" s="46">
        <v>45</v>
      </c>
      <c r="I494" s="46">
        <v>60</v>
      </c>
      <c r="J494" s="46">
        <v>10</v>
      </c>
      <c r="K494" s="46">
        <v>20</v>
      </c>
      <c r="L494" s="46">
        <v>625</v>
      </c>
      <c r="M494">
        <f t="shared" si="43"/>
        <v>1.1656438142196889E-3</v>
      </c>
      <c r="N494">
        <f t="shared" si="44"/>
        <v>5.2453971639886002E-3</v>
      </c>
      <c r="O494">
        <f t="shared" si="45"/>
        <v>6.993862885318133E-3</v>
      </c>
      <c r="P494">
        <f t="shared" si="46"/>
        <v>1.1656438142196889E-3</v>
      </c>
      <c r="Q494">
        <f t="shared" si="47"/>
        <v>2.3312876284393778E-3</v>
      </c>
      <c r="R494">
        <f t="shared" si="48"/>
        <v>7.2852738388730562E-2</v>
      </c>
    </row>
    <row r="495" spans="1:18" hidden="1" x14ac:dyDescent="0.25">
      <c r="A495" s="46">
        <v>2020</v>
      </c>
      <c r="B495" s="56">
        <v>255</v>
      </c>
      <c r="C495" s="47" t="s">
        <v>72</v>
      </c>
      <c r="D495" s="47" t="s">
        <v>42</v>
      </c>
      <c r="E495" s="47" t="s">
        <v>50</v>
      </c>
      <c r="F495" s="46">
        <v>510</v>
      </c>
      <c r="G495" s="46">
        <v>0</v>
      </c>
      <c r="H495" s="46">
        <v>5</v>
      </c>
      <c r="I495" s="46">
        <v>15</v>
      </c>
      <c r="J495" s="46">
        <v>0</v>
      </c>
      <c r="K495" s="46">
        <v>5</v>
      </c>
      <c r="L495" s="46">
        <v>480</v>
      </c>
      <c r="M495">
        <f t="shared" si="43"/>
        <v>0</v>
      </c>
      <c r="N495">
        <f t="shared" si="44"/>
        <v>5.8282190710984446E-4</v>
      </c>
      <c r="O495">
        <f t="shared" si="45"/>
        <v>1.7484657213295333E-3</v>
      </c>
      <c r="P495">
        <f t="shared" si="46"/>
        <v>0</v>
      </c>
      <c r="Q495">
        <f t="shared" si="47"/>
        <v>5.8282190710984446E-4</v>
      </c>
      <c r="R495">
        <f t="shared" si="48"/>
        <v>5.5950903082545064E-2</v>
      </c>
    </row>
    <row r="496" spans="1:18" hidden="1" x14ac:dyDescent="0.25">
      <c r="A496" s="46">
        <v>2020</v>
      </c>
      <c r="B496" s="56">
        <v>255</v>
      </c>
      <c r="C496" s="47" t="s">
        <v>72</v>
      </c>
      <c r="D496" s="47" t="s">
        <v>51</v>
      </c>
      <c r="E496" s="47" t="s">
        <v>43</v>
      </c>
      <c r="F496" s="46">
        <v>2410</v>
      </c>
      <c r="G496" s="46">
        <v>65</v>
      </c>
      <c r="H496" s="46">
        <v>440</v>
      </c>
      <c r="I496" s="46">
        <v>605</v>
      </c>
      <c r="J496" s="46">
        <v>120</v>
      </c>
      <c r="K496" s="46">
        <v>95</v>
      </c>
      <c r="L496" s="46">
        <v>1090</v>
      </c>
      <c r="M496">
        <f t="shared" si="43"/>
        <v>7.5766847924279776E-3</v>
      </c>
      <c r="N496">
        <f t="shared" si="44"/>
        <v>5.1288327825666315E-2</v>
      </c>
      <c r="O496">
        <f t="shared" si="45"/>
        <v>7.0521450760291177E-2</v>
      </c>
      <c r="P496">
        <f t="shared" si="46"/>
        <v>1.3987725770636266E-2</v>
      </c>
      <c r="Q496">
        <f t="shared" si="47"/>
        <v>1.1073616235087045E-2</v>
      </c>
      <c r="R496">
        <f t="shared" si="48"/>
        <v>0.1270551757499461</v>
      </c>
    </row>
    <row r="497" spans="1:18" hidden="1" x14ac:dyDescent="0.25">
      <c r="A497" s="46">
        <v>2020</v>
      </c>
      <c r="B497" s="56">
        <v>255</v>
      </c>
      <c r="C497" s="47" t="s">
        <v>72</v>
      </c>
      <c r="D497" s="47" t="s">
        <v>51</v>
      </c>
      <c r="E497" s="47" t="s">
        <v>44</v>
      </c>
      <c r="F497" s="46">
        <v>390</v>
      </c>
      <c r="G497" s="46">
        <v>30</v>
      </c>
      <c r="H497" s="46">
        <v>160</v>
      </c>
      <c r="I497" s="46">
        <v>130</v>
      </c>
      <c r="J497" s="46">
        <v>35</v>
      </c>
      <c r="K497" s="46">
        <v>20</v>
      </c>
      <c r="L497" s="46">
        <v>20</v>
      </c>
      <c r="M497">
        <f t="shared" si="43"/>
        <v>3.4969314426590665E-3</v>
      </c>
      <c r="N497">
        <f t="shared" si="44"/>
        <v>1.8650301027515023E-2</v>
      </c>
      <c r="O497">
        <f t="shared" si="45"/>
        <v>1.5153369584855955E-2</v>
      </c>
      <c r="P497">
        <f t="shared" si="46"/>
        <v>4.0797533497689111E-3</v>
      </c>
      <c r="Q497">
        <f t="shared" si="47"/>
        <v>2.3312876284393778E-3</v>
      </c>
      <c r="R497">
        <f t="shared" si="48"/>
        <v>2.3312876284393778E-3</v>
      </c>
    </row>
    <row r="498" spans="1:18" hidden="1" x14ac:dyDescent="0.25">
      <c r="A498" s="46">
        <v>2020</v>
      </c>
      <c r="B498" s="56">
        <v>255</v>
      </c>
      <c r="C498" s="47" t="s">
        <v>72</v>
      </c>
      <c r="D498" s="47" t="s">
        <v>51</v>
      </c>
      <c r="E498" s="47" t="s">
        <v>45</v>
      </c>
      <c r="F498" s="46">
        <v>125</v>
      </c>
      <c r="G498" s="46">
        <v>5</v>
      </c>
      <c r="H498" s="46">
        <v>35</v>
      </c>
      <c r="I498" s="46">
        <v>45</v>
      </c>
      <c r="J498" s="46">
        <v>5</v>
      </c>
      <c r="K498" s="46">
        <v>5</v>
      </c>
      <c r="L498" s="46">
        <v>25</v>
      </c>
      <c r="M498">
        <f t="shared" si="43"/>
        <v>5.8282190710984446E-4</v>
      </c>
      <c r="N498">
        <f t="shared" si="44"/>
        <v>4.0797533497689111E-3</v>
      </c>
      <c r="O498">
        <f t="shared" si="45"/>
        <v>5.2453971639886002E-3</v>
      </c>
      <c r="P498">
        <f t="shared" si="46"/>
        <v>5.8282190710984446E-4</v>
      </c>
      <c r="Q498">
        <f t="shared" si="47"/>
        <v>5.8282190710984446E-4</v>
      </c>
      <c r="R498">
        <f t="shared" si="48"/>
        <v>2.914109535549222E-3</v>
      </c>
    </row>
    <row r="499" spans="1:18" hidden="1" x14ac:dyDescent="0.25">
      <c r="A499" s="46">
        <v>2020</v>
      </c>
      <c r="B499" s="56">
        <v>255</v>
      </c>
      <c r="C499" s="47" t="s">
        <v>72</v>
      </c>
      <c r="D499" s="47" t="s">
        <v>51</v>
      </c>
      <c r="E499" s="47" t="s">
        <v>46</v>
      </c>
      <c r="F499" s="46">
        <v>210</v>
      </c>
      <c r="G499" s="46">
        <v>5</v>
      </c>
      <c r="H499" s="46">
        <v>40</v>
      </c>
      <c r="I499" s="46">
        <v>90</v>
      </c>
      <c r="J499" s="46">
        <v>5</v>
      </c>
      <c r="K499" s="46">
        <v>10</v>
      </c>
      <c r="L499" s="46">
        <v>65</v>
      </c>
      <c r="M499">
        <f t="shared" si="43"/>
        <v>5.8282190710984446E-4</v>
      </c>
      <c r="N499">
        <f t="shared" si="44"/>
        <v>4.6625752568787556E-3</v>
      </c>
      <c r="O499">
        <f t="shared" si="45"/>
        <v>1.04907943279772E-2</v>
      </c>
      <c r="P499">
        <f t="shared" si="46"/>
        <v>5.8282190710984446E-4</v>
      </c>
      <c r="Q499">
        <f t="shared" si="47"/>
        <v>1.1656438142196889E-3</v>
      </c>
      <c r="R499">
        <f t="shared" si="48"/>
        <v>7.5766847924279776E-3</v>
      </c>
    </row>
    <row r="500" spans="1:18" hidden="1" x14ac:dyDescent="0.25">
      <c r="A500" s="46">
        <v>2020</v>
      </c>
      <c r="B500" s="56">
        <v>255</v>
      </c>
      <c r="C500" s="47" t="s">
        <v>72</v>
      </c>
      <c r="D500" s="47" t="s">
        <v>51</v>
      </c>
      <c r="E500" s="47" t="s">
        <v>47</v>
      </c>
      <c r="F500" s="46">
        <v>225</v>
      </c>
      <c r="G500" s="46">
        <v>5</v>
      </c>
      <c r="H500" s="46">
        <v>55</v>
      </c>
      <c r="I500" s="46">
        <v>85</v>
      </c>
      <c r="J500" s="46">
        <v>15</v>
      </c>
      <c r="K500" s="46">
        <v>5</v>
      </c>
      <c r="L500" s="46">
        <v>65</v>
      </c>
      <c r="M500">
        <f t="shared" si="43"/>
        <v>5.8282190710984446E-4</v>
      </c>
      <c r="N500">
        <f t="shared" si="44"/>
        <v>6.4110409782082893E-3</v>
      </c>
      <c r="O500">
        <f t="shared" si="45"/>
        <v>9.9079724208673559E-3</v>
      </c>
      <c r="P500">
        <f t="shared" si="46"/>
        <v>1.7484657213295333E-3</v>
      </c>
      <c r="Q500">
        <f t="shared" si="47"/>
        <v>5.8282190710984446E-4</v>
      </c>
      <c r="R500">
        <f t="shared" si="48"/>
        <v>7.5766847924279776E-3</v>
      </c>
    </row>
    <row r="501" spans="1:18" hidden="1" x14ac:dyDescent="0.25">
      <c r="A501" s="46">
        <v>2020</v>
      </c>
      <c r="B501" s="56">
        <v>255</v>
      </c>
      <c r="C501" s="47" t="s">
        <v>72</v>
      </c>
      <c r="D501" s="47" t="s">
        <v>51</v>
      </c>
      <c r="E501" s="47" t="s">
        <v>48</v>
      </c>
      <c r="F501" s="46">
        <v>805</v>
      </c>
      <c r="G501" s="46">
        <v>20</v>
      </c>
      <c r="H501" s="46">
        <v>125</v>
      </c>
      <c r="I501" s="46">
        <v>215</v>
      </c>
      <c r="J501" s="46">
        <v>55</v>
      </c>
      <c r="K501" s="46">
        <v>40</v>
      </c>
      <c r="L501" s="46">
        <v>350</v>
      </c>
      <c r="M501">
        <f t="shared" si="43"/>
        <v>2.3312876284393778E-3</v>
      </c>
      <c r="N501">
        <f t="shared" si="44"/>
        <v>1.4570547677746111E-2</v>
      </c>
      <c r="O501">
        <f t="shared" si="45"/>
        <v>2.5061342005723308E-2</v>
      </c>
      <c r="P501">
        <f t="shared" si="46"/>
        <v>6.4110409782082893E-3</v>
      </c>
      <c r="Q501">
        <f t="shared" si="47"/>
        <v>4.6625752568787556E-3</v>
      </c>
      <c r="R501">
        <f t="shared" si="48"/>
        <v>4.0797533497689109E-2</v>
      </c>
    </row>
    <row r="502" spans="1:18" hidden="1" x14ac:dyDescent="0.25">
      <c r="A502" s="46">
        <v>2020</v>
      </c>
      <c r="B502" s="56">
        <v>255</v>
      </c>
      <c r="C502" s="47" t="s">
        <v>72</v>
      </c>
      <c r="D502" s="47" t="s">
        <v>51</v>
      </c>
      <c r="E502" s="47" t="s">
        <v>49</v>
      </c>
      <c r="F502" s="46">
        <v>410</v>
      </c>
      <c r="G502" s="46">
        <v>5</v>
      </c>
      <c r="H502" s="46">
        <v>25</v>
      </c>
      <c r="I502" s="46">
        <v>35</v>
      </c>
      <c r="J502" s="46">
        <v>5</v>
      </c>
      <c r="K502" s="46">
        <v>10</v>
      </c>
      <c r="L502" s="46">
        <v>330</v>
      </c>
      <c r="M502">
        <f t="shared" si="43"/>
        <v>5.8282190710984446E-4</v>
      </c>
      <c r="N502">
        <f t="shared" si="44"/>
        <v>2.914109535549222E-3</v>
      </c>
      <c r="O502">
        <f t="shared" si="45"/>
        <v>4.0797533497689111E-3</v>
      </c>
      <c r="P502">
        <f t="shared" si="46"/>
        <v>5.8282190710984446E-4</v>
      </c>
      <c r="Q502">
        <f t="shared" si="47"/>
        <v>1.1656438142196889E-3</v>
      </c>
      <c r="R502">
        <f t="shared" si="48"/>
        <v>3.8466245869249731E-2</v>
      </c>
    </row>
    <row r="503" spans="1:18" hidden="1" x14ac:dyDescent="0.25">
      <c r="A503" s="46">
        <v>2020</v>
      </c>
      <c r="B503" s="56">
        <v>255</v>
      </c>
      <c r="C503" s="47" t="s">
        <v>72</v>
      </c>
      <c r="D503" s="47" t="s">
        <v>51</v>
      </c>
      <c r="E503" s="47" t="s">
        <v>50</v>
      </c>
      <c r="F503" s="46">
        <v>250</v>
      </c>
      <c r="G503" s="46">
        <v>0</v>
      </c>
      <c r="H503" s="46">
        <v>5</v>
      </c>
      <c r="I503" s="46">
        <v>5</v>
      </c>
      <c r="J503" s="46">
        <v>0</v>
      </c>
      <c r="K503" s="46">
        <v>5</v>
      </c>
      <c r="L503" s="46">
        <v>235</v>
      </c>
      <c r="M503">
        <f t="shared" si="43"/>
        <v>0</v>
      </c>
      <c r="N503">
        <f t="shared" si="44"/>
        <v>5.8282190710984446E-4</v>
      </c>
      <c r="O503">
        <f t="shared" si="45"/>
        <v>5.8282190710984446E-4</v>
      </c>
      <c r="P503">
        <f t="shared" si="46"/>
        <v>0</v>
      </c>
      <c r="Q503">
        <f t="shared" si="47"/>
        <v>5.8282190710984446E-4</v>
      </c>
      <c r="R503">
        <f t="shared" si="48"/>
        <v>2.7392629634162689E-2</v>
      </c>
    </row>
    <row r="504" spans="1:18" hidden="1" x14ac:dyDescent="0.25">
      <c r="A504" s="46">
        <v>2020</v>
      </c>
      <c r="B504" s="56">
        <v>255</v>
      </c>
      <c r="C504" s="47" t="s">
        <v>72</v>
      </c>
      <c r="D504" s="47" t="s">
        <v>52</v>
      </c>
      <c r="E504" s="47" t="s">
        <v>43</v>
      </c>
      <c r="F504" s="46">
        <v>2075</v>
      </c>
      <c r="G504" s="46">
        <v>85</v>
      </c>
      <c r="H504" s="46">
        <v>395</v>
      </c>
      <c r="I504" s="46">
        <v>350</v>
      </c>
      <c r="J504" s="46">
        <v>105</v>
      </c>
      <c r="K504" s="46">
        <v>80</v>
      </c>
      <c r="L504" s="46">
        <v>1060</v>
      </c>
      <c r="M504">
        <f t="shared" si="43"/>
        <v>9.9079724208673559E-3</v>
      </c>
      <c r="N504">
        <f t="shared" si="44"/>
        <v>4.6042930661677708E-2</v>
      </c>
      <c r="O504">
        <f t="shared" si="45"/>
        <v>4.0797533497689109E-2</v>
      </c>
      <c r="P504">
        <f t="shared" si="46"/>
        <v>1.2239260049306732E-2</v>
      </c>
      <c r="Q504">
        <f t="shared" si="47"/>
        <v>9.3251505137575113E-3</v>
      </c>
      <c r="R504">
        <f t="shared" si="48"/>
        <v>0.12355824430728703</v>
      </c>
    </row>
    <row r="505" spans="1:18" hidden="1" x14ac:dyDescent="0.25">
      <c r="A505" s="46">
        <v>2020</v>
      </c>
      <c r="B505" s="56">
        <v>255</v>
      </c>
      <c r="C505" s="47" t="s">
        <v>72</v>
      </c>
      <c r="D505" s="47" t="s">
        <v>52</v>
      </c>
      <c r="E505" s="47" t="s">
        <v>44</v>
      </c>
      <c r="F505" s="46">
        <v>315</v>
      </c>
      <c r="G505" s="46">
        <v>35</v>
      </c>
      <c r="H505" s="46">
        <v>140</v>
      </c>
      <c r="I505" s="46">
        <v>90</v>
      </c>
      <c r="J505" s="46">
        <v>25</v>
      </c>
      <c r="K505" s="46">
        <v>15</v>
      </c>
      <c r="L505" s="46">
        <v>15</v>
      </c>
      <c r="M505">
        <f t="shared" si="43"/>
        <v>4.0797533497689111E-3</v>
      </c>
      <c r="N505">
        <f t="shared" si="44"/>
        <v>1.6319013399075644E-2</v>
      </c>
      <c r="O505">
        <f t="shared" si="45"/>
        <v>1.04907943279772E-2</v>
      </c>
      <c r="P505">
        <f t="shared" si="46"/>
        <v>2.914109535549222E-3</v>
      </c>
      <c r="Q505">
        <f t="shared" si="47"/>
        <v>1.7484657213295333E-3</v>
      </c>
      <c r="R505">
        <f t="shared" si="48"/>
        <v>1.7484657213295333E-3</v>
      </c>
    </row>
    <row r="506" spans="1:18" hidden="1" x14ac:dyDescent="0.25">
      <c r="A506" s="46">
        <v>2020</v>
      </c>
      <c r="B506" s="56">
        <v>255</v>
      </c>
      <c r="C506" s="47" t="s">
        <v>72</v>
      </c>
      <c r="D506" s="47" t="s">
        <v>52</v>
      </c>
      <c r="E506" s="47" t="s">
        <v>45</v>
      </c>
      <c r="F506" s="46">
        <v>105</v>
      </c>
      <c r="G506" s="46">
        <v>5</v>
      </c>
      <c r="H506" s="46">
        <v>35</v>
      </c>
      <c r="I506" s="46">
        <v>30</v>
      </c>
      <c r="J506" s="46">
        <v>5</v>
      </c>
      <c r="K506" s="46">
        <v>10</v>
      </c>
      <c r="L506" s="46">
        <v>25</v>
      </c>
      <c r="M506">
        <f t="shared" si="43"/>
        <v>5.8282190710984446E-4</v>
      </c>
      <c r="N506">
        <f t="shared" si="44"/>
        <v>4.0797533497689111E-3</v>
      </c>
      <c r="O506">
        <f t="shared" si="45"/>
        <v>3.4969314426590665E-3</v>
      </c>
      <c r="P506">
        <f t="shared" si="46"/>
        <v>5.8282190710984446E-4</v>
      </c>
      <c r="Q506">
        <f t="shared" si="47"/>
        <v>1.1656438142196889E-3</v>
      </c>
      <c r="R506">
        <f t="shared" si="48"/>
        <v>2.914109535549222E-3</v>
      </c>
    </row>
    <row r="507" spans="1:18" hidden="1" x14ac:dyDescent="0.25">
      <c r="A507" s="46">
        <v>2020</v>
      </c>
      <c r="B507" s="56">
        <v>255</v>
      </c>
      <c r="C507" s="47" t="s">
        <v>72</v>
      </c>
      <c r="D507" s="47" t="s">
        <v>52</v>
      </c>
      <c r="E507" s="47" t="s">
        <v>46</v>
      </c>
      <c r="F507" s="46">
        <v>125</v>
      </c>
      <c r="G507" s="46">
        <v>5</v>
      </c>
      <c r="H507" s="46">
        <v>30</v>
      </c>
      <c r="I507" s="46">
        <v>30</v>
      </c>
      <c r="J507" s="46">
        <v>5</v>
      </c>
      <c r="K507" s="46">
        <v>5</v>
      </c>
      <c r="L507" s="46">
        <v>50</v>
      </c>
      <c r="M507">
        <f t="shared" si="43"/>
        <v>5.8282190710984446E-4</v>
      </c>
      <c r="N507">
        <f t="shared" si="44"/>
        <v>3.4969314426590665E-3</v>
      </c>
      <c r="O507">
        <f t="shared" si="45"/>
        <v>3.4969314426590665E-3</v>
      </c>
      <c r="P507">
        <f t="shared" si="46"/>
        <v>5.8282190710984446E-4</v>
      </c>
      <c r="Q507">
        <f t="shared" si="47"/>
        <v>5.8282190710984446E-4</v>
      </c>
      <c r="R507">
        <f t="shared" si="48"/>
        <v>5.8282190710984439E-3</v>
      </c>
    </row>
    <row r="508" spans="1:18" hidden="1" x14ac:dyDescent="0.25">
      <c r="A508" s="46">
        <v>2020</v>
      </c>
      <c r="B508" s="56">
        <v>255</v>
      </c>
      <c r="C508" s="47" t="s">
        <v>72</v>
      </c>
      <c r="D508" s="47" t="s">
        <v>52</v>
      </c>
      <c r="E508" s="47" t="s">
        <v>47</v>
      </c>
      <c r="F508" s="46">
        <v>155</v>
      </c>
      <c r="G508" s="46">
        <v>10</v>
      </c>
      <c r="H508" s="46">
        <v>40</v>
      </c>
      <c r="I508" s="46">
        <v>45</v>
      </c>
      <c r="J508" s="46">
        <v>10</v>
      </c>
      <c r="K508" s="46">
        <v>5</v>
      </c>
      <c r="L508" s="46">
        <v>40</v>
      </c>
      <c r="M508">
        <f t="shared" si="43"/>
        <v>1.1656438142196889E-3</v>
      </c>
      <c r="N508">
        <f t="shared" si="44"/>
        <v>4.6625752568787556E-3</v>
      </c>
      <c r="O508">
        <f t="shared" si="45"/>
        <v>5.2453971639886002E-3</v>
      </c>
      <c r="P508">
        <f t="shared" si="46"/>
        <v>1.1656438142196889E-3</v>
      </c>
      <c r="Q508">
        <f t="shared" si="47"/>
        <v>5.8282190710984446E-4</v>
      </c>
      <c r="R508">
        <f t="shared" si="48"/>
        <v>4.6625752568787556E-3</v>
      </c>
    </row>
    <row r="509" spans="1:18" hidden="1" x14ac:dyDescent="0.25">
      <c r="A509" s="46">
        <v>2020</v>
      </c>
      <c r="B509" s="56">
        <v>255</v>
      </c>
      <c r="C509" s="47" t="s">
        <v>72</v>
      </c>
      <c r="D509" s="47" t="s">
        <v>52</v>
      </c>
      <c r="E509" s="47" t="s">
        <v>48</v>
      </c>
      <c r="F509" s="46">
        <v>755</v>
      </c>
      <c r="G509" s="46">
        <v>25</v>
      </c>
      <c r="H509" s="46">
        <v>130</v>
      </c>
      <c r="I509" s="46">
        <v>120</v>
      </c>
      <c r="J509" s="46">
        <v>55</v>
      </c>
      <c r="K509" s="46">
        <v>35</v>
      </c>
      <c r="L509" s="46">
        <v>390</v>
      </c>
      <c r="M509">
        <f t="shared" si="43"/>
        <v>2.914109535549222E-3</v>
      </c>
      <c r="N509">
        <f t="shared" si="44"/>
        <v>1.5153369584855955E-2</v>
      </c>
      <c r="O509">
        <f t="shared" si="45"/>
        <v>1.3987725770636266E-2</v>
      </c>
      <c r="P509">
        <f t="shared" si="46"/>
        <v>6.4110409782082893E-3</v>
      </c>
      <c r="Q509">
        <f t="shared" si="47"/>
        <v>4.0797533497689111E-3</v>
      </c>
      <c r="R509">
        <f t="shared" si="48"/>
        <v>4.5460108754567866E-2</v>
      </c>
    </row>
    <row r="510" spans="1:18" hidden="1" x14ac:dyDescent="0.25">
      <c r="A510" s="46">
        <v>2020</v>
      </c>
      <c r="B510" s="56">
        <v>255</v>
      </c>
      <c r="C510" s="47" t="s">
        <v>72</v>
      </c>
      <c r="D510" s="47" t="s">
        <v>52</v>
      </c>
      <c r="E510" s="47" t="s">
        <v>49</v>
      </c>
      <c r="F510" s="46">
        <v>360</v>
      </c>
      <c r="G510" s="46">
        <v>5</v>
      </c>
      <c r="H510" s="46">
        <v>20</v>
      </c>
      <c r="I510" s="46">
        <v>30</v>
      </c>
      <c r="J510" s="46">
        <v>5</v>
      </c>
      <c r="K510" s="46">
        <v>10</v>
      </c>
      <c r="L510" s="46">
        <v>290</v>
      </c>
      <c r="M510">
        <f t="shared" si="43"/>
        <v>5.8282190710984446E-4</v>
      </c>
      <c r="N510">
        <f t="shared" si="44"/>
        <v>2.3312876284393778E-3</v>
      </c>
      <c r="O510">
        <f t="shared" si="45"/>
        <v>3.4969314426590665E-3</v>
      </c>
      <c r="P510">
        <f t="shared" si="46"/>
        <v>5.8282190710984446E-4</v>
      </c>
      <c r="Q510">
        <f t="shared" si="47"/>
        <v>1.1656438142196889E-3</v>
      </c>
      <c r="R510">
        <f t="shared" si="48"/>
        <v>3.3803670612370981E-2</v>
      </c>
    </row>
    <row r="511" spans="1:18" hidden="1" x14ac:dyDescent="0.25">
      <c r="A511" s="46">
        <v>2020</v>
      </c>
      <c r="B511" s="56">
        <v>255</v>
      </c>
      <c r="C511" s="47" t="s">
        <v>72</v>
      </c>
      <c r="D511" s="47" t="s">
        <v>52</v>
      </c>
      <c r="E511" s="47" t="s">
        <v>50</v>
      </c>
      <c r="F511" s="46">
        <v>260</v>
      </c>
      <c r="G511" s="46">
        <v>0</v>
      </c>
      <c r="H511" s="46">
        <v>0</v>
      </c>
      <c r="I511" s="46">
        <v>10</v>
      </c>
      <c r="J511" s="46">
        <v>0</v>
      </c>
      <c r="K511" s="46">
        <v>5</v>
      </c>
      <c r="L511" s="46">
        <v>245</v>
      </c>
      <c r="M511">
        <f t="shared" si="43"/>
        <v>0</v>
      </c>
      <c r="N511">
        <f t="shared" si="44"/>
        <v>0</v>
      </c>
      <c r="O511">
        <f t="shared" si="45"/>
        <v>1.1656438142196889E-3</v>
      </c>
      <c r="P511">
        <f t="shared" si="46"/>
        <v>0</v>
      </c>
      <c r="Q511">
        <f t="shared" si="47"/>
        <v>5.8282190710984446E-4</v>
      </c>
      <c r="R511">
        <f t="shared" si="48"/>
        <v>2.8558273448382378E-2</v>
      </c>
    </row>
    <row r="512" spans="1:18" x14ac:dyDescent="0.25">
      <c r="A512" s="46">
        <v>2020</v>
      </c>
      <c r="B512" s="56">
        <v>256</v>
      </c>
      <c r="C512" s="47" t="s">
        <v>73</v>
      </c>
      <c r="D512" s="47" t="s">
        <v>42</v>
      </c>
      <c r="E512" s="47" t="s">
        <v>43</v>
      </c>
      <c r="F512" s="46">
        <v>10560</v>
      </c>
      <c r="G512" s="46">
        <v>570</v>
      </c>
      <c r="H512" s="46">
        <v>2020</v>
      </c>
      <c r="I512" s="46">
        <v>2935</v>
      </c>
      <c r="J512" s="46">
        <v>890</v>
      </c>
      <c r="K512" s="46">
        <v>540</v>
      </c>
      <c r="L512" s="46">
        <v>3600</v>
      </c>
      <c r="M512">
        <f t="shared" si="43"/>
        <v>6.6441697410522263E-2</v>
      </c>
      <c r="N512">
        <f t="shared" si="44"/>
        <v>0.23546005047237717</v>
      </c>
      <c r="O512">
        <f t="shared" si="45"/>
        <v>0.34211645947347868</v>
      </c>
      <c r="P512">
        <f t="shared" si="46"/>
        <v>0.10374229946555232</v>
      </c>
      <c r="Q512">
        <f t="shared" si="47"/>
        <v>6.2944765967863206E-2</v>
      </c>
      <c r="R512">
        <f t="shared" si="48"/>
        <v>0.419631773119088</v>
      </c>
    </row>
    <row r="513" spans="1:18" hidden="1" x14ac:dyDescent="0.25">
      <c r="A513" s="46">
        <v>2020</v>
      </c>
      <c r="B513" s="56">
        <v>256</v>
      </c>
      <c r="C513" s="47" t="s">
        <v>73</v>
      </c>
      <c r="D513" s="47" t="s">
        <v>42</v>
      </c>
      <c r="E513" s="47" t="s">
        <v>44</v>
      </c>
      <c r="F513" s="46">
        <v>2090</v>
      </c>
      <c r="G513" s="46">
        <v>155</v>
      </c>
      <c r="H513" s="46">
        <v>685</v>
      </c>
      <c r="I513" s="46">
        <v>945</v>
      </c>
      <c r="J513" s="46">
        <v>165</v>
      </c>
      <c r="K513" s="46">
        <v>60</v>
      </c>
      <c r="L513" s="46">
        <v>80</v>
      </c>
      <c r="M513">
        <f t="shared" si="43"/>
        <v>1.806747912040518E-2</v>
      </c>
      <c r="N513">
        <f t="shared" si="44"/>
        <v>7.984660127404869E-2</v>
      </c>
      <c r="O513">
        <f t="shared" si="45"/>
        <v>0.1101533404437606</v>
      </c>
      <c r="P513">
        <f t="shared" si="46"/>
        <v>1.9233122934624865E-2</v>
      </c>
      <c r="Q513">
        <f t="shared" si="47"/>
        <v>6.993862885318133E-3</v>
      </c>
      <c r="R513">
        <f t="shared" si="48"/>
        <v>9.3251505137575113E-3</v>
      </c>
    </row>
    <row r="514" spans="1:18" hidden="1" x14ac:dyDescent="0.25">
      <c r="A514" s="46">
        <v>2020</v>
      </c>
      <c r="B514" s="56">
        <v>256</v>
      </c>
      <c r="C514" s="47" t="s">
        <v>73</v>
      </c>
      <c r="D514" s="47" t="s">
        <v>42</v>
      </c>
      <c r="E514" s="47" t="s">
        <v>45</v>
      </c>
      <c r="F514" s="46">
        <v>585</v>
      </c>
      <c r="G514" s="46">
        <v>35</v>
      </c>
      <c r="H514" s="46">
        <v>110</v>
      </c>
      <c r="I514" s="46">
        <v>235</v>
      </c>
      <c r="J514" s="46">
        <v>70</v>
      </c>
      <c r="K514" s="46">
        <v>30</v>
      </c>
      <c r="L514" s="46">
        <v>105</v>
      </c>
      <c r="M514">
        <f t="shared" si="43"/>
        <v>4.0797533497689111E-3</v>
      </c>
      <c r="N514">
        <f t="shared" si="44"/>
        <v>1.2822081956416579E-2</v>
      </c>
      <c r="O514">
        <f t="shared" si="45"/>
        <v>2.7392629634162689E-2</v>
      </c>
      <c r="P514">
        <f t="shared" si="46"/>
        <v>8.1595066995378222E-3</v>
      </c>
      <c r="Q514">
        <f t="shared" si="47"/>
        <v>3.4969314426590665E-3</v>
      </c>
      <c r="R514">
        <f t="shared" si="48"/>
        <v>1.2239260049306732E-2</v>
      </c>
    </row>
    <row r="515" spans="1:18" hidden="1" x14ac:dyDescent="0.25">
      <c r="A515" s="46">
        <v>2020</v>
      </c>
      <c r="B515" s="56">
        <v>256</v>
      </c>
      <c r="C515" s="47" t="s">
        <v>73</v>
      </c>
      <c r="D515" s="47" t="s">
        <v>42</v>
      </c>
      <c r="E515" s="47" t="s">
        <v>46</v>
      </c>
      <c r="F515" s="46">
        <v>850</v>
      </c>
      <c r="G515" s="46">
        <v>65</v>
      </c>
      <c r="H515" s="46">
        <v>195</v>
      </c>
      <c r="I515" s="46">
        <v>305</v>
      </c>
      <c r="J515" s="46">
        <v>55</v>
      </c>
      <c r="K515" s="46">
        <v>40</v>
      </c>
      <c r="L515" s="46">
        <v>190</v>
      </c>
      <c r="M515">
        <f t="shared" si="43"/>
        <v>7.5766847924279776E-3</v>
      </c>
      <c r="N515">
        <f t="shared" si="44"/>
        <v>2.2730054377283933E-2</v>
      </c>
      <c r="O515">
        <f t="shared" si="45"/>
        <v>3.555213633370051E-2</v>
      </c>
      <c r="P515">
        <f t="shared" si="46"/>
        <v>6.4110409782082893E-3</v>
      </c>
      <c r="Q515">
        <f t="shared" si="47"/>
        <v>4.6625752568787556E-3</v>
      </c>
      <c r="R515">
        <f t="shared" si="48"/>
        <v>2.214723247017409E-2</v>
      </c>
    </row>
    <row r="516" spans="1:18" hidden="1" x14ac:dyDescent="0.25">
      <c r="A516" s="46">
        <v>2020</v>
      </c>
      <c r="B516" s="56">
        <v>256</v>
      </c>
      <c r="C516" s="47" t="s">
        <v>73</v>
      </c>
      <c r="D516" s="47" t="s">
        <v>42</v>
      </c>
      <c r="E516" s="47" t="s">
        <v>47</v>
      </c>
      <c r="F516" s="46">
        <v>890</v>
      </c>
      <c r="G516" s="46">
        <v>65</v>
      </c>
      <c r="H516" s="46">
        <v>200</v>
      </c>
      <c r="I516" s="46">
        <v>300</v>
      </c>
      <c r="J516" s="46">
        <v>95</v>
      </c>
      <c r="K516" s="46">
        <v>50</v>
      </c>
      <c r="L516" s="46">
        <v>185</v>
      </c>
      <c r="M516">
        <f t="shared" si="43"/>
        <v>7.5766847924279776E-3</v>
      </c>
      <c r="N516">
        <f t="shared" si="44"/>
        <v>2.3312876284393776E-2</v>
      </c>
      <c r="O516">
        <f t="shared" si="45"/>
        <v>3.4969314426590667E-2</v>
      </c>
      <c r="P516">
        <f t="shared" si="46"/>
        <v>1.1073616235087045E-2</v>
      </c>
      <c r="Q516">
        <f t="shared" si="47"/>
        <v>5.8282190710984439E-3</v>
      </c>
      <c r="R516">
        <f t="shared" si="48"/>
        <v>2.1564410563064244E-2</v>
      </c>
    </row>
    <row r="517" spans="1:18" hidden="1" x14ac:dyDescent="0.25">
      <c r="A517" s="46">
        <v>2020</v>
      </c>
      <c r="B517" s="56">
        <v>256</v>
      </c>
      <c r="C517" s="47" t="s">
        <v>73</v>
      </c>
      <c r="D517" s="47" t="s">
        <v>42</v>
      </c>
      <c r="E517" s="47" t="s">
        <v>48</v>
      </c>
      <c r="F517" s="46">
        <v>3730</v>
      </c>
      <c r="G517" s="46">
        <v>185</v>
      </c>
      <c r="H517" s="46">
        <v>625</v>
      </c>
      <c r="I517" s="46">
        <v>945</v>
      </c>
      <c r="J517" s="46">
        <v>390</v>
      </c>
      <c r="K517" s="46">
        <v>260</v>
      </c>
      <c r="L517" s="46">
        <v>1320</v>
      </c>
      <c r="M517">
        <f t="shared" si="43"/>
        <v>2.1564410563064244E-2</v>
      </c>
      <c r="N517">
        <f t="shared" si="44"/>
        <v>7.2852738388730562E-2</v>
      </c>
      <c r="O517">
        <f t="shared" si="45"/>
        <v>0.1101533404437606</v>
      </c>
      <c r="P517">
        <f t="shared" si="46"/>
        <v>4.5460108754567866E-2</v>
      </c>
      <c r="Q517">
        <f t="shared" si="47"/>
        <v>3.030673916971191E-2</v>
      </c>
      <c r="R517">
        <f t="shared" si="48"/>
        <v>0.15386498347699892</v>
      </c>
    </row>
    <row r="518" spans="1:18" hidden="1" x14ac:dyDescent="0.25">
      <c r="A518" s="46">
        <v>2020</v>
      </c>
      <c r="B518" s="56">
        <v>256</v>
      </c>
      <c r="C518" s="47" t="s">
        <v>73</v>
      </c>
      <c r="D518" s="47" t="s">
        <v>42</v>
      </c>
      <c r="E518" s="47" t="s">
        <v>49</v>
      </c>
      <c r="F518" s="46">
        <v>1740</v>
      </c>
      <c r="G518" s="46">
        <v>60</v>
      </c>
      <c r="H518" s="46">
        <v>180</v>
      </c>
      <c r="I518" s="46">
        <v>175</v>
      </c>
      <c r="J518" s="46">
        <v>100</v>
      </c>
      <c r="K518" s="46">
        <v>85</v>
      </c>
      <c r="L518" s="46">
        <v>1145</v>
      </c>
      <c r="M518">
        <f t="shared" si="43"/>
        <v>6.993862885318133E-3</v>
      </c>
      <c r="N518">
        <f t="shared" si="44"/>
        <v>2.0981588655954401E-2</v>
      </c>
      <c r="O518">
        <f t="shared" si="45"/>
        <v>2.0398766748844555E-2</v>
      </c>
      <c r="P518">
        <f t="shared" si="46"/>
        <v>1.1656438142196888E-2</v>
      </c>
      <c r="Q518">
        <f t="shared" si="47"/>
        <v>9.9079724208673559E-3</v>
      </c>
      <c r="R518">
        <f t="shared" si="48"/>
        <v>0.13346621672815437</v>
      </c>
    </row>
    <row r="519" spans="1:18" hidden="1" x14ac:dyDescent="0.25">
      <c r="A519" s="46">
        <v>2020</v>
      </c>
      <c r="B519" s="56">
        <v>256</v>
      </c>
      <c r="C519" s="47" t="s">
        <v>73</v>
      </c>
      <c r="D519" s="47" t="s">
        <v>42</v>
      </c>
      <c r="E519" s="47" t="s">
        <v>50</v>
      </c>
      <c r="F519" s="46">
        <v>670</v>
      </c>
      <c r="G519" s="46">
        <v>5</v>
      </c>
      <c r="H519" s="46">
        <v>20</v>
      </c>
      <c r="I519" s="46">
        <v>35</v>
      </c>
      <c r="J519" s="46">
        <v>20</v>
      </c>
      <c r="K519" s="46">
        <v>15</v>
      </c>
      <c r="L519" s="46">
        <v>575</v>
      </c>
      <c r="M519">
        <f t="shared" si="43"/>
        <v>5.8282190710984446E-4</v>
      </c>
      <c r="N519">
        <f t="shared" si="44"/>
        <v>2.3312876284393778E-3</v>
      </c>
      <c r="O519">
        <f t="shared" si="45"/>
        <v>4.0797533497689111E-3</v>
      </c>
      <c r="P519">
        <f t="shared" si="46"/>
        <v>2.3312876284393778E-3</v>
      </c>
      <c r="Q519">
        <f t="shared" si="47"/>
        <v>1.7484657213295333E-3</v>
      </c>
      <c r="R519">
        <f t="shared" si="48"/>
        <v>6.702451931763212E-2</v>
      </c>
    </row>
    <row r="520" spans="1:18" hidden="1" x14ac:dyDescent="0.25">
      <c r="A520" s="46">
        <v>2020</v>
      </c>
      <c r="B520" s="56">
        <v>256</v>
      </c>
      <c r="C520" s="47" t="s">
        <v>73</v>
      </c>
      <c r="D520" s="47" t="s">
        <v>51</v>
      </c>
      <c r="E520" s="47" t="s">
        <v>43</v>
      </c>
      <c r="F520" s="46">
        <v>5715</v>
      </c>
      <c r="G520" s="46">
        <v>325</v>
      </c>
      <c r="H520" s="46">
        <v>1100</v>
      </c>
      <c r="I520" s="46">
        <v>1650</v>
      </c>
      <c r="J520" s="46">
        <v>480</v>
      </c>
      <c r="K520" s="46">
        <v>325</v>
      </c>
      <c r="L520" s="46">
        <v>1840</v>
      </c>
      <c r="M520">
        <f t="shared" si="43"/>
        <v>3.7883423962139888E-2</v>
      </c>
      <c r="N520">
        <f t="shared" si="44"/>
        <v>0.12822081956416578</v>
      </c>
      <c r="O520">
        <f t="shared" si="45"/>
        <v>0.19233122934624866</v>
      </c>
      <c r="P520">
        <f t="shared" si="46"/>
        <v>5.5950903082545064E-2</v>
      </c>
      <c r="Q520">
        <f t="shared" si="47"/>
        <v>3.7883423962139888E-2</v>
      </c>
      <c r="R520">
        <f t="shared" si="48"/>
        <v>0.21447846181642274</v>
      </c>
    </row>
    <row r="521" spans="1:18" hidden="1" x14ac:dyDescent="0.25">
      <c r="A521" s="46">
        <v>2020</v>
      </c>
      <c r="B521" s="56">
        <v>256</v>
      </c>
      <c r="C521" s="47" t="s">
        <v>73</v>
      </c>
      <c r="D521" s="47" t="s">
        <v>51</v>
      </c>
      <c r="E521" s="47" t="s">
        <v>44</v>
      </c>
      <c r="F521" s="46">
        <v>1065</v>
      </c>
      <c r="G521" s="46">
        <v>80</v>
      </c>
      <c r="H521" s="46">
        <v>350</v>
      </c>
      <c r="I521" s="46">
        <v>460</v>
      </c>
      <c r="J521" s="46">
        <v>90</v>
      </c>
      <c r="K521" s="46">
        <v>35</v>
      </c>
      <c r="L521" s="46">
        <v>45</v>
      </c>
      <c r="M521">
        <f t="shared" ref="M521:M584" si="49">G521/$F$8*100</f>
        <v>9.3251505137575113E-3</v>
      </c>
      <c r="N521">
        <f t="shared" ref="N521:N584" si="50">H521/$F$8*100</f>
        <v>4.0797533497689109E-2</v>
      </c>
      <c r="O521">
        <f t="shared" ref="O521:O584" si="51">I521/$F$8*100</f>
        <v>5.3619615454105686E-2</v>
      </c>
      <c r="P521">
        <f t="shared" ref="P521:P584" si="52">J521/$F$8*100</f>
        <v>1.04907943279772E-2</v>
      </c>
      <c r="Q521">
        <f t="shared" ref="Q521:Q584" si="53">K521/$F$8*100</f>
        <v>4.0797533497689111E-3</v>
      </c>
      <c r="R521">
        <f t="shared" ref="R521:R584" si="54">L521/$F$8*100</f>
        <v>5.2453971639886002E-3</v>
      </c>
    </row>
    <row r="522" spans="1:18" hidden="1" x14ac:dyDescent="0.25">
      <c r="A522" s="46">
        <v>2020</v>
      </c>
      <c r="B522" s="56">
        <v>256</v>
      </c>
      <c r="C522" s="47" t="s">
        <v>73</v>
      </c>
      <c r="D522" s="47" t="s">
        <v>51</v>
      </c>
      <c r="E522" s="47" t="s">
        <v>45</v>
      </c>
      <c r="F522" s="46">
        <v>330</v>
      </c>
      <c r="G522" s="46">
        <v>15</v>
      </c>
      <c r="H522" s="46">
        <v>65</v>
      </c>
      <c r="I522" s="46">
        <v>150</v>
      </c>
      <c r="J522" s="46">
        <v>40</v>
      </c>
      <c r="K522" s="46">
        <v>20</v>
      </c>
      <c r="L522" s="46">
        <v>45</v>
      </c>
      <c r="M522">
        <f t="shared" si="49"/>
        <v>1.7484657213295333E-3</v>
      </c>
      <c r="N522">
        <f t="shared" si="50"/>
        <v>7.5766847924279776E-3</v>
      </c>
      <c r="O522">
        <f t="shared" si="51"/>
        <v>1.7484657213295333E-2</v>
      </c>
      <c r="P522">
        <f t="shared" si="52"/>
        <v>4.6625752568787556E-3</v>
      </c>
      <c r="Q522">
        <f t="shared" si="53"/>
        <v>2.3312876284393778E-3</v>
      </c>
      <c r="R522">
        <f t="shared" si="54"/>
        <v>5.2453971639886002E-3</v>
      </c>
    </row>
    <row r="523" spans="1:18" hidden="1" x14ac:dyDescent="0.25">
      <c r="A523" s="46">
        <v>2020</v>
      </c>
      <c r="B523" s="56">
        <v>256</v>
      </c>
      <c r="C523" s="47" t="s">
        <v>73</v>
      </c>
      <c r="D523" s="47" t="s">
        <v>51</v>
      </c>
      <c r="E523" s="47" t="s">
        <v>46</v>
      </c>
      <c r="F523" s="46">
        <v>510</v>
      </c>
      <c r="G523" s="46">
        <v>45</v>
      </c>
      <c r="H523" s="46">
        <v>100</v>
      </c>
      <c r="I523" s="46">
        <v>200</v>
      </c>
      <c r="J523" s="46">
        <v>30</v>
      </c>
      <c r="K523" s="46">
        <v>25</v>
      </c>
      <c r="L523" s="46">
        <v>105</v>
      </c>
      <c r="M523">
        <f t="shared" si="49"/>
        <v>5.2453971639886002E-3</v>
      </c>
      <c r="N523">
        <f t="shared" si="50"/>
        <v>1.1656438142196888E-2</v>
      </c>
      <c r="O523">
        <f t="shared" si="51"/>
        <v>2.3312876284393776E-2</v>
      </c>
      <c r="P523">
        <f t="shared" si="52"/>
        <v>3.4969314426590665E-3</v>
      </c>
      <c r="Q523">
        <f t="shared" si="53"/>
        <v>2.914109535549222E-3</v>
      </c>
      <c r="R523">
        <f t="shared" si="54"/>
        <v>1.2239260049306732E-2</v>
      </c>
    </row>
    <row r="524" spans="1:18" hidden="1" x14ac:dyDescent="0.25">
      <c r="A524" s="46">
        <v>2020</v>
      </c>
      <c r="B524" s="56">
        <v>256</v>
      </c>
      <c r="C524" s="47" t="s">
        <v>73</v>
      </c>
      <c r="D524" s="47" t="s">
        <v>51</v>
      </c>
      <c r="E524" s="47" t="s">
        <v>47</v>
      </c>
      <c r="F524" s="46">
        <v>490</v>
      </c>
      <c r="G524" s="46">
        <v>35</v>
      </c>
      <c r="H524" s="46">
        <v>105</v>
      </c>
      <c r="I524" s="46">
        <v>175</v>
      </c>
      <c r="J524" s="46">
        <v>40</v>
      </c>
      <c r="K524" s="46">
        <v>30</v>
      </c>
      <c r="L524" s="46">
        <v>105</v>
      </c>
      <c r="M524">
        <f t="shared" si="49"/>
        <v>4.0797533497689111E-3</v>
      </c>
      <c r="N524">
        <f t="shared" si="50"/>
        <v>1.2239260049306732E-2</v>
      </c>
      <c r="O524">
        <f t="shared" si="51"/>
        <v>2.0398766748844555E-2</v>
      </c>
      <c r="P524">
        <f t="shared" si="52"/>
        <v>4.6625752568787556E-3</v>
      </c>
      <c r="Q524">
        <f t="shared" si="53"/>
        <v>3.4969314426590665E-3</v>
      </c>
      <c r="R524">
        <f t="shared" si="54"/>
        <v>1.2239260049306732E-2</v>
      </c>
    </row>
    <row r="525" spans="1:18" hidden="1" x14ac:dyDescent="0.25">
      <c r="A525" s="46">
        <v>2020</v>
      </c>
      <c r="B525" s="56">
        <v>256</v>
      </c>
      <c r="C525" s="47" t="s">
        <v>73</v>
      </c>
      <c r="D525" s="47" t="s">
        <v>51</v>
      </c>
      <c r="E525" s="47" t="s">
        <v>48</v>
      </c>
      <c r="F525" s="46">
        <v>2030</v>
      </c>
      <c r="G525" s="46">
        <v>110</v>
      </c>
      <c r="H525" s="46">
        <v>385</v>
      </c>
      <c r="I525" s="46">
        <v>545</v>
      </c>
      <c r="J525" s="46">
        <v>220</v>
      </c>
      <c r="K525" s="46">
        <v>160</v>
      </c>
      <c r="L525" s="46">
        <v>610</v>
      </c>
      <c r="M525">
        <f t="shared" si="49"/>
        <v>1.2822081956416579E-2</v>
      </c>
      <c r="N525">
        <f t="shared" si="50"/>
        <v>4.4877286847458023E-2</v>
      </c>
      <c r="O525">
        <f t="shared" si="51"/>
        <v>6.3527587874973049E-2</v>
      </c>
      <c r="P525">
        <f t="shared" si="52"/>
        <v>2.5644163912833157E-2</v>
      </c>
      <c r="Q525">
        <f t="shared" si="53"/>
        <v>1.8650301027515023E-2</v>
      </c>
      <c r="R525">
        <f t="shared" si="54"/>
        <v>7.1104272667401019E-2</v>
      </c>
    </row>
    <row r="526" spans="1:18" hidden="1" x14ac:dyDescent="0.25">
      <c r="A526" s="46">
        <v>2020</v>
      </c>
      <c r="B526" s="56">
        <v>256</v>
      </c>
      <c r="C526" s="47" t="s">
        <v>73</v>
      </c>
      <c r="D526" s="47" t="s">
        <v>51</v>
      </c>
      <c r="E526" s="47" t="s">
        <v>49</v>
      </c>
      <c r="F526" s="46">
        <v>950</v>
      </c>
      <c r="G526" s="46">
        <v>35</v>
      </c>
      <c r="H526" s="46">
        <v>85</v>
      </c>
      <c r="I526" s="46">
        <v>105</v>
      </c>
      <c r="J526" s="46">
        <v>50</v>
      </c>
      <c r="K526" s="46">
        <v>40</v>
      </c>
      <c r="L526" s="46">
        <v>635</v>
      </c>
      <c r="M526">
        <f t="shared" si="49"/>
        <v>4.0797533497689111E-3</v>
      </c>
      <c r="N526">
        <f t="shared" si="50"/>
        <v>9.9079724208673559E-3</v>
      </c>
      <c r="O526">
        <f t="shared" si="51"/>
        <v>1.2239260049306732E-2</v>
      </c>
      <c r="P526">
        <f t="shared" si="52"/>
        <v>5.8282190710984439E-3</v>
      </c>
      <c r="Q526">
        <f t="shared" si="53"/>
        <v>4.6625752568787556E-3</v>
      </c>
      <c r="R526">
        <f t="shared" si="54"/>
        <v>7.4018382202950248E-2</v>
      </c>
    </row>
    <row r="527" spans="1:18" hidden="1" x14ac:dyDescent="0.25">
      <c r="A527" s="46">
        <v>2020</v>
      </c>
      <c r="B527" s="56">
        <v>256</v>
      </c>
      <c r="C527" s="47" t="s">
        <v>73</v>
      </c>
      <c r="D527" s="47" t="s">
        <v>51</v>
      </c>
      <c r="E527" s="47" t="s">
        <v>50</v>
      </c>
      <c r="F527" s="46">
        <v>340</v>
      </c>
      <c r="G527" s="46">
        <v>5</v>
      </c>
      <c r="H527" s="46">
        <v>10</v>
      </c>
      <c r="I527" s="46">
        <v>15</v>
      </c>
      <c r="J527" s="46">
        <v>10</v>
      </c>
      <c r="K527" s="46">
        <v>10</v>
      </c>
      <c r="L527" s="46">
        <v>295</v>
      </c>
      <c r="M527">
        <f t="shared" si="49"/>
        <v>5.8282190710984446E-4</v>
      </c>
      <c r="N527">
        <f t="shared" si="50"/>
        <v>1.1656438142196889E-3</v>
      </c>
      <c r="O527">
        <f t="shared" si="51"/>
        <v>1.7484657213295333E-3</v>
      </c>
      <c r="P527">
        <f t="shared" si="52"/>
        <v>1.1656438142196889E-3</v>
      </c>
      <c r="Q527">
        <f t="shared" si="53"/>
        <v>1.1656438142196889E-3</v>
      </c>
      <c r="R527">
        <f t="shared" si="54"/>
        <v>3.4386492519480824E-2</v>
      </c>
    </row>
    <row r="528" spans="1:18" hidden="1" x14ac:dyDescent="0.25">
      <c r="A528" s="46">
        <v>2020</v>
      </c>
      <c r="B528" s="56">
        <v>256</v>
      </c>
      <c r="C528" s="47" t="s">
        <v>73</v>
      </c>
      <c r="D528" s="47" t="s">
        <v>52</v>
      </c>
      <c r="E528" s="47" t="s">
        <v>43</v>
      </c>
      <c r="F528" s="46">
        <v>4845</v>
      </c>
      <c r="G528" s="46">
        <v>245</v>
      </c>
      <c r="H528" s="46">
        <v>920</v>
      </c>
      <c r="I528" s="46">
        <v>1290</v>
      </c>
      <c r="J528" s="46">
        <v>410</v>
      </c>
      <c r="K528" s="46">
        <v>220</v>
      </c>
      <c r="L528" s="46">
        <v>1765</v>
      </c>
      <c r="M528">
        <f t="shared" si="49"/>
        <v>2.8558273448382378E-2</v>
      </c>
      <c r="N528">
        <f t="shared" si="50"/>
        <v>0.10723923090821137</v>
      </c>
      <c r="O528">
        <f t="shared" si="51"/>
        <v>0.15036805203433987</v>
      </c>
      <c r="P528">
        <f t="shared" si="52"/>
        <v>4.7791396383007244E-2</v>
      </c>
      <c r="Q528">
        <f t="shared" si="53"/>
        <v>2.5644163912833157E-2</v>
      </c>
      <c r="R528">
        <f t="shared" si="54"/>
        <v>0.2057361332097751</v>
      </c>
    </row>
    <row r="529" spans="1:18" hidden="1" x14ac:dyDescent="0.25">
      <c r="A529" s="46">
        <v>2020</v>
      </c>
      <c r="B529" s="56">
        <v>256</v>
      </c>
      <c r="C529" s="47" t="s">
        <v>73</v>
      </c>
      <c r="D529" s="47" t="s">
        <v>52</v>
      </c>
      <c r="E529" s="47" t="s">
        <v>44</v>
      </c>
      <c r="F529" s="46">
        <v>1025</v>
      </c>
      <c r="G529" s="46">
        <v>75</v>
      </c>
      <c r="H529" s="46">
        <v>335</v>
      </c>
      <c r="I529" s="46">
        <v>485</v>
      </c>
      <c r="J529" s="46">
        <v>70</v>
      </c>
      <c r="K529" s="46">
        <v>25</v>
      </c>
      <c r="L529" s="46">
        <v>35</v>
      </c>
      <c r="M529">
        <f t="shared" si="49"/>
        <v>8.7423286066476667E-3</v>
      </c>
      <c r="N529">
        <f t="shared" si="50"/>
        <v>3.9049067776359581E-2</v>
      </c>
      <c r="O529">
        <f t="shared" si="51"/>
        <v>5.6533724989654914E-2</v>
      </c>
      <c r="P529">
        <f t="shared" si="52"/>
        <v>8.1595066995378222E-3</v>
      </c>
      <c r="Q529">
        <f t="shared" si="53"/>
        <v>2.914109535549222E-3</v>
      </c>
      <c r="R529">
        <f t="shared" si="54"/>
        <v>4.0797533497689111E-3</v>
      </c>
    </row>
    <row r="530" spans="1:18" hidden="1" x14ac:dyDescent="0.25">
      <c r="A530" s="46">
        <v>2020</v>
      </c>
      <c r="B530" s="56">
        <v>256</v>
      </c>
      <c r="C530" s="47" t="s">
        <v>73</v>
      </c>
      <c r="D530" s="47" t="s">
        <v>52</v>
      </c>
      <c r="E530" s="47" t="s">
        <v>45</v>
      </c>
      <c r="F530" s="46">
        <v>255</v>
      </c>
      <c r="G530" s="46">
        <v>20</v>
      </c>
      <c r="H530" s="46">
        <v>50</v>
      </c>
      <c r="I530" s="46">
        <v>85</v>
      </c>
      <c r="J530" s="46">
        <v>35</v>
      </c>
      <c r="K530" s="46">
        <v>10</v>
      </c>
      <c r="L530" s="46">
        <v>60</v>
      </c>
      <c r="M530">
        <f t="shared" si="49"/>
        <v>2.3312876284393778E-3</v>
      </c>
      <c r="N530">
        <f t="shared" si="50"/>
        <v>5.8282190710984439E-3</v>
      </c>
      <c r="O530">
        <f t="shared" si="51"/>
        <v>9.9079724208673559E-3</v>
      </c>
      <c r="P530">
        <f t="shared" si="52"/>
        <v>4.0797533497689111E-3</v>
      </c>
      <c r="Q530">
        <f t="shared" si="53"/>
        <v>1.1656438142196889E-3</v>
      </c>
      <c r="R530">
        <f t="shared" si="54"/>
        <v>6.993862885318133E-3</v>
      </c>
    </row>
    <row r="531" spans="1:18" hidden="1" x14ac:dyDescent="0.25">
      <c r="A531" s="46">
        <v>2020</v>
      </c>
      <c r="B531" s="56">
        <v>256</v>
      </c>
      <c r="C531" s="47" t="s">
        <v>73</v>
      </c>
      <c r="D531" s="47" t="s">
        <v>52</v>
      </c>
      <c r="E531" s="47" t="s">
        <v>46</v>
      </c>
      <c r="F531" s="46">
        <v>340</v>
      </c>
      <c r="G531" s="46">
        <v>20</v>
      </c>
      <c r="H531" s="46">
        <v>95</v>
      </c>
      <c r="I531" s="46">
        <v>105</v>
      </c>
      <c r="J531" s="46">
        <v>20</v>
      </c>
      <c r="K531" s="46">
        <v>15</v>
      </c>
      <c r="L531" s="46">
        <v>85</v>
      </c>
      <c r="M531">
        <f t="shared" si="49"/>
        <v>2.3312876284393778E-3</v>
      </c>
      <c r="N531">
        <f t="shared" si="50"/>
        <v>1.1073616235087045E-2</v>
      </c>
      <c r="O531">
        <f t="shared" si="51"/>
        <v>1.2239260049306732E-2</v>
      </c>
      <c r="P531">
        <f t="shared" si="52"/>
        <v>2.3312876284393778E-3</v>
      </c>
      <c r="Q531">
        <f t="shared" si="53"/>
        <v>1.7484657213295333E-3</v>
      </c>
      <c r="R531">
        <f t="shared" si="54"/>
        <v>9.9079724208673559E-3</v>
      </c>
    </row>
    <row r="532" spans="1:18" hidden="1" x14ac:dyDescent="0.25">
      <c r="A532" s="46">
        <v>2020</v>
      </c>
      <c r="B532" s="56">
        <v>256</v>
      </c>
      <c r="C532" s="47" t="s">
        <v>73</v>
      </c>
      <c r="D532" s="47" t="s">
        <v>52</v>
      </c>
      <c r="E532" s="47" t="s">
        <v>47</v>
      </c>
      <c r="F532" s="46">
        <v>400</v>
      </c>
      <c r="G532" s="46">
        <v>30</v>
      </c>
      <c r="H532" s="46">
        <v>95</v>
      </c>
      <c r="I532" s="46">
        <v>125</v>
      </c>
      <c r="J532" s="46">
        <v>55</v>
      </c>
      <c r="K532" s="46">
        <v>20</v>
      </c>
      <c r="L532" s="46">
        <v>80</v>
      </c>
      <c r="M532">
        <f t="shared" si="49"/>
        <v>3.4969314426590665E-3</v>
      </c>
      <c r="N532">
        <f t="shared" si="50"/>
        <v>1.1073616235087045E-2</v>
      </c>
      <c r="O532">
        <f t="shared" si="51"/>
        <v>1.4570547677746111E-2</v>
      </c>
      <c r="P532">
        <f t="shared" si="52"/>
        <v>6.4110409782082893E-3</v>
      </c>
      <c r="Q532">
        <f t="shared" si="53"/>
        <v>2.3312876284393778E-3</v>
      </c>
      <c r="R532">
        <f t="shared" si="54"/>
        <v>9.3251505137575113E-3</v>
      </c>
    </row>
    <row r="533" spans="1:18" hidden="1" x14ac:dyDescent="0.25">
      <c r="A533" s="46">
        <v>2020</v>
      </c>
      <c r="B533" s="56">
        <v>256</v>
      </c>
      <c r="C533" s="47" t="s">
        <v>73</v>
      </c>
      <c r="D533" s="47" t="s">
        <v>52</v>
      </c>
      <c r="E533" s="47" t="s">
        <v>48</v>
      </c>
      <c r="F533" s="46">
        <v>1700</v>
      </c>
      <c r="G533" s="46">
        <v>75</v>
      </c>
      <c r="H533" s="46">
        <v>240</v>
      </c>
      <c r="I533" s="46">
        <v>400</v>
      </c>
      <c r="J533" s="46">
        <v>170</v>
      </c>
      <c r="K533" s="46">
        <v>100</v>
      </c>
      <c r="L533" s="46">
        <v>710</v>
      </c>
      <c r="M533">
        <f t="shared" si="49"/>
        <v>8.7423286066476667E-3</v>
      </c>
      <c r="N533">
        <f t="shared" si="50"/>
        <v>2.7975451541272532E-2</v>
      </c>
      <c r="O533">
        <f t="shared" si="51"/>
        <v>4.6625752568787551E-2</v>
      </c>
      <c r="P533">
        <f t="shared" si="52"/>
        <v>1.9815944841734712E-2</v>
      </c>
      <c r="Q533">
        <f t="shared" si="53"/>
        <v>1.1656438142196888E-2</v>
      </c>
      <c r="R533">
        <f t="shared" si="54"/>
        <v>8.2760710809597904E-2</v>
      </c>
    </row>
    <row r="534" spans="1:18" hidden="1" x14ac:dyDescent="0.25">
      <c r="A534" s="46">
        <v>2020</v>
      </c>
      <c r="B534" s="56">
        <v>256</v>
      </c>
      <c r="C534" s="47" t="s">
        <v>73</v>
      </c>
      <c r="D534" s="47" t="s">
        <v>52</v>
      </c>
      <c r="E534" s="47" t="s">
        <v>49</v>
      </c>
      <c r="F534" s="46">
        <v>790</v>
      </c>
      <c r="G534" s="46">
        <v>25</v>
      </c>
      <c r="H534" s="46">
        <v>95</v>
      </c>
      <c r="I534" s="46">
        <v>70</v>
      </c>
      <c r="J534" s="46">
        <v>45</v>
      </c>
      <c r="K534" s="46">
        <v>40</v>
      </c>
      <c r="L534" s="46">
        <v>510</v>
      </c>
      <c r="M534">
        <f t="shared" si="49"/>
        <v>2.914109535549222E-3</v>
      </c>
      <c r="N534">
        <f t="shared" si="50"/>
        <v>1.1073616235087045E-2</v>
      </c>
      <c r="O534">
        <f t="shared" si="51"/>
        <v>8.1595066995378222E-3</v>
      </c>
      <c r="P534">
        <f t="shared" si="52"/>
        <v>5.2453971639886002E-3</v>
      </c>
      <c r="Q534">
        <f t="shared" si="53"/>
        <v>4.6625752568787556E-3</v>
      </c>
      <c r="R534">
        <f t="shared" si="54"/>
        <v>5.9447834525204135E-2</v>
      </c>
    </row>
    <row r="535" spans="1:18" hidden="1" x14ac:dyDescent="0.25">
      <c r="A535" s="46">
        <v>2020</v>
      </c>
      <c r="B535" s="56">
        <v>256</v>
      </c>
      <c r="C535" s="47" t="s">
        <v>73</v>
      </c>
      <c r="D535" s="47" t="s">
        <v>52</v>
      </c>
      <c r="E535" s="47" t="s">
        <v>50</v>
      </c>
      <c r="F535" s="46">
        <v>330</v>
      </c>
      <c r="G535" s="46">
        <v>0</v>
      </c>
      <c r="H535" s="46">
        <v>10</v>
      </c>
      <c r="I535" s="46">
        <v>20</v>
      </c>
      <c r="J535" s="46">
        <v>10</v>
      </c>
      <c r="K535" s="46">
        <v>5</v>
      </c>
      <c r="L535" s="46">
        <v>280</v>
      </c>
      <c r="M535">
        <f t="shared" si="49"/>
        <v>0</v>
      </c>
      <c r="N535">
        <f t="shared" si="50"/>
        <v>1.1656438142196889E-3</v>
      </c>
      <c r="O535">
        <f t="shared" si="51"/>
        <v>2.3312876284393778E-3</v>
      </c>
      <c r="P535">
        <f t="shared" si="52"/>
        <v>1.1656438142196889E-3</v>
      </c>
      <c r="Q535">
        <f t="shared" si="53"/>
        <v>5.8282190710984446E-4</v>
      </c>
      <c r="R535">
        <f t="shared" si="54"/>
        <v>3.2638026798151289E-2</v>
      </c>
    </row>
    <row r="536" spans="1:18" x14ac:dyDescent="0.25">
      <c r="A536" s="46">
        <v>2020</v>
      </c>
      <c r="B536" s="56">
        <v>257</v>
      </c>
      <c r="C536" s="47" t="s">
        <v>74</v>
      </c>
      <c r="D536" s="47" t="s">
        <v>42</v>
      </c>
      <c r="E536" s="47" t="s">
        <v>43</v>
      </c>
      <c r="F536" s="46">
        <v>14755</v>
      </c>
      <c r="G536" s="46">
        <v>755</v>
      </c>
      <c r="H536" s="46">
        <v>2880</v>
      </c>
      <c r="I536" s="46">
        <v>3190</v>
      </c>
      <c r="J536" s="46">
        <v>1110</v>
      </c>
      <c r="K536" s="46">
        <v>580</v>
      </c>
      <c r="L536" s="46">
        <v>6235</v>
      </c>
      <c r="M536">
        <f t="shared" si="49"/>
        <v>8.8006107973586503E-2</v>
      </c>
      <c r="N536">
        <f t="shared" si="50"/>
        <v>0.33570541849527041</v>
      </c>
      <c r="O536">
        <f t="shared" si="51"/>
        <v>0.37184037673608078</v>
      </c>
      <c r="P536">
        <f t="shared" si="52"/>
        <v>0.12938646337838547</v>
      </c>
      <c r="Q536">
        <f t="shared" si="53"/>
        <v>6.7607341224741963E-2</v>
      </c>
      <c r="R536">
        <f t="shared" si="54"/>
        <v>0.72677891816597606</v>
      </c>
    </row>
    <row r="537" spans="1:18" hidden="1" x14ac:dyDescent="0.25">
      <c r="A537" s="46">
        <v>2020</v>
      </c>
      <c r="B537" s="56">
        <v>257</v>
      </c>
      <c r="C537" s="47" t="s">
        <v>74</v>
      </c>
      <c r="D537" s="47" t="s">
        <v>42</v>
      </c>
      <c r="E537" s="47" t="s">
        <v>44</v>
      </c>
      <c r="F537" s="46">
        <v>2315</v>
      </c>
      <c r="G537" s="46">
        <v>225</v>
      </c>
      <c r="H537" s="46">
        <v>885</v>
      </c>
      <c r="I537" s="46">
        <v>805</v>
      </c>
      <c r="J537" s="46">
        <v>215</v>
      </c>
      <c r="K537" s="46">
        <v>75</v>
      </c>
      <c r="L537" s="46">
        <v>105</v>
      </c>
      <c r="M537">
        <f t="shared" si="49"/>
        <v>2.6226985819943E-2</v>
      </c>
      <c r="N537">
        <f t="shared" si="50"/>
        <v>0.10315947755844246</v>
      </c>
      <c r="O537">
        <f t="shared" si="51"/>
        <v>9.3834327044684959E-2</v>
      </c>
      <c r="P537">
        <f t="shared" si="52"/>
        <v>2.5061342005723308E-2</v>
      </c>
      <c r="Q537">
        <f t="shared" si="53"/>
        <v>8.7423286066476667E-3</v>
      </c>
      <c r="R537">
        <f t="shared" si="54"/>
        <v>1.2239260049306732E-2</v>
      </c>
    </row>
    <row r="538" spans="1:18" hidden="1" x14ac:dyDescent="0.25">
      <c r="A538" s="46">
        <v>2020</v>
      </c>
      <c r="B538" s="56">
        <v>257</v>
      </c>
      <c r="C538" s="47" t="s">
        <v>74</v>
      </c>
      <c r="D538" s="47" t="s">
        <v>42</v>
      </c>
      <c r="E538" s="47" t="s">
        <v>45</v>
      </c>
      <c r="F538" s="46">
        <v>695</v>
      </c>
      <c r="G538" s="46">
        <v>35</v>
      </c>
      <c r="H538" s="46">
        <v>130</v>
      </c>
      <c r="I538" s="46">
        <v>265</v>
      </c>
      <c r="J538" s="46">
        <v>75</v>
      </c>
      <c r="K538" s="46">
        <v>35</v>
      </c>
      <c r="L538" s="46">
        <v>150</v>
      </c>
      <c r="M538">
        <f t="shared" si="49"/>
        <v>4.0797533497689111E-3</v>
      </c>
      <c r="N538">
        <f t="shared" si="50"/>
        <v>1.5153369584855955E-2</v>
      </c>
      <c r="O538">
        <f t="shared" si="51"/>
        <v>3.0889561076821757E-2</v>
      </c>
      <c r="P538">
        <f t="shared" si="52"/>
        <v>8.7423286066476667E-3</v>
      </c>
      <c r="Q538">
        <f t="shared" si="53"/>
        <v>4.0797533497689111E-3</v>
      </c>
      <c r="R538">
        <f t="shared" si="54"/>
        <v>1.7484657213295333E-2</v>
      </c>
    </row>
    <row r="539" spans="1:18" hidden="1" x14ac:dyDescent="0.25">
      <c r="A539" s="46">
        <v>2020</v>
      </c>
      <c r="B539" s="56">
        <v>257</v>
      </c>
      <c r="C539" s="47" t="s">
        <v>74</v>
      </c>
      <c r="D539" s="47" t="s">
        <v>42</v>
      </c>
      <c r="E539" s="47" t="s">
        <v>46</v>
      </c>
      <c r="F539" s="46">
        <v>1185</v>
      </c>
      <c r="G539" s="46">
        <v>115</v>
      </c>
      <c r="H539" s="46">
        <v>350</v>
      </c>
      <c r="I539" s="46">
        <v>370</v>
      </c>
      <c r="J539" s="46">
        <v>55</v>
      </c>
      <c r="K539" s="46">
        <v>30</v>
      </c>
      <c r="L539" s="46">
        <v>265</v>
      </c>
      <c r="M539">
        <f t="shared" si="49"/>
        <v>1.3404903863526422E-2</v>
      </c>
      <c r="N539">
        <f t="shared" si="50"/>
        <v>4.0797533497689109E-2</v>
      </c>
      <c r="O539">
        <f t="shared" si="51"/>
        <v>4.3128821126128487E-2</v>
      </c>
      <c r="P539">
        <f t="shared" si="52"/>
        <v>6.4110409782082893E-3</v>
      </c>
      <c r="Q539">
        <f t="shared" si="53"/>
        <v>3.4969314426590665E-3</v>
      </c>
      <c r="R539">
        <f t="shared" si="54"/>
        <v>3.0889561076821757E-2</v>
      </c>
    </row>
    <row r="540" spans="1:18" hidden="1" x14ac:dyDescent="0.25">
      <c r="A540" s="46">
        <v>2020</v>
      </c>
      <c r="B540" s="56">
        <v>257</v>
      </c>
      <c r="C540" s="47" t="s">
        <v>74</v>
      </c>
      <c r="D540" s="47" t="s">
        <v>42</v>
      </c>
      <c r="E540" s="47" t="s">
        <v>47</v>
      </c>
      <c r="F540" s="46">
        <v>1270</v>
      </c>
      <c r="G540" s="46">
        <v>80</v>
      </c>
      <c r="H540" s="46">
        <v>340</v>
      </c>
      <c r="I540" s="46">
        <v>395</v>
      </c>
      <c r="J540" s="46">
        <v>125</v>
      </c>
      <c r="K540" s="46">
        <v>40</v>
      </c>
      <c r="L540" s="46">
        <v>285</v>
      </c>
      <c r="M540">
        <f t="shared" si="49"/>
        <v>9.3251505137575113E-3</v>
      </c>
      <c r="N540">
        <f t="shared" si="50"/>
        <v>3.9631889683469423E-2</v>
      </c>
      <c r="O540">
        <f t="shared" si="51"/>
        <v>4.6042930661677708E-2</v>
      </c>
      <c r="P540">
        <f t="shared" si="52"/>
        <v>1.4570547677746111E-2</v>
      </c>
      <c r="Q540">
        <f t="shared" si="53"/>
        <v>4.6625752568787556E-3</v>
      </c>
      <c r="R540">
        <f t="shared" si="54"/>
        <v>3.3220848705261131E-2</v>
      </c>
    </row>
    <row r="541" spans="1:18" hidden="1" x14ac:dyDescent="0.25">
      <c r="A541" s="46">
        <v>2020</v>
      </c>
      <c r="B541" s="56">
        <v>257</v>
      </c>
      <c r="C541" s="47" t="s">
        <v>74</v>
      </c>
      <c r="D541" s="47" t="s">
        <v>42</v>
      </c>
      <c r="E541" s="47" t="s">
        <v>48</v>
      </c>
      <c r="F541" s="46">
        <v>5370</v>
      </c>
      <c r="G541" s="46">
        <v>235</v>
      </c>
      <c r="H541" s="46">
        <v>945</v>
      </c>
      <c r="I541" s="46">
        <v>1105</v>
      </c>
      <c r="J541" s="46">
        <v>495</v>
      </c>
      <c r="K541" s="46">
        <v>290</v>
      </c>
      <c r="L541" s="46">
        <v>2300</v>
      </c>
      <c r="M541">
        <f t="shared" si="49"/>
        <v>2.7392629634162689E-2</v>
      </c>
      <c r="N541">
        <f t="shared" si="50"/>
        <v>0.1101533404437606</v>
      </c>
      <c r="O541">
        <f t="shared" si="51"/>
        <v>0.12880364147127563</v>
      </c>
      <c r="P541">
        <f t="shared" si="52"/>
        <v>5.76993688038746E-2</v>
      </c>
      <c r="Q541">
        <f t="shared" si="53"/>
        <v>3.3803670612370981E-2</v>
      </c>
      <c r="R541">
        <f t="shared" si="54"/>
        <v>0.26809807727052848</v>
      </c>
    </row>
    <row r="542" spans="1:18" hidden="1" x14ac:dyDescent="0.25">
      <c r="A542" s="46">
        <v>2020</v>
      </c>
      <c r="B542" s="56">
        <v>257</v>
      </c>
      <c r="C542" s="47" t="s">
        <v>74</v>
      </c>
      <c r="D542" s="47" t="s">
        <v>42</v>
      </c>
      <c r="E542" s="47" t="s">
        <v>49</v>
      </c>
      <c r="F542" s="46">
        <v>2585</v>
      </c>
      <c r="G542" s="46">
        <v>50</v>
      </c>
      <c r="H542" s="46">
        <v>195</v>
      </c>
      <c r="I542" s="46">
        <v>205</v>
      </c>
      <c r="J542" s="46">
        <v>125</v>
      </c>
      <c r="K542" s="46">
        <v>90</v>
      </c>
      <c r="L542" s="46">
        <v>1920</v>
      </c>
      <c r="M542">
        <f t="shared" si="49"/>
        <v>5.8282190710984439E-3</v>
      </c>
      <c r="N542">
        <f t="shared" si="50"/>
        <v>2.2730054377283933E-2</v>
      </c>
      <c r="O542">
        <f t="shared" si="51"/>
        <v>2.3895698191503622E-2</v>
      </c>
      <c r="P542">
        <f t="shared" si="52"/>
        <v>1.4570547677746111E-2</v>
      </c>
      <c r="Q542">
        <f t="shared" si="53"/>
        <v>1.04907943279772E-2</v>
      </c>
      <c r="R542">
        <f t="shared" si="54"/>
        <v>0.22380361233018026</v>
      </c>
    </row>
    <row r="543" spans="1:18" hidden="1" x14ac:dyDescent="0.25">
      <c r="A543" s="46">
        <v>2020</v>
      </c>
      <c r="B543" s="56">
        <v>257</v>
      </c>
      <c r="C543" s="47" t="s">
        <v>74</v>
      </c>
      <c r="D543" s="47" t="s">
        <v>42</v>
      </c>
      <c r="E543" s="47" t="s">
        <v>50</v>
      </c>
      <c r="F543" s="46">
        <v>1335</v>
      </c>
      <c r="G543" s="46">
        <v>10</v>
      </c>
      <c r="H543" s="46">
        <v>35</v>
      </c>
      <c r="I543" s="46">
        <v>40</v>
      </c>
      <c r="J543" s="46">
        <v>20</v>
      </c>
      <c r="K543" s="46">
        <v>20</v>
      </c>
      <c r="L543" s="46">
        <v>1210</v>
      </c>
      <c r="M543">
        <f t="shared" si="49"/>
        <v>1.1656438142196889E-3</v>
      </c>
      <c r="N543">
        <f t="shared" si="50"/>
        <v>4.0797533497689111E-3</v>
      </c>
      <c r="O543">
        <f t="shared" si="51"/>
        <v>4.6625752568787556E-3</v>
      </c>
      <c r="P543">
        <f t="shared" si="52"/>
        <v>2.3312876284393778E-3</v>
      </c>
      <c r="Q543">
        <f t="shared" si="53"/>
        <v>2.3312876284393778E-3</v>
      </c>
      <c r="R543">
        <f t="shared" si="54"/>
        <v>0.14104290152058235</v>
      </c>
    </row>
    <row r="544" spans="1:18" hidden="1" x14ac:dyDescent="0.25">
      <c r="A544" s="46">
        <v>2020</v>
      </c>
      <c r="B544" s="56">
        <v>257</v>
      </c>
      <c r="C544" s="47" t="s">
        <v>74</v>
      </c>
      <c r="D544" s="47" t="s">
        <v>51</v>
      </c>
      <c r="E544" s="47" t="s">
        <v>43</v>
      </c>
      <c r="F544" s="46">
        <v>7945</v>
      </c>
      <c r="G544" s="46">
        <v>435</v>
      </c>
      <c r="H544" s="46">
        <v>1570</v>
      </c>
      <c r="I544" s="46">
        <v>1865</v>
      </c>
      <c r="J544" s="46">
        <v>605</v>
      </c>
      <c r="K544" s="46">
        <v>325</v>
      </c>
      <c r="L544" s="46">
        <v>3140</v>
      </c>
      <c r="M544">
        <f t="shared" si="49"/>
        <v>5.0705505918556465E-2</v>
      </c>
      <c r="N544">
        <f t="shared" si="50"/>
        <v>0.18300607883249115</v>
      </c>
      <c r="O544">
        <f t="shared" si="51"/>
        <v>0.21739257135197196</v>
      </c>
      <c r="P544">
        <f t="shared" si="52"/>
        <v>7.0521450760291177E-2</v>
      </c>
      <c r="Q544">
        <f t="shared" si="53"/>
        <v>3.7883423962139888E-2</v>
      </c>
      <c r="R544">
        <f t="shared" si="54"/>
        <v>0.3660121576649823</v>
      </c>
    </row>
    <row r="545" spans="1:18" hidden="1" x14ac:dyDescent="0.25">
      <c r="A545" s="46">
        <v>2020</v>
      </c>
      <c r="B545" s="56">
        <v>257</v>
      </c>
      <c r="C545" s="47" t="s">
        <v>74</v>
      </c>
      <c r="D545" s="47" t="s">
        <v>51</v>
      </c>
      <c r="E545" s="47" t="s">
        <v>44</v>
      </c>
      <c r="F545" s="46">
        <v>1195</v>
      </c>
      <c r="G545" s="46">
        <v>115</v>
      </c>
      <c r="H545" s="46">
        <v>445</v>
      </c>
      <c r="I545" s="46">
        <v>425</v>
      </c>
      <c r="J545" s="46">
        <v>110</v>
      </c>
      <c r="K545" s="46">
        <v>50</v>
      </c>
      <c r="L545" s="46">
        <v>55</v>
      </c>
      <c r="M545">
        <f t="shared" si="49"/>
        <v>1.3404903863526422E-2</v>
      </c>
      <c r="N545">
        <f t="shared" si="50"/>
        <v>5.1871149732776158E-2</v>
      </c>
      <c r="O545">
        <f t="shared" si="51"/>
        <v>4.9539862104336772E-2</v>
      </c>
      <c r="P545">
        <f t="shared" si="52"/>
        <v>1.2822081956416579E-2</v>
      </c>
      <c r="Q545">
        <f t="shared" si="53"/>
        <v>5.8282190710984439E-3</v>
      </c>
      <c r="R545">
        <f t="shared" si="54"/>
        <v>6.4110409782082893E-3</v>
      </c>
    </row>
    <row r="546" spans="1:18" hidden="1" x14ac:dyDescent="0.25">
      <c r="A546" s="46">
        <v>2020</v>
      </c>
      <c r="B546" s="56">
        <v>257</v>
      </c>
      <c r="C546" s="47" t="s">
        <v>74</v>
      </c>
      <c r="D546" s="47" t="s">
        <v>51</v>
      </c>
      <c r="E546" s="47" t="s">
        <v>45</v>
      </c>
      <c r="F546" s="46">
        <v>380</v>
      </c>
      <c r="G546" s="46">
        <v>20</v>
      </c>
      <c r="H546" s="46">
        <v>65</v>
      </c>
      <c r="I546" s="46">
        <v>175</v>
      </c>
      <c r="J546" s="46">
        <v>30</v>
      </c>
      <c r="K546" s="46">
        <v>20</v>
      </c>
      <c r="L546" s="46">
        <v>70</v>
      </c>
      <c r="M546">
        <f t="shared" si="49"/>
        <v>2.3312876284393778E-3</v>
      </c>
      <c r="N546">
        <f t="shared" si="50"/>
        <v>7.5766847924279776E-3</v>
      </c>
      <c r="O546">
        <f t="shared" si="51"/>
        <v>2.0398766748844555E-2</v>
      </c>
      <c r="P546">
        <f t="shared" si="52"/>
        <v>3.4969314426590665E-3</v>
      </c>
      <c r="Q546">
        <f t="shared" si="53"/>
        <v>2.3312876284393778E-3</v>
      </c>
      <c r="R546">
        <f t="shared" si="54"/>
        <v>8.1595066995378222E-3</v>
      </c>
    </row>
    <row r="547" spans="1:18" hidden="1" x14ac:dyDescent="0.25">
      <c r="A547" s="46">
        <v>2020</v>
      </c>
      <c r="B547" s="56">
        <v>257</v>
      </c>
      <c r="C547" s="47" t="s">
        <v>74</v>
      </c>
      <c r="D547" s="47" t="s">
        <v>51</v>
      </c>
      <c r="E547" s="47" t="s">
        <v>46</v>
      </c>
      <c r="F547" s="46">
        <v>705</v>
      </c>
      <c r="G547" s="46">
        <v>65</v>
      </c>
      <c r="H547" s="46">
        <v>195</v>
      </c>
      <c r="I547" s="46">
        <v>250</v>
      </c>
      <c r="J547" s="46">
        <v>20</v>
      </c>
      <c r="K547" s="46">
        <v>20</v>
      </c>
      <c r="L547" s="46">
        <v>155</v>
      </c>
      <c r="M547">
        <f t="shared" si="49"/>
        <v>7.5766847924279776E-3</v>
      </c>
      <c r="N547">
        <f t="shared" si="50"/>
        <v>2.2730054377283933E-2</v>
      </c>
      <c r="O547">
        <f t="shared" si="51"/>
        <v>2.9141095355492221E-2</v>
      </c>
      <c r="P547">
        <f t="shared" si="52"/>
        <v>2.3312876284393778E-3</v>
      </c>
      <c r="Q547">
        <f t="shared" si="53"/>
        <v>2.3312876284393778E-3</v>
      </c>
      <c r="R547">
        <f t="shared" si="54"/>
        <v>1.806747912040518E-2</v>
      </c>
    </row>
    <row r="548" spans="1:18" hidden="1" x14ac:dyDescent="0.25">
      <c r="A548" s="46">
        <v>2020</v>
      </c>
      <c r="B548" s="56">
        <v>257</v>
      </c>
      <c r="C548" s="47" t="s">
        <v>74</v>
      </c>
      <c r="D548" s="47" t="s">
        <v>51</v>
      </c>
      <c r="E548" s="47" t="s">
        <v>47</v>
      </c>
      <c r="F548" s="46">
        <v>730</v>
      </c>
      <c r="G548" s="46">
        <v>55</v>
      </c>
      <c r="H548" s="46">
        <v>200</v>
      </c>
      <c r="I548" s="46">
        <v>240</v>
      </c>
      <c r="J548" s="46">
        <v>65</v>
      </c>
      <c r="K548" s="46">
        <v>20</v>
      </c>
      <c r="L548" s="46">
        <v>150</v>
      </c>
      <c r="M548">
        <f t="shared" si="49"/>
        <v>6.4110409782082893E-3</v>
      </c>
      <c r="N548">
        <f t="shared" si="50"/>
        <v>2.3312876284393776E-2</v>
      </c>
      <c r="O548">
        <f t="shared" si="51"/>
        <v>2.7975451541272532E-2</v>
      </c>
      <c r="P548">
        <f t="shared" si="52"/>
        <v>7.5766847924279776E-3</v>
      </c>
      <c r="Q548">
        <f t="shared" si="53"/>
        <v>2.3312876284393778E-3</v>
      </c>
      <c r="R548">
        <f t="shared" si="54"/>
        <v>1.7484657213295333E-2</v>
      </c>
    </row>
    <row r="549" spans="1:18" hidden="1" x14ac:dyDescent="0.25">
      <c r="A549" s="46">
        <v>2020</v>
      </c>
      <c r="B549" s="56">
        <v>257</v>
      </c>
      <c r="C549" s="47" t="s">
        <v>74</v>
      </c>
      <c r="D549" s="47" t="s">
        <v>51</v>
      </c>
      <c r="E549" s="47" t="s">
        <v>48</v>
      </c>
      <c r="F549" s="46">
        <v>2880</v>
      </c>
      <c r="G549" s="46">
        <v>145</v>
      </c>
      <c r="H549" s="46">
        <v>535</v>
      </c>
      <c r="I549" s="46">
        <v>655</v>
      </c>
      <c r="J549" s="46">
        <v>285</v>
      </c>
      <c r="K549" s="46">
        <v>165</v>
      </c>
      <c r="L549" s="46">
        <v>1100</v>
      </c>
      <c r="M549">
        <f t="shared" si="49"/>
        <v>1.6901835306185491E-2</v>
      </c>
      <c r="N549">
        <f t="shared" si="50"/>
        <v>6.2361944060753356E-2</v>
      </c>
      <c r="O549">
        <f t="shared" si="51"/>
        <v>7.6349669831389619E-2</v>
      </c>
      <c r="P549">
        <f t="shared" si="52"/>
        <v>3.3220848705261131E-2</v>
      </c>
      <c r="Q549">
        <f t="shared" si="53"/>
        <v>1.9233122934624865E-2</v>
      </c>
      <c r="R549">
        <f t="shared" si="54"/>
        <v>0.12822081956416578</v>
      </c>
    </row>
    <row r="550" spans="1:18" hidden="1" x14ac:dyDescent="0.25">
      <c r="A550" s="46">
        <v>2020</v>
      </c>
      <c r="B550" s="56">
        <v>257</v>
      </c>
      <c r="C550" s="47" t="s">
        <v>74</v>
      </c>
      <c r="D550" s="47" t="s">
        <v>51</v>
      </c>
      <c r="E550" s="47" t="s">
        <v>49</v>
      </c>
      <c r="F550" s="46">
        <v>1420</v>
      </c>
      <c r="G550" s="46">
        <v>35</v>
      </c>
      <c r="H550" s="46">
        <v>110</v>
      </c>
      <c r="I550" s="46">
        <v>110</v>
      </c>
      <c r="J550" s="46">
        <v>80</v>
      </c>
      <c r="K550" s="46">
        <v>45</v>
      </c>
      <c r="L550" s="46">
        <v>1035</v>
      </c>
      <c r="M550">
        <f t="shared" si="49"/>
        <v>4.0797533497689111E-3</v>
      </c>
      <c r="N550">
        <f t="shared" si="50"/>
        <v>1.2822081956416579E-2</v>
      </c>
      <c r="O550">
        <f t="shared" si="51"/>
        <v>1.2822081956416579E-2</v>
      </c>
      <c r="P550">
        <f t="shared" si="52"/>
        <v>9.3251505137575113E-3</v>
      </c>
      <c r="Q550">
        <f t="shared" si="53"/>
        <v>5.2453971639886002E-3</v>
      </c>
      <c r="R550">
        <f t="shared" si="54"/>
        <v>0.1206441347717378</v>
      </c>
    </row>
    <row r="551" spans="1:18" hidden="1" x14ac:dyDescent="0.25">
      <c r="A551" s="46">
        <v>2020</v>
      </c>
      <c r="B551" s="56">
        <v>257</v>
      </c>
      <c r="C551" s="47" t="s">
        <v>74</v>
      </c>
      <c r="D551" s="47" t="s">
        <v>51</v>
      </c>
      <c r="E551" s="47" t="s">
        <v>50</v>
      </c>
      <c r="F551" s="46">
        <v>635</v>
      </c>
      <c r="G551" s="46">
        <v>5</v>
      </c>
      <c r="H551" s="46">
        <v>15</v>
      </c>
      <c r="I551" s="46">
        <v>20</v>
      </c>
      <c r="J551" s="46">
        <v>10</v>
      </c>
      <c r="K551" s="46">
        <v>10</v>
      </c>
      <c r="L551" s="46">
        <v>570</v>
      </c>
      <c r="M551">
        <f t="shared" si="49"/>
        <v>5.8282190710984446E-4</v>
      </c>
      <c r="N551">
        <f t="shared" si="50"/>
        <v>1.7484657213295333E-3</v>
      </c>
      <c r="O551">
        <f t="shared" si="51"/>
        <v>2.3312876284393778E-3</v>
      </c>
      <c r="P551">
        <f t="shared" si="52"/>
        <v>1.1656438142196889E-3</v>
      </c>
      <c r="Q551">
        <f t="shared" si="53"/>
        <v>1.1656438142196889E-3</v>
      </c>
      <c r="R551">
        <f t="shared" si="54"/>
        <v>6.6441697410522263E-2</v>
      </c>
    </row>
    <row r="552" spans="1:18" hidden="1" x14ac:dyDescent="0.25">
      <c r="A552" s="46">
        <v>2020</v>
      </c>
      <c r="B552" s="56">
        <v>257</v>
      </c>
      <c r="C552" s="47" t="s">
        <v>74</v>
      </c>
      <c r="D552" s="47" t="s">
        <v>52</v>
      </c>
      <c r="E552" s="47" t="s">
        <v>43</v>
      </c>
      <c r="F552" s="46">
        <v>6815</v>
      </c>
      <c r="G552" s="46">
        <v>320</v>
      </c>
      <c r="H552" s="46">
        <v>1310</v>
      </c>
      <c r="I552" s="46">
        <v>1325</v>
      </c>
      <c r="J552" s="46">
        <v>510</v>
      </c>
      <c r="K552" s="46">
        <v>255</v>
      </c>
      <c r="L552" s="46">
        <v>3095</v>
      </c>
      <c r="M552">
        <f t="shared" si="49"/>
        <v>3.7300602055030045E-2</v>
      </c>
      <c r="N552">
        <f t="shared" si="50"/>
        <v>0.15269933966277924</v>
      </c>
      <c r="O552">
        <f t="shared" si="51"/>
        <v>0.15444780538410877</v>
      </c>
      <c r="P552">
        <f t="shared" si="52"/>
        <v>5.9447834525204135E-2</v>
      </c>
      <c r="Q552">
        <f t="shared" si="53"/>
        <v>2.9723917262602068E-2</v>
      </c>
      <c r="R552">
        <f t="shared" si="54"/>
        <v>0.36076676050099371</v>
      </c>
    </row>
    <row r="553" spans="1:18" hidden="1" x14ac:dyDescent="0.25">
      <c r="A553" s="46">
        <v>2020</v>
      </c>
      <c r="B553" s="56">
        <v>257</v>
      </c>
      <c r="C553" s="47" t="s">
        <v>74</v>
      </c>
      <c r="D553" s="47" t="s">
        <v>52</v>
      </c>
      <c r="E553" s="47" t="s">
        <v>44</v>
      </c>
      <c r="F553" s="46">
        <v>1120</v>
      </c>
      <c r="G553" s="46">
        <v>110</v>
      </c>
      <c r="H553" s="46">
        <v>440</v>
      </c>
      <c r="I553" s="46">
        <v>385</v>
      </c>
      <c r="J553" s="46">
        <v>105</v>
      </c>
      <c r="K553" s="46">
        <v>30</v>
      </c>
      <c r="L553" s="46">
        <v>50</v>
      </c>
      <c r="M553">
        <f t="shared" si="49"/>
        <v>1.2822081956416579E-2</v>
      </c>
      <c r="N553">
        <f t="shared" si="50"/>
        <v>5.1288327825666315E-2</v>
      </c>
      <c r="O553">
        <f t="shared" si="51"/>
        <v>4.4877286847458023E-2</v>
      </c>
      <c r="P553">
        <f t="shared" si="52"/>
        <v>1.2239260049306732E-2</v>
      </c>
      <c r="Q553">
        <f t="shared" si="53"/>
        <v>3.4969314426590665E-3</v>
      </c>
      <c r="R553">
        <f t="shared" si="54"/>
        <v>5.8282190710984439E-3</v>
      </c>
    </row>
    <row r="554" spans="1:18" hidden="1" x14ac:dyDescent="0.25">
      <c r="A554" s="46">
        <v>2020</v>
      </c>
      <c r="B554" s="56">
        <v>257</v>
      </c>
      <c r="C554" s="47" t="s">
        <v>74</v>
      </c>
      <c r="D554" s="47" t="s">
        <v>52</v>
      </c>
      <c r="E554" s="47" t="s">
        <v>45</v>
      </c>
      <c r="F554" s="46">
        <v>310</v>
      </c>
      <c r="G554" s="46">
        <v>15</v>
      </c>
      <c r="H554" s="46">
        <v>60</v>
      </c>
      <c r="I554" s="46">
        <v>95</v>
      </c>
      <c r="J554" s="46">
        <v>45</v>
      </c>
      <c r="K554" s="46">
        <v>15</v>
      </c>
      <c r="L554" s="46">
        <v>80</v>
      </c>
      <c r="M554">
        <f t="shared" si="49"/>
        <v>1.7484657213295333E-3</v>
      </c>
      <c r="N554">
        <f t="shared" si="50"/>
        <v>6.993862885318133E-3</v>
      </c>
      <c r="O554">
        <f t="shared" si="51"/>
        <v>1.1073616235087045E-2</v>
      </c>
      <c r="P554">
        <f t="shared" si="52"/>
        <v>5.2453971639886002E-3</v>
      </c>
      <c r="Q554">
        <f t="shared" si="53"/>
        <v>1.7484657213295333E-3</v>
      </c>
      <c r="R554">
        <f t="shared" si="54"/>
        <v>9.3251505137575113E-3</v>
      </c>
    </row>
    <row r="555" spans="1:18" hidden="1" x14ac:dyDescent="0.25">
      <c r="A555" s="46">
        <v>2020</v>
      </c>
      <c r="B555" s="56">
        <v>257</v>
      </c>
      <c r="C555" s="47" t="s">
        <v>74</v>
      </c>
      <c r="D555" s="47" t="s">
        <v>52</v>
      </c>
      <c r="E555" s="47" t="s">
        <v>46</v>
      </c>
      <c r="F555" s="46">
        <v>480</v>
      </c>
      <c r="G555" s="46">
        <v>50</v>
      </c>
      <c r="H555" s="46">
        <v>155</v>
      </c>
      <c r="I555" s="46">
        <v>125</v>
      </c>
      <c r="J555" s="46">
        <v>30</v>
      </c>
      <c r="K555" s="46">
        <v>15</v>
      </c>
      <c r="L555" s="46">
        <v>110</v>
      </c>
      <c r="M555">
        <f t="shared" si="49"/>
        <v>5.8282190710984439E-3</v>
      </c>
      <c r="N555">
        <f t="shared" si="50"/>
        <v>1.806747912040518E-2</v>
      </c>
      <c r="O555">
        <f t="shared" si="51"/>
        <v>1.4570547677746111E-2</v>
      </c>
      <c r="P555">
        <f t="shared" si="52"/>
        <v>3.4969314426590665E-3</v>
      </c>
      <c r="Q555">
        <f t="shared" si="53"/>
        <v>1.7484657213295333E-3</v>
      </c>
      <c r="R555">
        <f t="shared" si="54"/>
        <v>1.2822081956416579E-2</v>
      </c>
    </row>
    <row r="556" spans="1:18" hidden="1" x14ac:dyDescent="0.25">
      <c r="A556" s="46">
        <v>2020</v>
      </c>
      <c r="B556" s="56">
        <v>257</v>
      </c>
      <c r="C556" s="47" t="s">
        <v>74</v>
      </c>
      <c r="D556" s="47" t="s">
        <v>52</v>
      </c>
      <c r="E556" s="47" t="s">
        <v>47</v>
      </c>
      <c r="F556" s="46">
        <v>540</v>
      </c>
      <c r="G556" s="46">
        <v>30</v>
      </c>
      <c r="H556" s="46">
        <v>140</v>
      </c>
      <c r="I556" s="46">
        <v>160</v>
      </c>
      <c r="J556" s="46">
        <v>60</v>
      </c>
      <c r="K556" s="46">
        <v>20</v>
      </c>
      <c r="L556" s="46">
        <v>135</v>
      </c>
      <c r="M556">
        <f t="shared" si="49"/>
        <v>3.4969314426590665E-3</v>
      </c>
      <c r="N556">
        <f t="shared" si="50"/>
        <v>1.6319013399075644E-2</v>
      </c>
      <c r="O556">
        <f t="shared" si="51"/>
        <v>1.8650301027515023E-2</v>
      </c>
      <c r="P556">
        <f t="shared" si="52"/>
        <v>6.993862885318133E-3</v>
      </c>
      <c r="Q556">
        <f t="shared" si="53"/>
        <v>2.3312876284393778E-3</v>
      </c>
      <c r="R556">
        <f t="shared" si="54"/>
        <v>1.5736191491965801E-2</v>
      </c>
    </row>
    <row r="557" spans="1:18" hidden="1" x14ac:dyDescent="0.25">
      <c r="A557" s="46">
        <v>2020</v>
      </c>
      <c r="B557" s="56">
        <v>257</v>
      </c>
      <c r="C557" s="47" t="s">
        <v>74</v>
      </c>
      <c r="D557" s="47" t="s">
        <v>52</v>
      </c>
      <c r="E557" s="47" t="s">
        <v>48</v>
      </c>
      <c r="F557" s="46">
        <v>2490</v>
      </c>
      <c r="G557" s="46">
        <v>95</v>
      </c>
      <c r="H557" s="46">
        <v>410</v>
      </c>
      <c r="I557" s="46">
        <v>450</v>
      </c>
      <c r="J557" s="46">
        <v>210</v>
      </c>
      <c r="K557" s="46">
        <v>125</v>
      </c>
      <c r="L557" s="46">
        <v>1200</v>
      </c>
      <c r="M557">
        <f t="shared" si="49"/>
        <v>1.1073616235087045E-2</v>
      </c>
      <c r="N557">
        <f t="shared" si="50"/>
        <v>4.7791396383007244E-2</v>
      </c>
      <c r="O557">
        <f t="shared" si="51"/>
        <v>5.2453971639886E-2</v>
      </c>
      <c r="P557">
        <f t="shared" si="52"/>
        <v>2.4478520098613465E-2</v>
      </c>
      <c r="Q557">
        <f t="shared" si="53"/>
        <v>1.4570547677746111E-2</v>
      </c>
      <c r="R557">
        <f t="shared" si="54"/>
        <v>0.13987725770636267</v>
      </c>
    </row>
    <row r="558" spans="1:18" hidden="1" x14ac:dyDescent="0.25">
      <c r="A558" s="46">
        <v>2020</v>
      </c>
      <c r="B558" s="56">
        <v>257</v>
      </c>
      <c r="C558" s="47" t="s">
        <v>74</v>
      </c>
      <c r="D558" s="47" t="s">
        <v>52</v>
      </c>
      <c r="E558" s="47" t="s">
        <v>49</v>
      </c>
      <c r="F558" s="46">
        <v>1170</v>
      </c>
      <c r="G558" s="46">
        <v>15</v>
      </c>
      <c r="H558" s="46">
        <v>85</v>
      </c>
      <c r="I558" s="46">
        <v>95</v>
      </c>
      <c r="J558" s="46">
        <v>45</v>
      </c>
      <c r="K558" s="46">
        <v>40</v>
      </c>
      <c r="L558" s="46">
        <v>885</v>
      </c>
      <c r="M558">
        <f t="shared" si="49"/>
        <v>1.7484657213295333E-3</v>
      </c>
      <c r="N558">
        <f t="shared" si="50"/>
        <v>9.9079724208673559E-3</v>
      </c>
      <c r="O558">
        <f t="shared" si="51"/>
        <v>1.1073616235087045E-2</v>
      </c>
      <c r="P558">
        <f t="shared" si="52"/>
        <v>5.2453971639886002E-3</v>
      </c>
      <c r="Q558">
        <f t="shared" si="53"/>
        <v>4.6625752568787556E-3</v>
      </c>
      <c r="R558">
        <f t="shared" si="54"/>
        <v>0.10315947755844246</v>
      </c>
    </row>
    <row r="559" spans="1:18" hidden="1" x14ac:dyDescent="0.25">
      <c r="A559" s="46">
        <v>2020</v>
      </c>
      <c r="B559" s="56">
        <v>257</v>
      </c>
      <c r="C559" s="47" t="s">
        <v>74</v>
      </c>
      <c r="D559" s="47" t="s">
        <v>52</v>
      </c>
      <c r="E559" s="47" t="s">
        <v>50</v>
      </c>
      <c r="F559" s="46">
        <v>700</v>
      </c>
      <c r="G559" s="46">
        <v>5</v>
      </c>
      <c r="H559" s="46">
        <v>15</v>
      </c>
      <c r="I559" s="46">
        <v>20</v>
      </c>
      <c r="J559" s="46">
        <v>10</v>
      </c>
      <c r="K559" s="46">
        <v>10</v>
      </c>
      <c r="L559" s="46">
        <v>640</v>
      </c>
      <c r="M559">
        <f t="shared" si="49"/>
        <v>5.8282190710984446E-4</v>
      </c>
      <c r="N559">
        <f t="shared" si="50"/>
        <v>1.7484657213295333E-3</v>
      </c>
      <c r="O559">
        <f t="shared" si="51"/>
        <v>2.3312876284393778E-3</v>
      </c>
      <c r="P559">
        <f t="shared" si="52"/>
        <v>1.1656438142196889E-3</v>
      </c>
      <c r="Q559">
        <f t="shared" si="53"/>
        <v>1.1656438142196889E-3</v>
      </c>
      <c r="R559">
        <f t="shared" si="54"/>
        <v>7.460120411006009E-2</v>
      </c>
    </row>
    <row r="560" spans="1:18" x14ac:dyDescent="0.25">
      <c r="A560" s="46">
        <v>2020</v>
      </c>
      <c r="B560" s="56">
        <v>3</v>
      </c>
      <c r="C560" s="47" t="s">
        <v>75</v>
      </c>
      <c r="D560" s="47" t="s">
        <v>42</v>
      </c>
      <c r="E560" s="47" t="s">
        <v>43</v>
      </c>
      <c r="F560" s="46">
        <v>135635</v>
      </c>
      <c r="G560" s="46">
        <v>8290</v>
      </c>
      <c r="H560" s="46">
        <v>26885</v>
      </c>
      <c r="I560" s="46">
        <v>30525</v>
      </c>
      <c r="J560" s="46">
        <v>13015</v>
      </c>
      <c r="K560" s="46">
        <v>6945</v>
      </c>
      <c r="L560" s="46">
        <v>49975</v>
      </c>
      <c r="M560">
        <f t="shared" si="49"/>
        <v>0.96631872198812208</v>
      </c>
      <c r="N560">
        <f t="shared" si="50"/>
        <v>3.1338333945296339</v>
      </c>
      <c r="O560">
        <f t="shared" si="51"/>
        <v>3.5581277429056</v>
      </c>
      <c r="P560">
        <f t="shared" si="52"/>
        <v>1.5170854242069252</v>
      </c>
      <c r="Q560">
        <f t="shared" si="53"/>
        <v>0.80953962897557397</v>
      </c>
      <c r="R560">
        <f t="shared" si="54"/>
        <v>5.8253049615628951</v>
      </c>
    </row>
    <row r="561" spans="1:18" hidden="1" x14ac:dyDescent="0.25">
      <c r="A561" s="46">
        <v>2020</v>
      </c>
      <c r="B561" s="56">
        <v>3</v>
      </c>
      <c r="C561" s="47" t="s">
        <v>75</v>
      </c>
      <c r="D561" s="47" t="s">
        <v>42</v>
      </c>
      <c r="E561" s="47" t="s">
        <v>44</v>
      </c>
      <c r="F561" s="46">
        <v>21725</v>
      </c>
      <c r="G561" s="46">
        <v>2210</v>
      </c>
      <c r="H561" s="46">
        <v>7845</v>
      </c>
      <c r="I561" s="46">
        <v>7095</v>
      </c>
      <c r="J561" s="46">
        <v>2305</v>
      </c>
      <c r="K561" s="46">
        <v>995</v>
      </c>
      <c r="L561" s="46">
        <v>1270</v>
      </c>
      <c r="M561">
        <f t="shared" si="49"/>
        <v>0.25760728294255125</v>
      </c>
      <c r="N561">
        <f t="shared" si="50"/>
        <v>0.9144475722553459</v>
      </c>
      <c r="O561">
        <f t="shared" si="51"/>
        <v>0.82702428618886925</v>
      </c>
      <c r="P561">
        <f t="shared" si="52"/>
        <v>0.26868089917763832</v>
      </c>
      <c r="Q561">
        <f t="shared" si="53"/>
        <v>0.11598155951485904</v>
      </c>
      <c r="R561">
        <f t="shared" si="54"/>
        <v>0.1480367644059005</v>
      </c>
    </row>
    <row r="562" spans="1:18" hidden="1" x14ac:dyDescent="0.25">
      <c r="A562" s="46">
        <v>2020</v>
      </c>
      <c r="B562" s="56">
        <v>3</v>
      </c>
      <c r="C562" s="47" t="s">
        <v>75</v>
      </c>
      <c r="D562" s="47" t="s">
        <v>42</v>
      </c>
      <c r="E562" s="47" t="s">
        <v>45</v>
      </c>
      <c r="F562" s="46">
        <v>6780</v>
      </c>
      <c r="G562" s="46">
        <v>510</v>
      </c>
      <c r="H562" s="46">
        <v>1520</v>
      </c>
      <c r="I562" s="46">
        <v>2115</v>
      </c>
      <c r="J562" s="46">
        <v>705</v>
      </c>
      <c r="K562" s="46">
        <v>330</v>
      </c>
      <c r="L562" s="46">
        <v>1600</v>
      </c>
      <c r="M562">
        <f t="shared" si="49"/>
        <v>5.9447834525204135E-2</v>
      </c>
      <c r="N562">
        <f t="shared" si="50"/>
        <v>0.17717785976139272</v>
      </c>
      <c r="O562">
        <f t="shared" si="51"/>
        <v>0.24653366670746418</v>
      </c>
      <c r="P562">
        <f t="shared" si="52"/>
        <v>8.2177888902488061E-2</v>
      </c>
      <c r="Q562">
        <f t="shared" si="53"/>
        <v>3.8466245869249731E-2</v>
      </c>
      <c r="R562">
        <f t="shared" si="54"/>
        <v>0.18650301027515021</v>
      </c>
    </row>
    <row r="563" spans="1:18" hidden="1" x14ac:dyDescent="0.25">
      <c r="A563" s="46">
        <v>2020</v>
      </c>
      <c r="B563" s="56">
        <v>3</v>
      </c>
      <c r="C563" s="47" t="s">
        <v>75</v>
      </c>
      <c r="D563" s="47" t="s">
        <v>42</v>
      </c>
      <c r="E563" s="47" t="s">
        <v>46</v>
      </c>
      <c r="F563" s="46">
        <v>10975</v>
      </c>
      <c r="G563" s="46">
        <v>1200</v>
      </c>
      <c r="H563" s="46">
        <v>3085</v>
      </c>
      <c r="I563" s="46">
        <v>3650</v>
      </c>
      <c r="J563" s="46">
        <v>685</v>
      </c>
      <c r="K563" s="46">
        <v>250</v>
      </c>
      <c r="L563" s="46">
        <v>2105</v>
      </c>
      <c r="M563">
        <f t="shared" si="49"/>
        <v>0.13987725770636267</v>
      </c>
      <c r="N563">
        <f t="shared" si="50"/>
        <v>0.35960111668677402</v>
      </c>
      <c r="O563">
        <f t="shared" si="51"/>
        <v>0.42545999219018643</v>
      </c>
      <c r="P563">
        <f t="shared" si="52"/>
        <v>7.984660127404869E-2</v>
      </c>
      <c r="Q563">
        <f t="shared" si="53"/>
        <v>2.9141095355492221E-2</v>
      </c>
      <c r="R563">
        <f t="shared" si="54"/>
        <v>0.24536802289324453</v>
      </c>
    </row>
    <row r="564" spans="1:18" hidden="1" x14ac:dyDescent="0.25">
      <c r="A564" s="46">
        <v>2020</v>
      </c>
      <c r="B564" s="56">
        <v>3</v>
      </c>
      <c r="C564" s="47" t="s">
        <v>75</v>
      </c>
      <c r="D564" s="47" t="s">
        <v>42</v>
      </c>
      <c r="E564" s="47" t="s">
        <v>47</v>
      </c>
      <c r="F564" s="46">
        <v>13540</v>
      </c>
      <c r="G564" s="46">
        <v>1070</v>
      </c>
      <c r="H564" s="46">
        <v>3540</v>
      </c>
      <c r="I564" s="46">
        <v>4415</v>
      </c>
      <c r="J564" s="46">
        <v>1755</v>
      </c>
      <c r="K564" s="46">
        <v>610</v>
      </c>
      <c r="L564" s="46">
        <v>2150</v>
      </c>
      <c r="M564">
        <f t="shared" si="49"/>
        <v>0.12472388812150671</v>
      </c>
      <c r="N564">
        <f t="shared" si="50"/>
        <v>0.41263791023376983</v>
      </c>
      <c r="O564">
        <f t="shared" si="51"/>
        <v>0.51463174397799261</v>
      </c>
      <c r="P564">
        <f t="shared" si="52"/>
        <v>0.20457048939555539</v>
      </c>
      <c r="Q564">
        <f t="shared" si="53"/>
        <v>7.1104272667401019E-2</v>
      </c>
      <c r="R564">
        <f t="shared" si="54"/>
        <v>0.25061342005723308</v>
      </c>
    </row>
    <row r="565" spans="1:18" hidden="1" x14ac:dyDescent="0.25">
      <c r="A565" s="46">
        <v>2020</v>
      </c>
      <c r="B565" s="56">
        <v>3</v>
      </c>
      <c r="C565" s="47" t="s">
        <v>75</v>
      </c>
      <c r="D565" s="47" t="s">
        <v>42</v>
      </c>
      <c r="E565" s="47" t="s">
        <v>48</v>
      </c>
      <c r="F565" s="46">
        <v>51555</v>
      </c>
      <c r="G565" s="46">
        <v>2650</v>
      </c>
      <c r="H565" s="46">
        <v>8575</v>
      </c>
      <c r="I565" s="46">
        <v>10805</v>
      </c>
      <c r="J565" s="46">
        <v>6005</v>
      </c>
      <c r="K565" s="46">
        <v>3665</v>
      </c>
      <c r="L565" s="46">
        <v>19855</v>
      </c>
      <c r="M565">
        <f t="shared" si="49"/>
        <v>0.30889561076821753</v>
      </c>
      <c r="N565">
        <f t="shared" si="50"/>
        <v>0.99953957069338317</v>
      </c>
      <c r="O565">
        <f t="shared" si="51"/>
        <v>1.2594781412643739</v>
      </c>
      <c r="P565">
        <f t="shared" si="52"/>
        <v>0.69996911043892318</v>
      </c>
      <c r="Q565">
        <f t="shared" si="53"/>
        <v>0.42720845791151602</v>
      </c>
      <c r="R565">
        <f t="shared" si="54"/>
        <v>2.3143857931331921</v>
      </c>
    </row>
    <row r="566" spans="1:18" hidden="1" x14ac:dyDescent="0.25">
      <c r="A566" s="46">
        <v>2020</v>
      </c>
      <c r="B566" s="56">
        <v>3</v>
      </c>
      <c r="C566" s="47" t="s">
        <v>75</v>
      </c>
      <c r="D566" s="47" t="s">
        <v>42</v>
      </c>
      <c r="E566" s="47" t="s">
        <v>49</v>
      </c>
      <c r="F566" s="46">
        <v>21520</v>
      </c>
      <c r="G566" s="46">
        <v>570</v>
      </c>
      <c r="H566" s="46">
        <v>1985</v>
      </c>
      <c r="I566" s="46">
        <v>2105</v>
      </c>
      <c r="J566" s="46">
        <v>1320</v>
      </c>
      <c r="K566" s="46">
        <v>925</v>
      </c>
      <c r="L566" s="46">
        <v>14615</v>
      </c>
      <c r="M566">
        <f t="shared" si="49"/>
        <v>6.6441697410522263E-2</v>
      </c>
      <c r="N566">
        <f t="shared" si="50"/>
        <v>0.23138029712260824</v>
      </c>
      <c r="O566">
        <f t="shared" si="51"/>
        <v>0.24536802289324453</v>
      </c>
      <c r="P566">
        <f t="shared" si="52"/>
        <v>0.15386498347699892</v>
      </c>
      <c r="Q566">
        <f t="shared" si="53"/>
        <v>0.10782205281532123</v>
      </c>
      <c r="R566">
        <f t="shared" si="54"/>
        <v>1.7035884344820753</v>
      </c>
    </row>
    <row r="567" spans="1:18" hidden="1" x14ac:dyDescent="0.25">
      <c r="A567" s="46">
        <v>2020</v>
      </c>
      <c r="B567" s="56">
        <v>3</v>
      </c>
      <c r="C567" s="47" t="s">
        <v>75</v>
      </c>
      <c r="D567" s="47" t="s">
        <v>42</v>
      </c>
      <c r="E567" s="47" t="s">
        <v>50</v>
      </c>
      <c r="F567" s="46">
        <v>9545</v>
      </c>
      <c r="G567" s="46">
        <v>85</v>
      </c>
      <c r="H567" s="46">
        <v>330</v>
      </c>
      <c r="I567" s="46">
        <v>340</v>
      </c>
      <c r="J567" s="46">
        <v>240</v>
      </c>
      <c r="K567" s="46">
        <v>170</v>
      </c>
      <c r="L567" s="46">
        <v>8380</v>
      </c>
      <c r="M567">
        <f t="shared" si="49"/>
        <v>9.9079724208673559E-3</v>
      </c>
      <c r="N567">
        <f t="shared" si="50"/>
        <v>3.8466245869249731E-2</v>
      </c>
      <c r="O567">
        <f t="shared" si="51"/>
        <v>3.9631889683469423E-2</v>
      </c>
      <c r="P567">
        <f t="shared" si="52"/>
        <v>2.7975451541272532E-2</v>
      </c>
      <c r="Q567">
        <f t="shared" si="53"/>
        <v>1.9815944841734712E-2</v>
      </c>
      <c r="R567">
        <f t="shared" si="54"/>
        <v>0.97680951631609925</v>
      </c>
    </row>
    <row r="568" spans="1:18" hidden="1" x14ac:dyDescent="0.25">
      <c r="A568" s="46">
        <v>2020</v>
      </c>
      <c r="B568" s="56">
        <v>3</v>
      </c>
      <c r="C568" s="47" t="s">
        <v>75</v>
      </c>
      <c r="D568" s="47" t="s">
        <v>51</v>
      </c>
      <c r="E568" s="47" t="s">
        <v>43</v>
      </c>
      <c r="F568" s="46">
        <v>74275</v>
      </c>
      <c r="G568" s="46">
        <v>4695</v>
      </c>
      <c r="H568" s="46">
        <v>14450</v>
      </c>
      <c r="I568" s="46">
        <v>18695</v>
      </c>
      <c r="J568" s="46">
        <v>7580</v>
      </c>
      <c r="K568" s="46">
        <v>3760</v>
      </c>
      <c r="L568" s="46">
        <v>25090</v>
      </c>
      <c r="M568">
        <f t="shared" si="49"/>
        <v>0.54726977077614392</v>
      </c>
      <c r="N568">
        <f t="shared" si="50"/>
        <v>1.6843553115474506</v>
      </c>
      <c r="O568">
        <f t="shared" si="51"/>
        <v>2.1791711106837082</v>
      </c>
      <c r="P568">
        <f t="shared" si="52"/>
        <v>0.88355801117852417</v>
      </c>
      <c r="Q568">
        <f t="shared" si="53"/>
        <v>0.43828207414660303</v>
      </c>
      <c r="R568">
        <f t="shared" si="54"/>
        <v>2.9246003298771992</v>
      </c>
    </row>
    <row r="569" spans="1:18" hidden="1" x14ac:dyDescent="0.25">
      <c r="A569" s="46">
        <v>2020</v>
      </c>
      <c r="B569" s="56">
        <v>3</v>
      </c>
      <c r="C569" s="47" t="s">
        <v>75</v>
      </c>
      <c r="D569" s="47" t="s">
        <v>51</v>
      </c>
      <c r="E569" s="47" t="s">
        <v>44</v>
      </c>
      <c r="F569" s="46">
        <v>11220</v>
      </c>
      <c r="G569" s="46">
        <v>1125</v>
      </c>
      <c r="H569" s="46">
        <v>4040</v>
      </c>
      <c r="I569" s="46">
        <v>3705</v>
      </c>
      <c r="J569" s="46">
        <v>1190</v>
      </c>
      <c r="K569" s="46">
        <v>505</v>
      </c>
      <c r="L569" s="46">
        <v>650</v>
      </c>
      <c r="M569">
        <f t="shared" si="49"/>
        <v>0.131134929099715</v>
      </c>
      <c r="N569">
        <f t="shared" si="50"/>
        <v>0.47092010094475434</v>
      </c>
      <c r="O569">
        <f t="shared" si="51"/>
        <v>0.43187103316839476</v>
      </c>
      <c r="P569">
        <f t="shared" si="52"/>
        <v>0.13871161389214298</v>
      </c>
      <c r="Q569">
        <f t="shared" si="53"/>
        <v>5.8865012618094292E-2</v>
      </c>
      <c r="R569">
        <f t="shared" si="54"/>
        <v>7.5766847924279776E-2</v>
      </c>
    </row>
    <row r="570" spans="1:18" hidden="1" x14ac:dyDescent="0.25">
      <c r="A570" s="46">
        <v>2020</v>
      </c>
      <c r="B570" s="56">
        <v>3</v>
      </c>
      <c r="C570" s="47" t="s">
        <v>75</v>
      </c>
      <c r="D570" s="47" t="s">
        <v>51</v>
      </c>
      <c r="E570" s="47" t="s">
        <v>45</v>
      </c>
      <c r="F570" s="46">
        <v>3725</v>
      </c>
      <c r="G570" s="46">
        <v>290</v>
      </c>
      <c r="H570" s="46">
        <v>830</v>
      </c>
      <c r="I570" s="46">
        <v>1235</v>
      </c>
      <c r="J570" s="46">
        <v>365</v>
      </c>
      <c r="K570" s="46">
        <v>165</v>
      </c>
      <c r="L570" s="46">
        <v>840</v>
      </c>
      <c r="M570">
        <f t="shared" si="49"/>
        <v>3.3803670612370981E-2</v>
      </c>
      <c r="N570">
        <f t="shared" si="50"/>
        <v>9.6748436580234173E-2</v>
      </c>
      <c r="O570">
        <f t="shared" si="51"/>
        <v>0.14395701105613157</v>
      </c>
      <c r="P570">
        <f t="shared" si="52"/>
        <v>4.2545999219018645E-2</v>
      </c>
      <c r="Q570">
        <f t="shared" si="53"/>
        <v>1.9233122934624865E-2</v>
      </c>
      <c r="R570">
        <f t="shared" si="54"/>
        <v>9.7914080394453859E-2</v>
      </c>
    </row>
    <row r="571" spans="1:18" hidden="1" x14ac:dyDescent="0.25">
      <c r="A571" s="46">
        <v>2020</v>
      </c>
      <c r="B571" s="56">
        <v>3</v>
      </c>
      <c r="C571" s="47" t="s">
        <v>75</v>
      </c>
      <c r="D571" s="47" t="s">
        <v>51</v>
      </c>
      <c r="E571" s="47" t="s">
        <v>46</v>
      </c>
      <c r="F571" s="46">
        <v>6635</v>
      </c>
      <c r="G571" s="46">
        <v>680</v>
      </c>
      <c r="H571" s="46">
        <v>1655</v>
      </c>
      <c r="I571" s="46">
        <v>2660</v>
      </c>
      <c r="J571" s="46">
        <v>395</v>
      </c>
      <c r="K571" s="46">
        <v>140</v>
      </c>
      <c r="L571" s="46">
        <v>1105</v>
      </c>
      <c r="M571">
        <f t="shared" si="49"/>
        <v>7.9263779366938847E-2</v>
      </c>
      <c r="N571">
        <f t="shared" si="50"/>
        <v>0.19291405125335853</v>
      </c>
      <c r="O571">
        <f t="shared" si="51"/>
        <v>0.31006125458243722</v>
      </c>
      <c r="P571">
        <f t="shared" si="52"/>
        <v>4.6042930661677708E-2</v>
      </c>
      <c r="Q571">
        <f t="shared" si="53"/>
        <v>1.6319013399075644E-2</v>
      </c>
      <c r="R571">
        <f t="shared" si="54"/>
        <v>0.12880364147127563</v>
      </c>
    </row>
    <row r="572" spans="1:18" hidden="1" x14ac:dyDescent="0.25">
      <c r="A572" s="46">
        <v>2020</v>
      </c>
      <c r="B572" s="56">
        <v>3</v>
      </c>
      <c r="C572" s="47" t="s">
        <v>75</v>
      </c>
      <c r="D572" s="47" t="s">
        <v>51</v>
      </c>
      <c r="E572" s="47" t="s">
        <v>47</v>
      </c>
      <c r="F572" s="46">
        <v>8055</v>
      </c>
      <c r="G572" s="46">
        <v>625</v>
      </c>
      <c r="H572" s="46">
        <v>1950</v>
      </c>
      <c r="I572" s="46">
        <v>2930</v>
      </c>
      <c r="J572" s="46">
        <v>1065</v>
      </c>
      <c r="K572" s="46">
        <v>305</v>
      </c>
      <c r="L572" s="46">
        <v>1185</v>
      </c>
      <c r="M572">
        <f t="shared" si="49"/>
        <v>7.2852738388730562E-2</v>
      </c>
      <c r="N572">
        <f t="shared" si="50"/>
        <v>0.22730054377283931</v>
      </c>
      <c r="O572">
        <f t="shared" si="51"/>
        <v>0.34153363756636884</v>
      </c>
      <c r="P572">
        <f t="shared" si="52"/>
        <v>0.12414106621439687</v>
      </c>
      <c r="Q572">
        <f t="shared" si="53"/>
        <v>3.555213633370051E-2</v>
      </c>
      <c r="R572">
        <f t="shared" si="54"/>
        <v>0.13812879198503311</v>
      </c>
    </row>
    <row r="573" spans="1:18" hidden="1" x14ac:dyDescent="0.25">
      <c r="A573" s="46">
        <v>2020</v>
      </c>
      <c r="B573" s="56">
        <v>3</v>
      </c>
      <c r="C573" s="47" t="s">
        <v>75</v>
      </c>
      <c r="D573" s="47" t="s">
        <v>51</v>
      </c>
      <c r="E573" s="47" t="s">
        <v>48</v>
      </c>
      <c r="F573" s="46">
        <v>28390</v>
      </c>
      <c r="G573" s="46">
        <v>1615</v>
      </c>
      <c r="H573" s="46">
        <v>4710</v>
      </c>
      <c r="I573" s="46">
        <v>6755</v>
      </c>
      <c r="J573" s="46">
        <v>3690</v>
      </c>
      <c r="K573" s="46">
        <v>2020</v>
      </c>
      <c r="L573" s="46">
        <v>9600</v>
      </c>
      <c r="M573">
        <f t="shared" si="49"/>
        <v>0.18825147599647976</v>
      </c>
      <c r="N573">
        <f t="shared" si="50"/>
        <v>0.5490182364974735</v>
      </c>
      <c r="O573">
        <f t="shared" si="51"/>
        <v>0.78739239650539983</v>
      </c>
      <c r="P573">
        <f t="shared" si="52"/>
        <v>0.43012256744706517</v>
      </c>
      <c r="Q573">
        <f t="shared" si="53"/>
        <v>0.23546005047237717</v>
      </c>
      <c r="R573">
        <f t="shared" si="54"/>
        <v>1.1190180616509013</v>
      </c>
    </row>
    <row r="574" spans="1:18" hidden="1" x14ac:dyDescent="0.25">
      <c r="A574" s="46">
        <v>2020</v>
      </c>
      <c r="B574" s="56">
        <v>3</v>
      </c>
      <c r="C574" s="47" t="s">
        <v>75</v>
      </c>
      <c r="D574" s="47" t="s">
        <v>51</v>
      </c>
      <c r="E574" s="47" t="s">
        <v>49</v>
      </c>
      <c r="F574" s="46">
        <v>11630</v>
      </c>
      <c r="G574" s="46">
        <v>330</v>
      </c>
      <c r="H574" s="46">
        <v>1105</v>
      </c>
      <c r="I574" s="46">
        <v>1250</v>
      </c>
      <c r="J574" s="46">
        <v>765</v>
      </c>
      <c r="K574" s="46">
        <v>550</v>
      </c>
      <c r="L574" s="46">
        <v>7630</v>
      </c>
      <c r="M574">
        <f t="shared" si="49"/>
        <v>3.8466245869249731E-2</v>
      </c>
      <c r="N574">
        <f t="shared" si="50"/>
        <v>0.12880364147127563</v>
      </c>
      <c r="O574">
        <f t="shared" si="51"/>
        <v>0.14570547677746112</v>
      </c>
      <c r="P574">
        <f t="shared" si="52"/>
        <v>8.9171751787806203E-2</v>
      </c>
      <c r="Q574">
        <f t="shared" si="53"/>
        <v>6.4110409782082892E-2</v>
      </c>
      <c r="R574">
        <f t="shared" si="54"/>
        <v>0.88938623024962271</v>
      </c>
    </row>
    <row r="575" spans="1:18" hidden="1" x14ac:dyDescent="0.25">
      <c r="A575" s="46">
        <v>2020</v>
      </c>
      <c r="B575" s="56">
        <v>3</v>
      </c>
      <c r="C575" s="47" t="s">
        <v>75</v>
      </c>
      <c r="D575" s="47" t="s">
        <v>51</v>
      </c>
      <c r="E575" s="47" t="s">
        <v>50</v>
      </c>
      <c r="F575" s="46">
        <v>4625</v>
      </c>
      <c r="G575" s="46">
        <v>35</v>
      </c>
      <c r="H575" s="46">
        <v>160</v>
      </c>
      <c r="I575" s="46">
        <v>165</v>
      </c>
      <c r="J575" s="46">
        <v>110</v>
      </c>
      <c r="K575" s="46">
        <v>75</v>
      </c>
      <c r="L575" s="46">
        <v>4075</v>
      </c>
      <c r="M575">
        <f t="shared" si="49"/>
        <v>4.0797533497689111E-3</v>
      </c>
      <c r="N575">
        <f t="shared" si="50"/>
        <v>1.8650301027515023E-2</v>
      </c>
      <c r="O575">
        <f t="shared" si="51"/>
        <v>1.9233122934624865E-2</v>
      </c>
      <c r="P575">
        <f t="shared" si="52"/>
        <v>1.2822081956416579E-2</v>
      </c>
      <c r="Q575">
        <f t="shared" si="53"/>
        <v>8.7423286066476667E-3</v>
      </c>
      <c r="R575">
        <f t="shared" si="54"/>
        <v>0.47499985429452324</v>
      </c>
    </row>
    <row r="576" spans="1:18" hidden="1" x14ac:dyDescent="0.25">
      <c r="A576" s="46">
        <v>2020</v>
      </c>
      <c r="B576" s="56">
        <v>3</v>
      </c>
      <c r="C576" s="47" t="s">
        <v>75</v>
      </c>
      <c r="D576" s="47" t="s">
        <v>52</v>
      </c>
      <c r="E576" s="47" t="s">
        <v>43</v>
      </c>
      <c r="F576" s="46">
        <v>61360</v>
      </c>
      <c r="G576" s="46">
        <v>3595</v>
      </c>
      <c r="H576" s="46">
        <v>12435</v>
      </c>
      <c r="I576" s="46">
        <v>11830</v>
      </c>
      <c r="J576" s="46">
        <v>5435</v>
      </c>
      <c r="K576" s="46">
        <v>3185</v>
      </c>
      <c r="L576" s="46">
        <v>24890</v>
      </c>
      <c r="M576">
        <f t="shared" si="49"/>
        <v>0.41904895121197816</v>
      </c>
      <c r="N576">
        <f t="shared" si="50"/>
        <v>1.4494780829821832</v>
      </c>
      <c r="O576">
        <f t="shared" si="51"/>
        <v>1.378956632221892</v>
      </c>
      <c r="P576">
        <f t="shared" si="52"/>
        <v>0.63352741302840099</v>
      </c>
      <c r="Q576">
        <f t="shared" si="53"/>
        <v>0.37125755482897094</v>
      </c>
      <c r="R576">
        <f t="shared" si="54"/>
        <v>2.9012874535928055</v>
      </c>
    </row>
    <row r="577" spans="1:18" hidden="1" x14ac:dyDescent="0.25">
      <c r="A577" s="46">
        <v>2020</v>
      </c>
      <c r="B577" s="56">
        <v>3</v>
      </c>
      <c r="C577" s="47" t="s">
        <v>75</v>
      </c>
      <c r="D577" s="47" t="s">
        <v>52</v>
      </c>
      <c r="E577" s="47" t="s">
        <v>44</v>
      </c>
      <c r="F577" s="46">
        <v>10505</v>
      </c>
      <c r="G577" s="46">
        <v>1085</v>
      </c>
      <c r="H577" s="46">
        <v>3805</v>
      </c>
      <c r="I577" s="46">
        <v>3390</v>
      </c>
      <c r="J577" s="46">
        <v>1115</v>
      </c>
      <c r="K577" s="46">
        <v>490</v>
      </c>
      <c r="L577" s="46">
        <v>620</v>
      </c>
      <c r="M577">
        <f t="shared" si="49"/>
        <v>0.12647235384283623</v>
      </c>
      <c r="N577">
        <f t="shared" si="50"/>
        <v>0.44352747131059156</v>
      </c>
      <c r="O577">
        <f t="shared" si="51"/>
        <v>0.39515325302047455</v>
      </c>
      <c r="P577">
        <f t="shared" si="52"/>
        <v>0.12996928528549531</v>
      </c>
      <c r="Q577">
        <f t="shared" si="53"/>
        <v>5.7116546896764757E-2</v>
      </c>
      <c r="R577">
        <f t="shared" si="54"/>
        <v>7.2269916481620719E-2</v>
      </c>
    </row>
    <row r="578" spans="1:18" hidden="1" x14ac:dyDescent="0.25">
      <c r="A578" s="46">
        <v>2020</v>
      </c>
      <c r="B578" s="56">
        <v>3</v>
      </c>
      <c r="C578" s="47" t="s">
        <v>75</v>
      </c>
      <c r="D578" s="47" t="s">
        <v>52</v>
      </c>
      <c r="E578" s="47" t="s">
        <v>45</v>
      </c>
      <c r="F578" s="46">
        <v>3055</v>
      </c>
      <c r="G578" s="46">
        <v>220</v>
      </c>
      <c r="H578" s="46">
        <v>690</v>
      </c>
      <c r="I578" s="46">
        <v>880</v>
      </c>
      <c r="J578" s="46">
        <v>340</v>
      </c>
      <c r="K578" s="46">
        <v>165</v>
      </c>
      <c r="L578" s="46">
        <v>760</v>
      </c>
      <c r="M578">
        <f t="shared" si="49"/>
        <v>2.5644163912833157E-2</v>
      </c>
      <c r="N578">
        <f t="shared" si="50"/>
        <v>8.0429423181158533E-2</v>
      </c>
      <c r="O578">
        <f t="shared" si="51"/>
        <v>0.10257665565133263</v>
      </c>
      <c r="P578">
        <f t="shared" si="52"/>
        <v>3.9631889683469423E-2</v>
      </c>
      <c r="Q578">
        <f t="shared" si="53"/>
        <v>1.9233122934624865E-2</v>
      </c>
      <c r="R578">
        <f t="shared" si="54"/>
        <v>8.858892988069636E-2</v>
      </c>
    </row>
    <row r="579" spans="1:18" hidden="1" x14ac:dyDescent="0.25">
      <c r="A579" s="46">
        <v>2020</v>
      </c>
      <c r="B579" s="56">
        <v>3</v>
      </c>
      <c r="C579" s="47" t="s">
        <v>75</v>
      </c>
      <c r="D579" s="47" t="s">
        <v>52</v>
      </c>
      <c r="E579" s="47" t="s">
        <v>46</v>
      </c>
      <c r="F579" s="46">
        <v>4340</v>
      </c>
      <c r="G579" s="46">
        <v>520</v>
      </c>
      <c r="H579" s="46">
        <v>1430</v>
      </c>
      <c r="I579" s="46">
        <v>990</v>
      </c>
      <c r="J579" s="46">
        <v>285</v>
      </c>
      <c r="K579" s="46">
        <v>110</v>
      </c>
      <c r="L579" s="46">
        <v>1005</v>
      </c>
      <c r="M579">
        <f t="shared" si="49"/>
        <v>6.0613478339423821E-2</v>
      </c>
      <c r="N579">
        <f t="shared" si="50"/>
        <v>0.16668706543341552</v>
      </c>
      <c r="O579">
        <f t="shared" si="51"/>
        <v>0.1153987376077492</v>
      </c>
      <c r="P579">
        <f t="shared" si="52"/>
        <v>3.3220848705261131E-2</v>
      </c>
      <c r="Q579">
        <f t="shared" si="53"/>
        <v>1.2822081956416579E-2</v>
      </c>
      <c r="R579">
        <f t="shared" si="54"/>
        <v>0.11714720332907873</v>
      </c>
    </row>
    <row r="580" spans="1:18" hidden="1" x14ac:dyDescent="0.25">
      <c r="A580" s="46">
        <v>2020</v>
      </c>
      <c r="B580" s="56">
        <v>3</v>
      </c>
      <c r="C580" s="47" t="s">
        <v>75</v>
      </c>
      <c r="D580" s="47" t="s">
        <v>52</v>
      </c>
      <c r="E580" s="47" t="s">
        <v>47</v>
      </c>
      <c r="F580" s="46">
        <v>5485</v>
      </c>
      <c r="G580" s="46">
        <v>445</v>
      </c>
      <c r="H580" s="46">
        <v>1590</v>
      </c>
      <c r="I580" s="46">
        <v>1490</v>
      </c>
      <c r="J580" s="46">
        <v>690</v>
      </c>
      <c r="K580" s="46">
        <v>305</v>
      </c>
      <c r="L580" s="46">
        <v>965</v>
      </c>
      <c r="M580">
        <f t="shared" si="49"/>
        <v>5.1871149732776158E-2</v>
      </c>
      <c r="N580">
        <f t="shared" si="50"/>
        <v>0.18533736646093052</v>
      </c>
      <c r="O580">
        <f t="shared" si="51"/>
        <v>0.17368092831873364</v>
      </c>
      <c r="P580">
        <f t="shared" si="52"/>
        <v>8.0429423181158533E-2</v>
      </c>
      <c r="Q580">
        <f t="shared" si="53"/>
        <v>3.555213633370051E-2</v>
      </c>
      <c r="R580">
        <f t="shared" si="54"/>
        <v>0.11248462807219997</v>
      </c>
    </row>
    <row r="581" spans="1:18" hidden="1" x14ac:dyDescent="0.25">
      <c r="A581" s="46">
        <v>2020</v>
      </c>
      <c r="B581" s="56">
        <v>3</v>
      </c>
      <c r="C581" s="47" t="s">
        <v>75</v>
      </c>
      <c r="D581" s="47" t="s">
        <v>52</v>
      </c>
      <c r="E581" s="47" t="s">
        <v>48</v>
      </c>
      <c r="F581" s="46">
        <v>23165</v>
      </c>
      <c r="G581" s="46">
        <v>1035</v>
      </c>
      <c r="H581" s="46">
        <v>3865</v>
      </c>
      <c r="I581" s="46">
        <v>4045</v>
      </c>
      <c r="J581" s="46">
        <v>2315</v>
      </c>
      <c r="K581" s="46">
        <v>1645</v>
      </c>
      <c r="L581" s="46">
        <v>10255</v>
      </c>
      <c r="M581">
        <f t="shared" si="49"/>
        <v>0.1206441347717378</v>
      </c>
      <c r="N581">
        <f t="shared" si="50"/>
        <v>0.45052133419590973</v>
      </c>
      <c r="O581">
        <f t="shared" si="51"/>
        <v>0.47150292285186413</v>
      </c>
      <c r="P581">
        <f t="shared" si="52"/>
        <v>0.26984654299185795</v>
      </c>
      <c r="Q581">
        <f t="shared" si="53"/>
        <v>0.19174840743913882</v>
      </c>
      <c r="R581">
        <f t="shared" si="54"/>
        <v>1.195367731482291</v>
      </c>
    </row>
    <row r="582" spans="1:18" hidden="1" x14ac:dyDescent="0.25">
      <c r="A582" s="46">
        <v>2020</v>
      </c>
      <c r="B582" s="56">
        <v>3</v>
      </c>
      <c r="C582" s="47" t="s">
        <v>75</v>
      </c>
      <c r="D582" s="47" t="s">
        <v>52</v>
      </c>
      <c r="E582" s="47" t="s">
        <v>49</v>
      </c>
      <c r="F582" s="46">
        <v>9890</v>
      </c>
      <c r="G582" s="46">
        <v>240</v>
      </c>
      <c r="H582" s="46">
        <v>880</v>
      </c>
      <c r="I582" s="46">
        <v>855</v>
      </c>
      <c r="J582" s="46">
        <v>555</v>
      </c>
      <c r="K582" s="46">
        <v>375</v>
      </c>
      <c r="L582" s="46">
        <v>6980</v>
      </c>
      <c r="M582">
        <f t="shared" si="49"/>
        <v>2.7975451541272532E-2</v>
      </c>
      <c r="N582">
        <f t="shared" si="50"/>
        <v>0.10257665565133263</v>
      </c>
      <c r="O582">
        <f t="shared" si="51"/>
        <v>9.9662546115783401E-2</v>
      </c>
      <c r="P582">
        <f t="shared" si="52"/>
        <v>6.4693231689192734E-2</v>
      </c>
      <c r="Q582">
        <f t="shared" si="53"/>
        <v>4.371164303323833E-2</v>
      </c>
      <c r="R582">
        <f t="shared" si="54"/>
        <v>0.81361938232534292</v>
      </c>
    </row>
    <row r="583" spans="1:18" hidden="1" x14ac:dyDescent="0.25">
      <c r="A583" s="46">
        <v>2020</v>
      </c>
      <c r="B583" s="56">
        <v>3</v>
      </c>
      <c r="C583" s="47" t="s">
        <v>75</v>
      </c>
      <c r="D583" s="47" t="s">
        <v>52</v>
      </c>
      <c r="E583" s="47" t="s">
        <v>50</v>
      </c>
      <c r="F583" s="46">
        <v>4920</v>
      </c>
      <c r="G583" s="46">
        <v>50</v>
      </c>
      <c r="H583" s="46">
        <v>170</v>
      </c>
      <c r="I583" s="46">
        <v>175</v>
      </c>
      <c r="J583" s="46">
        <v>130</v>
      </c>
      <c r="K583" s="46">
        <v>90</v>
      </c>
      <c r="L583" s="46">
        <v>4300</v>
      </c>
      <c r="M583">
        <f t="shared" si="49"/>
        <v>5.8282190710984439E-3</v>
      </c>
      <c r="N583">
        <f t="shared" si="50"/>
        <v>1.9815944841734712E-2</v>
      </c>
      <c r="O583">
        <f t="shared" si="51"/>
        <v>2.0398766748844555E-2</v>
      </c>
      <c r="P583">
        <f t="shared" si="52"/>
        <v>1.5153369584855955E-2</v>
      </c>
      <c r="Q583">
        <f t="shared" si="53"/>
        <v>1.04907943279772E-2</v>
      </c>
      <c r="R583">
        <f t="shared" si="54"/>
        <v>0.50122684011446617</v>
      </c>
    </row>
    <row r="584" spans="1:18" x14ac:dyDescent="0.25">
      <c r="A584" s="46">
        <v>2020</v>
      </c>
      <c r="B584" s="56">
        <v>351</v>
      </c>
      <c r="C584" s="47" t="s">
        <v>76</v>
      </c>
      <c r="D584" s="47" t="s">
        <v>42</v>
      </c>
      <c r="E584" s="47" t="s">
        <v>43</v>
      </c>
      <c r="F584" s="46">
        <v>14300</v>
      </c>
      <c r="G584" s="46">
        <v>755</v>
      </c>
      <c r="H584" s="46">
        <v>2580</v>
      </c>
      <c r="I584" s="46">
        <v>3720</v>
      </c>
      <c r="J584" s="46">
        <v>1370</v>
      </c>
      <c r="K584" s="46">
        <v>675</v>
      </c>
      <c r="L584" s="46">
        <v>5195</v>
      </c>
      <c r="M584">
        <f t="shared" si="49"/>
        <v>8.8006107973586503E-2</v>
      </c>
      <c r="N584">
        <f t="shared" si="50"/>
        <v>0.30073610406867973</v>
      </c>
      <c r="O584">
        <f t="shared" si="51"/>
        <v>0.43361949888972423</v>
      </c>
      <c r="P584">
        <f t="shared" si="52"/>
        <v>0.15969320254809738</v>
      </c>
      <c r="Q584">
        <f t="shared" si="53"/>
        <v>7.8680957459829004E-2</v>
      </c>
      <c r="R584">
        <f t="shared" si="54"/>
        <v>0.60555196148712842</v>
      </c>
    </row>
    <row r="585" spans="1:18" hidden="1" x14ac:dyDescent="0.25">
      <c r="A585" s="46">
        <v>2020</v>
      </c>
      <c r="B585" s="56">
        <v>351</v>
      </c>
      <c r="C585" s="47" t="s">
        <v>76</v>
      </c>
      <c r="D585" s="47" t="s">
        <v>42</v>
      </c>
      <c r="E585" s="47" t="s">
        <v>44</v>
      </c>
      <c r="F585" s="46">
        <v>2605</v>
      </c>
      <c r="G585" s="46">
        <v>235</v>
      </c>
      <c r="H585" s="46">
        <v>875</v>
      </c>
      <c r="I585" s="46">
        <v>980</v>
      </c>
      <c r="J585" s="46">
        <v>270</v>
      </c>
      <c r="K585" s="46">
        <v>115</v>
      </c>
      <c r="L585" s="46">
        <v>125</v>
      </c>
      <c r="M585">
        <f t="shared" ref="M585:M648" si="55">G585/$F$8*100</f>
        <v>2.7392629634162689E-2</v>
      </c>
      <c r="N585">
        <f t="shared" ref="N585:N648" si="56">H585/$F$8*100</f>
        <v>0.10199383374422277</v>
      </c>
      <c r="O585">
        <f t="shared" ref="O585:O648" si="57">I585/$F$8*100</f>
        <v>0.11423309379352951</v>
      </c>
      <c r="P585">
        <f t="shared" ref="P585:P648" si="58">J585/$F$8*100</f>
        <v>3.1472382983931603E-2</v>
      </c>
      <c r="Q585">
        <f t="shared" ref="Q585:Q648" si="59">K585/$F$8*100</f>
        <v>1.3404903863526422E-2</v>
      </c>
      <c r="R585">
        <f t="shared" ref="R585:R648" si="60">L585/$F$8*100</f>
        <v>1.4570547677746111E-2</v>
      </c>
    </row>
    <row r="586" spans="1:18" hidden="1" x14ac:dyDescent="0.25">
      <c r="A586" s="46">
        <v>2020</v>
      </c>
      <c r="B586" s="56">
        <v>351</v>
      </c>
      <c r="C586" s="47" t="s">
        <v>76</v>
      </c>
      <c r="D586" s="47" t="s">
        <v>42</v>
      </c>
      <c r="E586" s="47" t="s">
        <v>45</v>
      </c>
      <c r="F586" s="46">
        <v>830</v>
      </c>
      <c r="G586" s="46">
        <v>55</v>
      </c>
      <c r="H586" s="46">
        <v>135</v>
      </c>
      <c r="I586" s="46">
        <v>345</v>
      </c>
      <c r="J586" s="46">
        <v>95</v>
      </c>
      <c r="K586" s="46">
        <v>35</v>
      </c>
      <c r="L586" s="46">
        <v>170</v>
      </c>
      <c r="M586">
        <f t="shared" si="55"/>
        <v>6.4110409782082893E-3</v>
      </c>
      <c r="N586">
        <f t="shared" si="56"/>
        <v>1.5736191491965801E-2</v>
      </c>
      <c r="O586">
        <f t="shared" si="57"/>
        <v>4.0214711590579266E-2</v>
      </c>
      <c r="P586">
        <f t="shared" si="58"/>
        <v>1.1073616235087045E-2</v>
      </c>
      <c r="Q586">
        <f t="shared" si="59"/>
        <v>4.0797533497689111E-3</v>
      </c>
      <c r="R586">
        <f t="shared" si="60"/>
        <v>1.9815944841734712E-2</v>
      </c>
    </row>
    <row r="587" spans="1:18" hidden="1" x14ac:dyDescent="0.25">
      <c r="A587" s="46">
        <v>2020</v>
      </c>
      <c r="B587" s="56">
        <v>351</v>
      </c>
      <c r="C587" s="47" t="s">
        <v>76</v>
      </c>
      <c r="D587" s="47" t="s">
        <v>42</v>
      </c>
      <c r="E587" s="47" t="s">
        <v>46</v>
      </c>
      <c r="F587" s="46">
        <v>1145</v>
      </c>
      <c r="G587" s="46">
        <v>100</v>
      </c>
      <c r="H587" s="46">
        <v>260</v>
      </c>
      <c r="I587" s="46">
        <v>475</v>
      </c>
      <c r="J587" s="46">
        <v>85</v>
      </c>
      <c r="K587" s="46">
        <v>20</v>
      </c>
      <c r="L587" s="46">
        <v>205</v>
      </c>
      <c r="M587">
        <f t="shared" si="55"/>
        <v>1.1656438142196888E-2</v>
      </c>
      <c r="N587">
        <f t="shared" si="56"/>
        <v>3.030673916971191E-2</v>
      </c>
      <c r="O587">
        <f t="shared" si="57"/>
        <v>5.5368081175435221E-2</v>
      </c>
      <c r="P587">
        <f t="shared" si="58"/>
        <v>9.9079724208673559E-3</v>
      </c>
      <c r="Q587">
        <f t="shared" si="59"/>
        <v>2.3312876284393778E-3</v>
      </c>
      <c r="R587">
        <f t="shared" si="60"/>
        <v>2.3895698191503622E-2</v>
      </c>
    </row>
    <row r="588" spans="1:18" hidden="1" x14ac:dyDescent="0.25">
      <c r="A588" s="46">
        <v>2020</v>
      </c>
      <c r="B588" s="56">
        <v>351</v>
      </c>
      <c r="C588" s="47" t="s">
        <v>76</v>
      </c>
      <c r="D588" s="47" t="s">
        <v>42</v>
      </c>
      <c r="E588" s="47" t="s">
        <v>47</v>
      </c>
      <c r="F588" s="46">
        <v>1240</v>
      </c>
      <c r="G588" s="46">
        <v>70</v>
      </c>
      <c r="H588" s="46">
        <v>290</v>
      </c>
      <c r="I588" s="46">
        <v>460</v>
      </c>
      <c r="J588" s="46">
        <v>130</v>
      </c>
      <c r="K588" s="46">
        <v>70</v>
      </c>
      <c r="L588" s="46">
        <v>215</v>
      </c>
      <c r="M588">
        <f t="shared" si="55"/>
        <v>8.1595066995378222E-3</v>
      </c>
      <c r="N588">
        <f t="shared" si="56"/>
        <v>3.3803670612370981E-2</v>
      </c>
      <c r="O588">
        <f t="shared" si="57"/>
        <v>5.3619615454105686E-2</v>
      </c>
      <c r="P588">
        <f t="shared" si="58"/>
        <v>1.5153369584855955E-2</v>
      </c>
      <c r="Q588">
        <f t="shared" si="59"/>
        <v>8.1595066995378222E-3</v>
      </c>
      <c r="R588">
        <f t="shared" si="60"/>
        <v>2.5061342005723308E-2</v>
      </c>
    </row>
    <row r="589" spans="1:18" hidden="1" x14ac:dyDescent="0.25">
      <c r="A589" s="46">
        <v>2020</v>
      </c>
      <c r="B589" s="56">
        <v>351</v>
      </c>
      <c r="C589" s="47" t="s">
        <v>76</v>
      </c>
      <c r="D589" s="47" t="s">
        <v>42</v>
      </c>
      <c r="E589" s="47" t="s">
        <v>48</v>
      </c>
      <c r="F589" s="46">
        <v>5065</v>
      </c>
      <c r="G589" s="46">
        <v>220</v>
      </c>
      <c r="H589" s="46">
        <v>785</v>
      </c>
      <c r="I589" s="46">
        <v>1180</v>
      </c>
      <c r="J589" s="46">
        <v>630</v>
      </c>
      <c r="K589" s="46">
        <v>325</v>
      </c>
      <c r="L589" s="46">
        <v>1925</v>
      </c>
      <c r="M589">
        <f t="shared" si="55"/>
        <v>2.5644163912833157E-2</v>
      </c>
      <c r="N589">
        <f t="shared" si="56"/>
        <v>9.1503039416245574E-2</v>
      </c>
      <c r="O589">
        <f t="shared" si="57"/>
        <v>0.1375459700779233</v>
      </c>
      <c r="P589">
        <f t="shared" si="58"/>
        <v>7.3435560295840405E-2</v>
      </c>
      <c r="Q589">
        <f t="shared" si="59"/>
        <v>3.7883423962139888E-2</v>
      </c>
      <c r="R589">
        <f t="shared" si="60"/>
        <v>0.22438643423729013</v>
      </c>
    </row>
    <row r="590" spans="1:18" hidden="1" x14ac:dyDescent="0.25">
      <c r="A590" s="46">
        <v>2020</v>
      </c>
      <c r="B590" s="56">
        <v>351</v>
      </c>
      <c r="C590" s="47" t="s">
        <v>76</v>
      </c>
      <c r="D590" s="47" t="s">
        <v>42</v>
      </c>
      <c r="E590" s="47" t="s">
        <v>49</v>
      </c>
      <c r="F590" s="46">
        <v>2220</v>
      </c>
      <c r="G590" s="46">
        <v>65</v>
      </c>
      <c r="H590" s="46">
        <v>200</v>
      </c>
      <c r="I590" s="46">
        <v>225</v>
      </c>
      <c r="J590" s="46">
        <v>140</v>
      </c>
      <c r="K590" s="46">
        <v>95</v>
      </c>
      <c r="L590" s="46">
        <v>1495</v>
      </c>
      <c r="M590">
        <f t="shared" si="55"/>
        <v>7.5766847924279776E-3</v>
      </c>
      <c r="N590">
        <f t="shared" si="56"/>
        <v>2.3312876284393776E-2</v>
      </c>
      <c r="O590">
        <f t="shared" si="57"/>
        <v>2.6226985819943E-2</v>
      </c>
      <c r="P590">
        <f t="shared" si="58"/>
        <v>1.6319013399075644E-2</v>
      </c>
      <c r="Q590">
        <f t="shared" si="59"/>
        <v>1.1073616235087045E-2</v>
      </c>
      <c r="R590">
        <f t="shared" si="60"/>
        <v>0.17426375022584351</v>
      </c>
    </row>
    <row r="591" spans="1:18" hidden="1" x14ac:dyDescent="0.25">
      <c r="A591" s="46">
        <v>2020</v>
      </c>
      <c r="B591" s="56">
        <v>351</v>
      </c>
      <c r="C591" s="47" t="s">
        <v>76</v>
      </c>
      <c r="D591" s="47" t="s">
        <v>42</v>
      </c>
      <c r="E591" s="47" t="s">
        <v>50</v>
      </c>
      <c r="F591" s="46">
        <v>1195</v>
      </c>
      <c r="G591" s="46">
        <v>10</v>
      </c>
      <c r="H591" s="46">
        <v>40</v>
      </c>
      <c r="I591" s="46">
        <v>55</v>
      </c>
      <c r="J591" s="46">
        <v>20</v>
      </c>
      <c r="K591" s="46">
        <v>20</v>
      </c>
      <c r="L591" s="46">
        <v>1055</v>
      </c>
      <c r="M591">
        <f t="shared" si="55"/>
        <v>1.1656438142196889E-3</v>
      </c>
      <c r="N591">
        <f t="shared" si="56"/>
        <v>4.6625752568787556E-3</v>
      </c>
      <c r="O591">
        <f t="shared" si="57"/>
        <v>6.4110409782082893E-3</v>
      </c>
      <c r="P591">
        <f t="shared" si="58"/>
        <v>2.3312876284393778E-3</v>
      </c>
      <c r="Q591">
        <f t="shared" si="59"/>
        <v>2.3312876284393778E-3</v>
      </c>
      <c r="R591">
        <f t="shared" si="60"/>
        <v>0.12297542240017718</v>
      </c>
    </row>
    <row r="592" spans="1:18" hidden="1" x14ac:dyDescent="0.25">
      <c r="A592" s="46">
        <v>2020</v>
      </c>
      <c r="B592" s="56">
        <v>351</v>
      </c>
      <c r="C592" s="47" t="s">
        <v>76</v>
      </c>
      <c r="D592" s="47" t="s">
        <v>51</v>
      </c>
      <c r="E592" s="47" t="s">
        <v>43</v>
      </c>
      <c r="F592" s="46">
        <v>7595</v>
      </c>
      <c r="G592" s="46">
        <v>410</v>
      </c>
      <c r="H592" s="46">
        <v>1320</v>
      </c>
      <c r="I592" s="46">
        <v>2135</v>
      </c>
      <c r="J592" s="46">
        <v>770</v>
      </c>
      <c r="K592" s="46">
        <v>330</v>
      </c>
      <c r="L592" s="46">
        <v>2635</v>
      </c>
      <c r="M592">
        <f t="shared" si="55"/>
        <v>4.7791396383007244E-2</v>
      </c>
      <c r="N592">
        <f t="shared" si="56"/>
        <v>0.15386498347699892</v>
      </c>
      <c r="O592">
        <f t="shared" si="57"/>
        <v>0.24886495433590355</v>
      </c>
      <c r="P592">
        <f t="shared" si="58"/>
        <v>8.9754573694916046E-2</v>
      </c>
      <c r="Q592">
        <f t="shared" si="59"/>
        <v>3.8466245869249731E-2</v>
      </c>
      <c r="R592">
        <f t="shared" si="60"/>
        <v>0.307147145046888</v>
      </c>
    </row>
    <row r="593" spans="1:18" hidden="1" x14ac:dyDescent="0.25">
      <c r="A593" s="46">
        <v>2020</v>
      </c>
      <c r="B593" s="56">
        <v>351</v>
      </c>
      <c r="C593" s="47" t="s">
        <v>76</v>
      </c>
      <c r="D593" s="47" t="s">
        <v>51</v>
      </c>
      <c r="E593" s="47" t="s">
        <v>44</v>
      </c>
      <c r="F593" s="46">
        <v>1310</v>
      </c>
      <c r="G593" s="46">
        <v>110</v>
      </c>
      <c r="H593" s="46">
        <v>440</v>
      </c>
      <c r="I593" s="46">
        <v>505</v>
      </c>
      <c r="J593" s="46">
        <v>130</v>
      </c>
      <c r="K593" s="46">
        <v>65</v>
      </c>
      <c r="L593" s="46">
        <v>55</v>
      </c>
      <c r="M593">
        <f t="shared" si="55"/>
        <v>1.2822081956416579E-2</v>
      </c>
      <c r="N593">
        <f t="shared" si="56"/>
        <v>5.1288327825666315E-2</v>
      </c>
      <c r="O593">
        <f t="shared" si="57"/>
        <v>5.8865012618094292E-2</v>
      </c>
      <c r="P593">
        <f t="shared" si="58"/>
        <v>1.5153369584855955E-2</v>
      </c>
      <c r="Q593">
        <f t="shared" si="59"/>
        <v>7.5766847924279776E-3</v>
      </c>
      <c r="R593">
        <f t="shared" si="60"/>
        <v>6.4110409782082893E-3</v>
      </c>
    </row>
    <row r="594" spans="1:18" hidden="1" x14ac:dyDescent="0.25">
      <c r="A594" s="46">
        <v>2020</v>
      </c>
      <c r="B594" s="56">
        <v>351</v>
      </c>
      <c r="C594" s="47" t="s">
        <v>76</v>
      </c>
      <c r="D594" s="47" t="s">
        <v>51</v>
      </c>
      <c r="E594" s="47" t="s">
        <v>45</v>
      </c>
      <c r="F594" s="46">
        <v>465</v>
      </c>
      <c r="G594" s="46">
        <v>35</v>
      </c>
      <c r="H594" s="46">
        <v>80</v>
      </c>
      <c r="I594" s="46">
        <v>200</v>
      </c>
      <c r="J594" s="46">
        <v>50</v>
      </c>
      <c r="K594" s="46">
        <v>15</v>
      </c>
      <c r="L594" s="46">
        <v>90</v>
      </c>
      <c r="M594">
        <f t="shared" si="55"/>
        <v>4.0797533497689111E-3</v>
      </c>
      <c r="N594">
        <f t="shared" si="56"/>
        <v>9.3251505137575113E-3</v>
      </c>
      <c r="O594">
        <f t="shared" si="57"/>
        <v>2.3312876284393776E-2</v>
      </c>
      <c r="P594">
        <f t="shared" si="58"/>
        <v>5.8282190710984439E-3</v>
      </c>
      <c r="Q594">
        <f t="shared" si="59"/>
        <v>1.7484657213295333E-3</v>
      </c>
      <c r="R594">
        <f t="shared" si="60"/>
        <v>1.04907943279772E-2</v>
      </c>
    </row>
    <row r="595" spans="1:18" hidden="1" x14ac:dyDescent="0.25">
      <c r="A595" s="46">
        <v>2020</v>
      </c>
      <c r="B595" s="56">
        <v>351</v>
      </c>
      <c r="C595" s="47" t="s">
        <v>76</v>
      </c>
      <c r="D595" s="47" t="s">
        <v>51</v>
      </c>
      <c r="E595" s="47" t="s">
        <v>46</v>
      </c>
      <c r="F595" s="46">
        <v>660</v>
      </c>
      <c r="G595" s="46">
        <v>50</v>
      </c>
      <c r="H595" s="46">
        <v>115</v>
      </c>
      <c r="I595" s="46">
        <v>335</v>
      </c>
      <c r="J595" s="46">
        <v>45</v>
      </c>
      <c r="K595" s="46">
        <v>10</v>
      </c>
      <c r="L595" s="46">
        <v>105</v>
      </c>
      <c r="M595">
        <f t="shared" si="55"/>
        <v>5.8282190710984439E-3</v>
      </c>
      <c r="N595">
        <f t="shared" si="56"/>
        <v>1.3404903863526422E-2</v>
      </c>
      <c r="O595">
        <f t="shared" si="57"/>
        <v>3.9049067776359581E-2</v>
      </c>
      <c r="P595">
        <f t="shared" si="58"/>
        <v>5.2453971639886002E-3</v>
      </c>
      <c r="Q595">
        <f t="shared" si="59"/>
        <v>1.1656438142196889E-3</v>
      </c>
      <c r="R595">
        <f t="shared" si="60"/>
        <v>1.2239260049306732E-2</v>
      </c>
    </row>
    <row r="596" spans="1:18" hidden="1" x14ac:dyDescent="0.25">
      <c r="A596" s="46">
        <v>2020</v>
      </c>
      <c r="B596" s="56">
        <v>351</v>
      </c>
      <c r="C596" s="47" t="s">
        <v>76</v>
      </c>
      <c r="D596" s="47" t="s">
        <v>51</v>
      </c>
      <c r="E596" s="47" t="s">
        <v>47</v>
      </c>
      <c r="F596" s="46">
        <v>660</v>
      </c>
      <c r="G596" s="46">
        <v>45</v>
      </c>
      <c r="H596" s="46">
        <v>135</v>
      </c>
      <c r="I596" s="46">
        <v>270</v>
      </c>
      <c r="J596" s="46">
        <v>65</v>
      </c>
      <c r="K596" s="46">
        <v>30</v>
      </c>
      <c r="L596" s="46">
        <v>110</v>
      </c>
      <c r="M596">
        <f t="shared" si="55"/>
        <v>5.2453971639886002E-3</v>
      </c>
      <c r="N596">
        <f t="shared" si="56"/>
        <v>1.5736191491965801E-2</v>
      </c>
      <c r="O596">
        <f t="shared" si="57"/>
        <v>3.1472382983931603E-2</v>
      </c>
      <c r="P596">
        <f t="shared" si="58"/>
        <v>7.5766847924279776E-3</v>
      </c>
      <c r="Q596">
        <f t="shared" si="59"/>
        <v>3.4969314426590665E-3</v>
      </c>
      <c r="R596">
        <f t="shared" si="60"/>
        <v>1.2822081956416579E-2</v>
      </c>
    </row>
    <row r="597" spans="1:18" hidden="1" x14ac:dyDescent="0.25">
      <c r="A597" s="46">
        <v>2020</v>
      </c>
      <c r="B597" s="56">
        <v>351</v>
      </c>
      <c r="C597" s="47" t="s">
        <v>76</v>
      </c>
      <c r="D597" s="47" t="s">
        <v>51</v>
      </c>
      <c r="E597" s="47" t="s">
        <v>48</v>
      </c>
      <c r="F597" s="46">
        <v>2710</v>
      </c>
      <c r="G597" s="46">
        <v>130</v>
      </c>
      <c r="H597" s="46">
        <v>420</v>
      </c>
      <c r="I597" s="46">
        <v>670</v>
      </c>
      <c r="J597" s="46">
        <v>380</v>
      </c>
      <c r="K597" s="46">
        <v>155</v>
      </c>
      <c r="L597" s="46">
        <v>955</v>
      </c>
      <c r="M597">
        <f t="shared" si="55"/>
        <v>1.5153369584855955E-2</v>
      </c>
      <c r="N597">
        <f t="shared" si="56"/>
        <v>4.895704019722693E-2</v>
      </c>
      <c r="O597">
        <f t="shared" si="57"/>
        <v>7.8098135552719161E-2</v>
      </c>
      <c r="P597">
        <f t="shared" si="58"/>
        <v>4.429446494034818E-2</v>
      </c>
      <c r="Q597">
        <f t="shared" si="59"/>
        <v>1.806747912040518E-2</v>
      </c>
      <c r="R597">
        <f t="shared" si="60"/>
        <v>0.11131898425798029</v>
      </c>
    </row>
    <row r="598" spans="1:18" hidden="1" x14ac:dyDescent="0.25">
      <c r="A598" s="46">
        <v>2020</v>
      </c>
      <c r="B598" s="56">
        <v>351</v>
      </c>
      <c r="C598" s="47" t="s">
        <v>76</v>
      </c>
      <c r="D598" s="47" t="s">
        <v>51</v>
      </c>
      <c r="E598" s="47" t="s">
        <v>49</v>
      </c>
      <c r="F598" s="46">
        <v>1200</v>
      </c>
      <c r="G598" s="46">
        <v>35</v>
      </c>
      <c r="H598" s="46">
        <v>110</v>
      </c>
      <c r="I598" s="46">
        <v>125</v>
      </c>
      <c r="J598" s="46">
        <v>85</v>
      </c>
      <c r="K598" s="46">
        <v>55</v>
      </c>
      <c r="L598" s="46">
        <v>790</v>
      </c>
      <c r="M598">
        <f t="shared" si="55"/>
        <v>4.0797533497689111E-3</v>
      </c>
      <c r="N598">
        <f t="shared" si="56"/>
        <v>1.2822081956416579E-2</v>
      </c>
      <c r="O598">
        <f t="shared" si="57"/>
        <v>1.4570547677746111E-2</v>
      </c>
      <c r="P598">
        <f t="shared" si="58"/>
        <v>9.9079724208673559E-3</v>
      </c>
      <c r="Q598">
        <f t="shared" si="59"/>
        <v>6.4110409782082893E-3</v>
      </c>
      <c r="R598">
        <f t="shared" si="60"/>
        <v>9.2085861323355417E-2</v>
      </c>
    </row>
    <row r="599" spans="1:18" hidden="1" x14ac:dyDescent="0.25">
      <c r="A599" s="46">
        <v>2020</v>
      </c>
      <c r="B599" s="56">
        <v>351</v>
      </c>
      <c r="C599" s="47" t="s">
        <v>76</v>
      </c>
      <c r="D599" s="47" t="s">
        <v>51</v>
      </c>
      <c r="E599" s="47" t="s">
        <v>50</v>
      </c>
      <c r="F599" s="46">
        <v>590</v>
      </c>
      <c r="G599" s="46">
        <v>10</v>
      </c>
      <c r="H599" s="46">
        <v>20</v>
      </c>
      <c r="I599" s="46">
        <v>25</v>
      </c>
      <c r="J599" s="46">
        <v>10</v>
      </c>
      <c r="K599" s="46">
        <v>5</v>
      </c>
      <c r="L599" s="46">
        <v>530</v>
      </c>
      <c r="M599">
        <f t="shared" si="55"/>
        <v>1.1656438142196889E-3</v>
      </c>
      <c r="N599">
        <f t="shared" si="56"/>
        <v>2.3312876284393778E-3</v>
      </c>
      <c r="O599">
        <f t="shared" si="57"/>
        <v>2.914109535549222E-3</v>
      </c>
      <c r="P599">
        <f t="shared" si="58"/>
        <v>1.1656438142196889E-3</v>
      </c>
      <c r="Q599">
        <f t="shared" si="59"/>
        <v>5.8282190710984446E-4</v>
      </c>
      <c r="R599">
        <f t="shared" si="60"/>
        <v>6.1779122153643513E-2</v>
      </c>
    </row>
    <row r="600" spans="1:18" hidden="1" x14ac:dyDescent="0.25">
      <c r="A600" s="46">
        <v>2020</v>
      </c>
      <c r="B600" s="56">
        <v>351</v>
      </c>
      <c r="C600" s="47" t="s">
        <v>76</v>
      </c>
      <c r="D600" s="47" t="s">
        <v>52</v>
      </c>
      <c r="E600" s="47" t="s">
        <v>43</v>
      </c>
      <c r="F600" s="46">
        <v>6705</v>
      </c>
      <c r="G600" s="46">
        <v>345</v>
      </c>
      <c r="H600" s="46">
        <v>1260</v>
      </c>
      <c r="I600" s="46">
        <v>1590</v>
      </c>
      <c r="J600" s="46">
        <v>600</v>
      </c>
      <c r="K600" s="46">
        <v>345</v>
      </c>
      <c r="L600" s="46">
        <v>2560</v>
      </c>
      <c r="M600">
        <f t="shared" si="55"/>
        <v>4.0214711590579266E-2</v>
      </c>
      <c r="N600">
        <f t="shared" si="56"/>
        <v>0.14687112059168081</v>
      </c>
      <c r="O600">
        <f t="shared" si="57"/>
        <v>0.18533736646093052</v>
      </c>
      <c r="P600">
        <f t="shared" si="58"/>
        <v>6.9938628853181334E-2</v>
      </c>
      <c r="Q600">
        <f t="shared" si="59"/>
        <v>4.0214711590579266E-2</v>
      </c>
      <c r="R600">
        <f t="shared" si="60"/>
        <v>0.29840481644024036</v>
      </c>
    </row>
    <row r="601" spans="1:18" hidden="1" x14ac:dyDescent="0.25">
      <c r="A601" s="46">
        <v>2020</v>
      </c>
      <c r="B601" s="56">
        <v>351</v>
      </c>
      <c r="C601" s="47" t="s">
        <v>76</v>
      </c>
      <c r="D601" s="47" t="s">
        <v>52</v>
      </c>
      <c r="E601" s="47" t="s">
        <v>44</v>
      </c>
      <c r="F601" s="46">
        <v>1295</v>
      </c>
      <c r="G601" s="46">
        <v>120</v>
      </c>
      <c r="H601" s="46">
        <v>440</v>
      </c>
      <c r="I601" s="46">
        <v>475</v>
      </c>
      <c r="J601" s="46">
        <v>135</v>
      </c>
      <c r="K601" s="46">
        <v>50</v>
      </c>
      <c r="L601" s="46">
        <v>70</v>
      </c>
      <c r="M601">
        <f t="shared" si="55"/>
        <v>1.3987725770636266E-2</v>
      </c>
      <c r="N601">
        <f t="shared" si="56"/>
        <v>5.1288327825666315E-2</v>
      </c>
      <c r="O601">
        <f t="shared" si="57"/>
        <v>5.5368081175435221E-2</v>
      </c>
      <c r="P601">
        <f t="shared" si="58"/>
        <v>1.5736191491965801E-2</v>
      </c>
      <c r="Q601">
        <f t="shared" si="59"/>
        <v>5.8282190710984439E-3</v>
      </c>
      <c r="R601">
        <f t="shared" si="60"/>
        <v>8.1595066995378222E-3</v>
      </c>
    </row>
    <row r="602" spans="1:18" hidden="1" x14ac:dyDescent="0.25">
      <c r="A602" s="46">
        <v>2020</v>
      </c>
      <c r="B602" s="56">
        <v>351</v>
      </c>
      <c r="C602" s="47" t="s">
        <v>76</v>
      </c>
      <c r="D602" s="47" t="s">
        <v>52</v>
      </c>
      <c r="E602" s="47" t="s">
        <v>45</v>
      </c>
      <c r="F602" s="46">
        <v>365</v>
      </c>
      <c r="G602" s="46">
        <v>20</v>
      </c>
      <c r="H602" s="46">
        <v>55</v>
      </c>
      <c r="I602" s="46">
        <v>145</v>
      </c>
      <c r="J602" s="46">
        <v>45</v>
      </c>
      <c r="K602" s="46">
        <v>20</v>
      </c>
      <c r="L602" s="46">
        <v>80</v>
      </c>
      <c r="M602">
        <f t="shared" si="55"/>
        <v>2.3312876284393778E-3</v>
      </c>
      <c r="N602">
        <f t="shared" si="56"/>
        <v>6.4110409782082893E-3</v>
      </c>
      <c r="O602">
        <f t="shared" si="57"/>
        <v>1.6901835306185491E-2</v>
      </c>
      <c r="P602">
        <f t="shared" si="58"/>
        <v>5.2453971639886002E-3</v>
      </c>
      <c r="Q602">
        <f t="shared" si="59"/>
        <v>2.3312876284393778E-3</v>
      </c>
      <c r="R602">
        <f t="shared" si="60"/>
        <v>9.3251505137575113E-3</v>
      </c>
    </row>
    <row r="603" spans="1:18" hidden="1" x14ac:dyDescent="0.25">
      <c r="A603" s="46">
        <v>2020</v>
      </c>
      <c r="B603" s="56">
        <v>351</v>
      </c>
      <c r="C603" s="47" t="s">
        <v>76</v>
      </c>
      <c r="D603" s="47" t="s">
        <v>52</v>
      </c>
      <c r="E603" s="47" t="s">
        <v>46</v>
      </c>
      <c r="F603" s="46">
        <v>480</v>
      </c>
      <c r="G603" s="46">
        <v>50</v>
      </c>
      <c r="H603" s="46">
        <v>145</v>
      </c>
      <c r="I603" s="46">
        <v>140</v>
      </c>
      <c r="J603" s="46">
        <v>40</v>
      </c>
      <c r="K603" s="46">
        <v>10</v>
      </c>
      <c r="L603" s="46">
        <v>100</v>
      </c>
      <c r="M603">
        <f t="shared" si="55"/>
        <v>5.8282190710984439E-3</v>
      </c>
      <c r="N603">
        <f t="shared" si="56"/>
        <v>1.6901835306185491E-2</v>
      </c>
      <c r="O603">
        <f t="shared" si="57"/>
        <v>1.6319013399075644E-2</v>
      </c>
      <c r="P603">
        <f t="shared" si="58"/>
        <v>4.6625752568787556E-3</v>
      </c>
      <c r="Q603">
        <f t="shared" si="59"/>
        <v>1.1656438142196889E-3</v>
      </c>
      <c r="R603">
        <f t="shared" si="60"/>
        <v>1.1656438142196888E-2</v>
      </c>
    </row>
    <row r="604" spans="1:18" hidden="1" x14ac:dyDescent="0.25">
      <c r="A604" s="46">
        <v>2020</v>
      </c>
      <c r="B604" s="56">
        <v>351</v>
      </c>
      <c r="C604" s="47" t="s">
        <v>76</v>
      </c>
      <c r="D604" s="47" t="s">
        <v>52</v>
      </c>
      <c r="E604" s="47" t="s">
        <v>47</v>
      </c>
      <c r="F604" s="46">
        <v>580</v>
      </c>
      <c r="G604" s="46">
        <v>25</v>
      </c>
      <c r="H604" s="46">
        <v>155</v>
      </c>
      <c r="I604" s="46">
        <v>190</v>
      </c>
      <c r="J604" s="46">
        <v>65</v>
      </c>
      <c r="K604" s="46">
        <v>35</v>
      </c>
      <c r="L604" s="46">
        <v>110</v>
      </c>
      <c r="M604">
        <f t="shared" si="55"/>
        <v>2.914109535549222E-3</v>
      </c>
      <c r="N604">
        <f t="shared" si="56"/>
        <v>1.806747912040518E-2</v>
      </c>
      <c r="O604">
        <f t="shared" si="57"/>
        <v>2.214723247017409E-2</v>
      </c>
      <c r="P604">
        <f t="shared" si="58"/>
        <v>7.5766847924279776E-3</v>
      </c>
      <c r="Q604">
        <f t="shared" si="59"/>
        <v>4.0797533497689111E-3</v>
      </c>
      <c r="R604">
        <f t="shared" si="60"/>
        <v>1.2822081956416579E-2</v>
      </c>
    </row>
    <row r="605" spans="1:18" hidden="1" x14ac:dyDescent="0.25">
      <c r="A605" s="46">
        <v>2020</v>
      </c>
      <c r="B605" s="56">
        <v>351</v>
      </c>
      <c r="C605" s="47" t="s">
        <v>76</v>
      </c>
      <c r="D605" s="47" t="s">
        <v>52</v>
      </c>
      <c r="E605" s="47" t="s">
        <v>48</v>
      </c>
      <c r="F605" s="46">
        <v>2355</v>
      </c>
      <c r="G605" s="46">
        <v>90</v>
      </c>
      <c r="H605" s="46">
        <v>365</v>
      </c>
      <c r="I605" s="46">
        <v>510</v>
      </c>
      <c r="J605" s="46">
        <v>250</v>
      </c>
      <c r="K605" s="46">
        <v>175</v>
      </c>
      <c r="L605" s="46">
        <v>970</v>
      </c>
      <c r="M605">
        <f t="shared" si="55"/>
        <v>1.04907943279772E-2</v>
      </c>
      <c r="N605">
        <f t="shared" si="56"/>
        <v>4.2545999219018645E-2</v>
      </c>
      <c r="O605">
        <f t="shared" si="57"/>
        <v>5.9447834525204135E-2</v>
      </c>
      <c r="P605">
        <f t="shared" si="58"/>
        <v>2.9141095355492221E-2</v>
      </c>
      <c r="Q605">
        <f t="shared" si="59"/>
        <v>2.0398766748844555E-2</v>
      </c>
      <c r="R605">
        <f t="shared" si="60"/>
        <v>0.11306744997930983</v>
      </c>
    </row>
    <row r="606" spans="1:18" hidden="1" x14ac:dyDescent="0.25">
      <c r="A606" s="46">
        <v>2020</v>
      </c>
      <c r="B606" s="56">
        <v>351</v>
      </c>
      <c r="C606" s="47" t="s">
        <v>76</v>
      </c>
      <c r="D606" s="47" t="s">
        <v>52</v>
      </c>
      <c r="E606" s="47" t="s">
        <v>49</v>
      </c>
      <c r="F606" s="46">
        <v>1020</v>
      </c>
      <c r="G606" s="46">
        <v>35</v>
      </c>
      <c r="H606" s="46">
        <v>90</v>
      </c>
      <c r="I606" s="46">
        <v>100</v>
      </c>
      <c r="J606" s="46">
        <v>55</v>
      </c>
      <c r="K606" s="46">
        <v>40</v>
      </c>
      <c r="L606" s="46">
        <v>705</v>
      </c>
      <c r="M606">
        <f t="shared" si="55"/>
        <v>4.0797533497689111E-3</v>
      </c>
      <c r="N606">
        <f t="shared" si="56"/>
        <v>1.04907943279772E-2</v>
      </c>
      <c r="O606">
        <f t="shared" si="57"/>
        <v>1.1656438142196888E-2</v>
      </c>
      <c r="P606">
        <f t="shared" si="58"/>
        <v>6.4110409782082893E-3</v>
      </c>
      <c r="Q606">
        <f t="shared" si="59"/>
        <v>4.6625752568787556E-3</v>
      </c>
      <c r="R606">
        <f t="shared" si="60"/>
        <v>8.2177888902488061E-2</v>
      </c>
    </row>
    <row r="607" spans="1:18" hidden="1" x14ac:dyDescent="0.25">
      <c r="A607" s="46">
        <v>2020</v>
      </c>
      <c r="B607" s="56">
        <v>351</v>
      </c>
      <c r="C607" s="47" t="s">
        <v>76</v>
      </c>
      <c r="D607" s="47" t="s">
        <v>52</v>
      </c>
      <c r="E607" s="47" t="s">
        <v>50</v>
      </c>
      <c r="F607" s="46">
        <v>605</v>
      </c>
      <c r="G607" s="46">
        <v>5</v>
      </c>
      <c r="H607" s="46">
        <v>20</v>
      </c>
      <c r="I607" s="46">
        <v>30</v>
      </c>
      <c r="J607" s="46">
        <v>10</v>
      </c>
      <c r="K607" s="46">
        <v>15</v>
      </c>
      <c r="L607" s="46">
        <v>525</v>
      </c>
      <c r="M607">
        <f t="shared" si="55"/>
        <v>5.8282190710984446E-4</v>
      </c>
      <c r="N607">
        <f t="shared" si="56"/>
        <v>2.3312876284393778E-3</v>
      </c>
      <c r="O607">
        <f t="shared" si="57"/>
        <v>3.4969314426590665E-3</v>
      </c>
      <c r="P607">
        <f t="shared" si="58"/>
        <v>1.1656438142196889E-3</v>
      </c>
      <c r="Q607">
        <f t="shared" si="59"/>
        <v>1.7484657213295333E-3</v>
      </c>
      <c r="R607">
        <f t="shared" si="60"/>
        <v>6.1196300246533664E-2</v>
      </c>
    </row>
    <row r="608" spans="1:18" x14ac:dyDescent="0.25">
      <c r="A608" s="46">
        <v>2020</v>
      </c>
      <c r="B608" s="56">
        <v>352</v>
      </c>
      <c r="C608" s="47" t="s">
        <v>77</v>
      </c>
      <c r="D608" s="47" t="s">
        <v>42</v>
      </c>
      <c r="E608" s="47" t="s">
        <v>43</v>
      </c>
      <c r="F608" s="46">
        <v>13410</v>
      </c>
      <c r="G608" s="46">
        <v>650</v>
      </c>
      <c r="H608" s="46">
        <v>2210</v>
      </c>
      <c r="I608" s="46">
        <v>2900</v>
      </c>
      <c r="J608" s="46">
        <v>1180</v>
      </c>
      <c r="K608" s="46">
        <v>650</v>
      </c>
      <c r="L608" s="46">
        <v>5825</v>
      </c>
      <c r="M608">
        <f t="shared" si="55"/>
        <v>7.5766847924279776E-2</v>
      </c>
      <c r="N608">
        <f t="shared" si="56"/>
        <v>0.25760728294255125</v>
      </c>
      <c r="O608">
        <f t="shared" si="57"/>
        <v>0.33803670612370978</v>
      </c>
      <c r="P608">
        <f t="shared" si="58"/>
        <v>0.1375459700779233</v>
      </c>
      <c r="Q608">
        <f t="shared" si="59"/>
        <v>7.5766847924279776E-2</v>
      </c>
      <c r="R608">
        <f t="shared" si="60"/>
        <v>0.67898752178296873</v>
      </c>
    </row>
    <row r="609" spans="1:18" hidden="1" x14ac:dyDescent="0.25">
      <c r="A609" s="46">
        <v>2020</v>
      </c>
      <c r="B609" s="56">
        <v>352</v>
      </c>
      <c r="C609" s="47" t="s">
        <v>77</v>
      </c>
      <c r="D609" s="47" t="s">
        <v>42</v>
      </c>
      <c r="E609" s="47" t="s">
        <v>44</v>
      </c>
      <c r="F609" s="46">
        <v>2130</v>
      </c>
      <c r="G609" s="46">
        <v>175</v>
      </c>
      <c r="H609" s="46">
        <v>730</v>
      </c>
      <c r="I609" s="46">
        <v>765</v>
      </c>
      <c r="J609" s="46">
        <v>225</v>
      </c>
      <c r="K609" s="46">
        <v>100</v>
      </c>
      <c r="L609" s="46">
        <v>135</v>
      </c>
      <c r="M609">
        <f t="shared" si="55"/>
        <v>2.0398766748844555E-2</v>
      </c>
      <c r="N609">
        <f t="shared" si="56"/>
        <v>8.5091998438037289E-2</v>
      </c>
      <c r="O609">
        <f t="shared" si="57"/>
        <v>8.9171751787806203E-2</v>
      </c>
      <c r="P609">
        <f t="shared" si="58"/>
        <v>2.6226985819943E-2</v>
      </c>
      <c r="Q609">
        <f t="shared" si="59"/>
        <v>1.1656438142196888E-2</v>
      </c>
      <c r="R609">
        <f t="shared" si="60"/>
        <v>1.5736191491965801E-2</v>
      </c>
    </row>
    <row r="610" spans="1:18" hidden="1" x14ac:dyDescent="0.25">
      <c r="A610" s="46">
        <v>2020</v>
      </c>
      <c r="B610" s="56">
        <v>352</v>
      </c>
      <c r="C610" s="47" t="s">
        <v>77</v>
      </c>
      <c r="D610" s="47" t="s">
        <v>42</v>
      </c>
      <c r="E610" s="47" t="s">
        <v>45</v>
      </c>
      <c r="F610" s="46">
        <v>685</v>
      </c>
      <c r="G610" s="46">
        <v>25</v>
      </c>
      <c r="H610" s="46">
        <v>115</v>
      </c>
      <c r="I610" s="46">
        <v>215</v>
      </c>
      <c r="J610" s="46">
        <v>75</v>
      </c>
      <c r="K610" s="46">
        <v>40</v>
      </c>
      <c r="L610" s="46">
        <v>210</v>
      </c>
      <c r="M610">
        <f t="shared" si="55"/>
        <v>2.914109535549222E-3</v>
      </c>
      <c r="N610">
        <f t="shared" si="56"/>
        <v>1.3404903863526422E-2</v>
      </c>
      <c r="O610">
        <f t="shared" si="57"/>
        <v>2.5061342005723308E-2</v>
      </c>
      <c r="P610">
        <f t="shared" si="58"/>
        <v>8.7423286066476667E-3</v>
      </c>
      <c r="Q610">
        <f t="shared" si="59"/>
        <v>4.6625752568787556E-3</v>
      </c>
      <c r="R610">
        <f t="shared" si="60"/>
        <v>2.4478520098613465E-2</v>
      </c>
    </row>
    <row r="611" spans="1:18" hidden="1" x14ac:dyDescent="0.25">
      <c r="A611" s="46">
        <v>2020</v>
      </c>
      <c r="B611" s="56">
        <v>352</v>
      </c>
      <c r="C611" s="47" t="s">
        <v>77</v>
      </c>
      <c r="D611" s="47" t="s">
        <v>42</v>
      </c>
      <c r="E611" s="47" t="s">
        <v>46</v>
      </c>
      <c r="F611" s="46">
        <v>970</v>
      </c>
      <c r="G611" s="46">
        <v>70</v>
      </c>
      <c r="H611" s="46">
        <v>255</v>
      </c>
      <c r="I611" s="46">
        <v>275</v>
      </c>
      <c r="J611" s="46">
        <v>60</v>
      </c>
      <c r="K611" s="46">
        <v>25</v>
      </c>
      <c r="L611" s="46">
        <v>280</v>
      </c>
      <c r="M611">
        <f t="shared" si="55"/>
        <v>8.1595066995378222E-3</v>
      </c>
      <c r="N611">
        <f t="shared" si="56"/>
        <v>2.9723917262602068E-2</v>
      </c>
      <c r="O611">
        <f t="shared" si="57"/>
        <v>3.2055204891041446E-2</v>
      </c>
      <c r="P611">
        <f t="shared" si="58"/>
        <v>6.993862885318133E-3</v>
      </c>
      <c r="Q611">
        <f t="shared" si="59"/>
        <v>2.914109535549222E-3</v>
      </c>
      <c r="R611">
        <f t="shared" si="60"/>
        <v>3.2638026798151289E-2</v>
      </c>
    </row>
    <row r="612" spans="1:18" hidden="1" x14ac:dyDescent="0.25">
      <c r="A612" s="46">
        <v>2020</v>
      </c>
      <c r="B612" s="56">
        <v>352</v>
      </c>
      <c r="C612" s="47" t="s">
        <v>77</v>
      </c>
      <c r="D612" s="47" t="s">
        <v>42</v>
      </c>
      <c r="E612" s="47" t="s">
        <v>47</v>
      </c>
      <c r="F612" s="46">
        <v>1175</v>
      </c>
      <c r="G612" s="46">
        <v>90</v>
      </c>
      <c r="H612" s="46">
        <v>245</v>
      </c>
      <c r="I612" s="46">
        <v>375</v>
      </c>
      <c r="J612" s="46">
        <v>140</v>
      </c>
      <c r="K612" s="46">
        <v>50</v>
      </c>
      <c r="L612" s="46">
        <v>270</v>
      </c>
      <c r="M612">
        <f t="shared" si="55"/>
        <v>1.04907943279772E-2</v>
      </c>
      <c r="N612">
        <f t="shared" si="56"/>
        <v>2.8558273448382378E-2</v>
      </c>
      <c r="O612">
        <f t="shared" si="57"/>
        <v>4.371164303323833E-2</v>
      </c>
      <c r="P612">
        <f t="shared" si="58"/>
        <v>1.6319013399075644E-2</v>
      </c>
      <c r="Q612">
        <f t="shared" si="59"/>
        <v>5.8282190710984439E-3</v>
      </c>
      <c r="R612">
        <f t="shared" si="60"/>
        <v>3.1472382983931603E-2</v>
      </c>
    </row>
    <row r="613" spans="1:18" hidden="1" x14ac:dyDescent="0.25">
      <c r="A613" s="46">
        <v>2020</v>
      </c>
      <c r="B613" s="56">
        <v>352</v>
      </c>
      <c r="C613" s="47" t="s">
        <v>77</v>
      </c>
      <c r="D613" s="47" t="s">
        <v>42</v>
      </c>
      <c r="E613" s="47" t="s">
        <v>48</v>
      </c>
      <c r="F613" s="46">
        <v>4920</v>
      </c>
      <c r="G613" s="46">
        <v>225</v>
      </c>
      <c r="H613" s="46">
        <v>655</v>
      </c>
      <c r="I613" s="46">
        <v>1015</v>
      </c>
      <c r="J613" s="46">
        <v>530</v>
      </c>
      <c r="K613" s="46">
        <v>330</v>
      </c>
      <c r="L613" s="46">
        <v>2165</v>
      </c>
      <c r="M613">
        <f t="shared" si="55"/>
        <v>2.6226985819943E-2</v>
      </c>
      <c r="N613">
        <f t="shared" si="56"/>
        <v>7.6349669831389619E-2</v>
      </c>
      <c r="O613">
        <f t="shared" si="57"/>
        <v>0.11831284714329843</v>
      </c>
      <c r="P613">
        <f t="shared" si="58"/>
        <v>6.1779122153643513E-2</v>
      </c>
      <c r="Q613">
        <f t="shared" si="59"/>
        <v>3.8466245869249731E-2</v>
      </c>
      <c r="R613">
        <f t="shared" si="60"/>
        <v>0.25236188577856267</v>
      </c>
    </row>
    <row r="614" spans="1:18" hidden="1" x14ac:dyDescent="0.25">
      <c r="A614" s="46">
        <v>2020</v>
      </c>
      <c r="B614" s="56">
        <v>352</v>
      </c>
      <c r="C614" s="47" t="s">
        <v>77</v>
      </c>
      <c r="D614" s="47" t="s">
        <v>42</v>
      </c>
      <c r="E614" s="47" t="s">
        <v>49</v>
      </c>
      <c r="F614" s="46">
        <v>2385</v>
      </c>
      <c r="G614" s="46">
        <v>50</v>
      </c>
      <c r="H614" s="46">
        <v>170</v>
      </c>
      <c r="I614" s="46">
        <v>210</v>
      </c>
      <c r="J614" s="46">
        <v>130</v>
      </c>
      <c r="K614" s="46">
        <v>85</v>
      </c>
      <c r="L614" s="46">
        <v>1745</v>
      </c>
      <c r="M614">
        <f t="shared" si="55"/>
        <v>5.8282190710984439E-3</v>
      </c>
      <c r="N614">
        <f t="shared" si="56"/>
        <v>1.9815944841734712E-2</v>
      </c>
      <c r="O614">
        <f t="shared" si="57"/>
        <v>2.4478520098613465E-2</v>
      </c>
      <c r="P614">
        <f t="shared" si="58"/>
        <v>1.5153369584855955E-2</v>
      </c>
      <c r="Q614">
        <f t="shared" si="59"/>
        <v>9.9079724208673559E-3</v>
      </c>
      <c r="R614">
        <f t="shared" si="60"/>
        <v>0.20340484558133573</v>
      </c>
    </row>
    <row r="615" spans="1:18" hidden="1" x14ac:dyDescent="0.25">
      <c r="A615" s="46">
        <v>2020</v>
      </c>
      <c r="B615" s="56">
        <v>352</v>
      </c>
      <c r="C615" s="47" t="s">
        <v>77</v>
      </c>
      <c r="D615" s="47" t="s">
        <v>42</v>
      </c>
      <c r="E615" s="47" t="s">
        <v>50</v>
      </c>
      <c r="F615" s="46">
        <v>1155</v>
      </c>
      <c r="G615" s="46">
        <v>15</v>
      </c>
      <c r="H615" s="46">
        <v>35</v>
      </c>
      <c r="I615" s="46">
        <v>45</v>
      </c>
      <c r="J615" s="46">
        <v>25</v>
      </c>
      <c r="K615" s="46">
        <v>20</v>
      </c>
      <c r="L615" s="46">
        <v>1020</v>
      </c>
      <c r="M615">
        <f t="shared" si="55"/>
        <v>1.7484657213295333E-3</v>
      </c>
      <c r="N615">
        <f t="shared" si="56"/>
        <v>4.0797533497689111E-3</v>
      </c>
      <c r="O615">
        <f t="shared" si="57"/>
        <v>5.2453971639886002E-3</v>
      </c>
      <c r="P615">
        <f t="shared" si="58"/>
        <v>2.914109535549222E-3</v>
      </c>
      <c r="Q615">
        <f t="shared" si="59"/>
        <v>2.3312876284393778E-3</v>
      </c>
      <c r="R615">
        <f t="shared" si="60"/>
        <v>0.11889566905040827</v>
      </c>
    </row>
    <row r="616" spans="1:18" hidden="1" x14ac:dyDescent="0.25">
      <c r="A616" s="46">
        <v>2020</v>
      </c>
      <c r="B616" s="56">
        <v>352</v>
      </c>
      <c r="C616" s="47" t="s">
        <v>77</v>
      </c>
      <c r="D616" s="47" t="s">
        <v>51</v>
      </c>
      <c r="E616" s="47" t="s">
        <v>43</v>
      </c>
      <c r="F616" s="46">
        <v>7165</v>
      </c>
      <c r="G616" s="46">
        <v>355</v>
      </c>
      <c r="H616" s="46">
        <v>1185</v>
      </c>
      <c r="I616" s="46">
        <v>1705</v>
      </c>
      <c r="J616" s="46">
        <v>675</v>
      </c>
      <c r="K616" s="46">
        <v>355</v>
      </c>
      <c r="L616" s="46">
        <v>2895</v>
      </c>
      <c r="M616">
        <f t="shared" si="55"/>
        <v>4.1380355404798952E-2</v>
      </c>
      <c r="N616">
        <f t="shared" si="56"/>
        <v>0.13812879198503311</v>
      </c>
      <c r="O616">
        <f t="shared" si="57"/>
        <v>0.19874227032445699</v>
      </c>
      <c r="P616">
        <f t="shared" si="58"/>
        <v>7.8680957459829004E-2</v>
      </c>
      <c r="Q616">
        <f t="shared" si="59"/>
        <v>4.1380355404798952E-2</v>
      </c>
      <c r="R616">
        <f t="shared" si="60"/>
        <v>0.33745388421659994</v>
      </c>
    </row>
    <row r="617" spans="1:18" hidden="1" x14ac:dyDescent="0.25">
      <c r="A617" s="46">
        <v>2020</v>
      </c>
      <c r="B617" s="56">
        <v>352</v>
      </c>
      <c r="C617" s="47" t="s">
        <v>77</v>
      </c>
      <c r="D617" s="47" t="s">
        <v>51</v>
      </c>
      <c r="E617" s="47" t="s">
        <v>44</v>
      </c>
      <c r="F617" s="46">
        <v>1120</v>
      </c>
      <c r="G617" s="46">
        <v>80</v>
      </c>
      <c r="H617" s="46">
        <v>390</v>
      </c>
      <c r="I617" s="46">
        <v>410</v>
      </c>
      <c r="J617" s="46">
        <v>125</v>
      </c>
      <c r="K617" s="46">
        <v>50</v>
      </c>
      <c r="L617" s="46">
        <v>65</v>
      </c>
      <c r="M617">
        <f t="shared" si="55"/>
        <v>9.3251505137575113E-3</v>
      </c>
      <c r="N617">
        <f t="shared" si="56"/>
        <v>4.5460108754567866E-2</v>
      </c>
      <c r="O617">
        <f t="shared" si="57"/>
        <v>4.7791396383007244E-2</v>
      </c>
      <c r="P617">
        <f t="shared" si="58"/>
        <v>1.4570547677746111E-2</v>
      </c>
      <c r="Q617">
        <f t="shared" si="59"/>
        <v>5.8282190710984439E-3</v>
      </c>
      <c r="R617">
        <f t="shared" si="60"/>
        <v>7.5766847924279776E-3</v>
      </c>
    </row>
    <row r="618" spans="1:18" hidden="1" x14ac:dyDescent="0.25">
      <c r="A618" s="46">
        <v>2020</v>
      </c>
      <c r="B618" s="56">
        <v>352</v>
      </c>
      <c r="C618" s="47" t="s">
        <v>77</v>
      </c>
      <c r="D618" s="47" t="s">
        <v>51</v>
      </c>
      <c r="E618" s="47" t="s">
        <v>45</v>
      </c>
      <c r="F618" s="46">
        <v>370</v>
      </c>
      <c r="G618" s="46">
        <v>15</v>
      </c>
      <c r="H618" s="46">
        <v>60</v>
      </c>
      <c r="I618" s="46">
        <v>120</v>
      </c>
      <c r="J618" s="46">
        <v>40</v>
      </c>
      <c r="K618" s="46">
        <v>25</v>
      </c>
      <c r="L618" s="46">
        <v>115</v>
      </c>
      <c r="M618">
        <f t="shared" si="55"/>
        <v>1.7484657213295333E-3</v>
      </c>
      <c r="N618">
        <f t="shared" si="56"/>
        <v>6.993862885318133E-3</v>
      </c>
      <c r="O618">
        <f t="shared" si="57"/>
        <v>1.3987725770636266E-2</v>
      </c>
      <c r="P618">
        <f t="shared" si="58"/>
        <v>4.6625752568787556E-3</v>
      </c>
      <c r="Q618">
        <f t="shared" si="59"/>
        <v>2.914109535549222E-3</v>
      </c>
      <c r="R618">
        <f t="shared" si="60"/>
        <v>1.3404903863526422E-2</v>
      </c>
    </row>
    <row r="619" spans="1:18" hidden="1" x14ac:dyDescent="0.25">
      <c r="A619" s="46">
        <v>2020</v>
      </c>
      <c r="B619" s="56">
        <v>352</v>
      </c>
      <c r="C619" s="47" t="s">
        <v>77</v>
      </c>
      <c r="D619" s="47" t="s">
        <v>51</v>
      </c>
      <c r="E619" s="47" t="s">
        <v>46</v>
      </c>
      <c r="F619" s="46">
        <v>565</v>
      </c>
      <c r="G619" s="46">
        <v>40</v>
      </c>
      <c r="H619" s="46">
        <v>140</v>
      </c>
      <c r="I619" s="46">
        <v>195</v>
      </c>
      <c r="J619" s="46">
        <v>35</v>
      </c>
      <c r="K619" s="46">
        <v>10</v>
      </c>
      <c r="L619" s="46">
        <v>150</v>
      </c>
      <c r="M619">
        <f t="shared" si="55"/>
        <v>4.6625752568787556E-3</v>
      </c>
      <c r="N619">
        <f t="shared" si="56"/>
        <v>1.6319013399075644E-2</v>
      </c>
      <c r="O619">
        <f t="shared" si="57"/>
        <v>2.2730054377283933E-2</v>
      </c>
      <c r="P619">
        <f t="shared" si="58"/>
        <v>4.0797533497689111E-3</v>
      </c>
      <c r="Q619">
        <f t="shared" si="59"/>
        <v>1.1656438142196889E-3</v>
      </c>
      <c r="R619">
        <f t="shared" si="60"/>
        <v>1.7484657213295333E-2</v>
      </c>
    </row>
    <row r="620" spans="1:18" hidden="1" x14ac:dyDescent="0.25">
      <c r="A620" s="46">
        <v>2020</v>
      </c>
      <c r="B620" s="56">
        <v>352</v>
      </c>
      <c r="C620" s="47" t="s">
        <v>77</v>
      </c>
      <c r="D620" s="47" t="s">
        <v>51</v>
      </c>
      <c r="E620" s="47" t="s">
        <v>47</v>
      </c>
      <c r="F620" s="46">
        <v>685</v>
      </c>
      <c r="G620" s="46">
        <v>50</v>
      </c>
      <c r="H620" s="46">
        <v>145</v>
      </c>
      <c r="I620" s="46">
        <v>235</v>
      </c>
      <c r="J620" s="46">
        <v>95</v>
      </c>
      <c r="K620" s="46">
        <v>25</v>
      </c>
      <c r="L620" s="46">
        <v>135</v>
      </c>
      <c r="M620">
        <f t="shared" si="55"/>
        <v>5.8282190710984439E-3</v>
      </c>
      <c r="N620">
        <f t="shared" si="56"/>
        <v>1.6901835306185491E-2</v>
      </c>
      <c r="O620">
        <f t="shared" si="57"/>
        <v>2.7392629634162689E-2</v>
      </c>
      <c r="P620">
        <f t="shared" si="58"/>
        <v>1.1073616235087045E-2</v>
      </c>
      <c r="Q620">
        <f t="shared" si="59"/>
        <v>2.914109535549222E-3</v>
      </c>
      <c r="R620">
        <f t="shared" si="60"/>
        <v>1.5736191491965801E-2</v>
      </c>
    </row>
    <row r="621" spans="1:18" hidden="1" x14ac:dyDescent="0.25">
      <c r="A621" s="46">
        <v>2020</v>
      </c>
      <c r="B621" s="56">
        <v>352</v>
      </c>
      <c r="C621" s="47" t="s">
        <v>77</v>
      </c>
      <c r="D621" s="47" t="s">
        <v>51</v>
      </c>
      <c r="E621" s="47" t="s">
        <v>48</v>
      </c>
      <c r="F621" s="46">
        <v>2655</v>
      </c>
      <c r="G621" s="46">
        <v>135</v>
      </c>
      <c r="H621" s="46">
        <v>345</v>
      </c>
      <c r="I621" s="46">
        <v>615</v>
      </c>
      <c r="J621" s="46">
        <v>305</v>
      </c>
      <c r="K621" s="46">
        <v>185</v>
      </c>
      <c r="L621" s="46">
        <v>1070</v>
      </c>
      <c r="M621">
        <f t="shared" si="55"/>
        <v>1.5736191491965801E-2</v>
      </c>
      <c r="N621">
        <f t="shared" si="56"/>
        <v>4.0214711590579266E-2</v>
      </c>
      <c r="O621">
        <f t="shared" si="57"/>
        <v>7.1687094574510862E-2</v>
      </c>
      <c r="P621">
        <f t="shared" si="58"/>
        <v>3.555213633370051E-2</v>
      </c>
      <c r="Q621">
        <f t="shared" si="59"/>
        <v>2.1564410563064244E-2</v>
      </c>
      <c r="R621">
        <f t="shared" si="60"/>
        <v>0.12472388812150671</v>
      </c>
    </row>
    <row r="622" spans="1:18" hidden="1" x14ac:dyDescent="0.25">
      <c r="A622" s="46">
        <v>2020</v>
      </c>
      <c r="B622" s="56">
        <v>352</v>
      </c>
      <c r="C622" s="47" t="s">
        <v>77</v>
      </c>
      <c r="D622" s="47" t="s">
        <v>51</v>
      </c>
      <c r="E622" s="47" t="s">
        <v>49</v>
      </c>
      <c r="F622" s="46">
        <v>1235</v>
      </c>
      <c r="G622" s="46">
        <v>25</v>
      </c>
      <c r="H622" s="46">
        <v>90</v>
      </c>
      <c r="I622" s="46">
        <v>120</v>
      </c>
      <c r="J622" s="46">
        <v>70</v>
      </c>
      <c r="K622" s="46">
        <v>50</v>
      </c>
      <c r="L622" s="46">
        <v>880</v>
      </c>
      <c r="M622">
        <f t="shared" si="55"/>
        <v>2.914109535549222E-3</v>
      </c>
      <c r="N622">
        <f t="shared" si="56"/>
        <v>1.04907943279772E-2</v>
      </c>
      <c r="O622">
        <f t="shared" si="57"/>
        <v>1.3987725770636266E-2</v>
      </c>
      <c r="P622">
        <f t="shared" si="58"/>
        <v>8.1595066995378222E-3</v>
      </c>
      <c r="Q622">
        <f t="shared" si="59"/>
        <v>5.8282190710984439E-3</v>
      </c>
      <c r="R622">
        <f t="shared" si="60"/>
        <v>0.10257665565133263</v>
      </c>
    </row>
    <row r="623" spans="1:18" hidden="1" x14ac:dyDescent="0.25">
      <c r="A623" s="46">
        <v>2020</v>
      </c>
      <c r="B623" s="56">
        <v>352</v>
      </c>
      <c r="C623" s="47" t="s">
        <v>77</v>
      </c>
      <c r="D623" s="47" t="s">
        <v>51</v>
      </c>
      <c r="E623" s="47" t="s">
        <v>50</v>
      </c>
      <c r="F623" s="46">
        <v>540</v>
      </c>
      <c r="G623" s="46">
        <v>5</v>
      </c>
      <c r="H623" s="46">
        <v>15</v>
      </c>
      <c r="I623" s="46">
        <v>20</v>
      </c>
      <c r="J623" s="46">
        <v>10</v>
      </c>
      <c r="K623" s="46">
        <v>10</v>
      </c>
      <c r="L623" s="46">
        <v>480</v>
      </c>
      <c r="M623">
        <f t="shared" si="55"/>
        <v>5.8282190710984446E-4</v>
      </c>
      <c r="N623">
        <f t="shared" si="56"/>
        <v>1.7484657213295333E-3</v>
      </c>
      <c r="O623">
        <f t="shared" si="57"/>
        <v>2.3312876284393778E-3</v>
      </c>
      <c r="P623">
        <f t="shared" si="58"/>
        <v>1.1656438142196889E-3</v>
      </c>
      <c r="Q623">
        <f t="shared" si="59"/>
        <v>1.1656438142196889E-3</v>
      </c>
      <c r="R623">
        <f t="shared" si="60"/>
        <v>5.5950903082545064E-2</v>
      </c>
    </row>
    <row r="624" spans="1:18" hidden="1" x14ac:dyDescent="0.25">
      <c r="A624" s="46">
        <v>2020</v>
      </c>
      <c r="B624" s="56">
        <v>352</v>
      </c>
      <c r="C624" s="47" t="s">
        <v>77</v>
      </c>
      <c r="D624" s="47" t="s">
        <v>52</v>
      </c>
      <c r="E624" s="47" t="s">
        <v>43</v>
      </c>
      <c r="F624" s="46">
        <v>6245</v>
      </c>
      <c r="G624" s="46">
        <v>300</v>
      </c>
      <c r="H624" s="46">
        <v>1030</v>
      </c>
      <c r="I624" s="46">
        <v>1195</v>
      </c>
      <c r="J624" s="46">
        <v>505</v>
      </c>
      <c r="K624" s="46">
        <v>290</v>
      </c>
      <c r="L624" s="46">
        <v>2930</v>
      </c>
      <c r="M624">
        <f t="shared" si="55"/>
        <v>3.4969314426590667E-2</v>
      </c>
      <c r="N624">
        <f t="shared" si="56"/>
        <v>0.12006131286462796</v>
      </c>
      <c r="O624">
        <f t="shared" si="57"/>
        <v>0.13929443579925282</v>
      </c>
      <c r="P624">
        <f t="shared" si="58"/>
        <v>5.8865012618094292E-2</v>
      </c>
      <c r="Q624">
        <f t="shared" si="59"/>
        <v>3.3803670612370981E-2</v>
      </c>
      <c r="R624">
        <f t="shared" si="60"/>
        <v>0.34153363756636884</v>
      </c>
    </row>
    <row r="625" spans="1:18" hidden="1" x14ac:dyDescent="0.25">
      <c r="A625" s="46">
        <v>2020</v>
      </c>
      <c r="B625" s="56">
        <v>352</v>
      </c>
      <c r="C625" s="47" t="s">
        <v>77</v>
      </c>
      <c r="D625" s="47" t="s">
        <v>52</v>
      </c>
      <c r="E625" s="47" t="s">
        <v>44</v>
      </c>
      <c r="F625" s="46">
        <v>1010</v>
      </c>
      <c r="G625" s="46">
        <v>90</v>
      </c>
      <c r="H625" s="46">
        <v>345</v>
      </c>
      <c r="I625" s="46">
        <v>355</v>
      </c>
      <c r="J625" s="46">
        <v>100</v>
      </c>
      <c r="K625" s="46">
        <v>50</v>
      </c>
      <c r="L625" s="46">
        <v>70</v>
      </c>
      <c r="M625">
        <f t="shared" si="55"/>
        <v>1.04907943279772E-2</v>
      </c>
      <c r="N625">
        <f t="shared" si="56"/>
        <v>4.0214711590579266E-2</v>
      </c>
      <c r="O625">
        <f t="shared" si="57"/>
        <v>4.1380355404798952E-2</v>
      </c>
      <c r="P625">
        <f t="shared" si="58"/>
        <v>1.1656438142196888E-2</v>
      </c>
      <c r="Q625">
        <f t="shared" si="59"/>
        <v>5.8282190710984439E-3</v>
      </c>
      <c r="R625">
        <f t="shared" si="60"/>
        <v>8.1595066995378222E-3</v>
      </c>
    </row>
    <row r="626" spans="1:18" hidden="1" x14ac:dyDescent="0.25">
      <c r="A626" s="46">
        <v>2020</v>
      </c>
      <c r="B626" s="56">
        <v>352</v>
      </c>
      <c r="C626" s="47" t="s">
        <v>77</v>
      </c>
      <c r="D626" s="47" t="s">
        <v>52</v>
      </c>
      <c r="E626" s="47" t="s">
        <v>45</v>
      </c>
      <c r="F626" s="46">
        <v>310</v>
      </c>
      <c r="G626" s="46">
        <v>10</v>
      </c>
      <c r="H626" s="46">
        <v>55</v>
      </c>
      <c r="I626" s="46">
        <v>95</v>
      </c>
      <c r="J626" s="46">
        <v>35</v>
      </c>
      <c r="K626" s="46">
        <v>15</v>
      </c>
      <c r="L626" s="46">
        <v>95</v>
      </c>
      <c r="M626">
        <f t="shared" si="55"/>
        <v>1.1656438142196889E-3</v>
      </c>
      <c r="N626">
        <f t="shared" si="56"/>
        <v>6.4110409782082893E-3</v>
      </c>
      <c r="O626">
        <f t="shared" si="57"/>
        <v>1.1073616235087045E-2</v>
      </c>
      <c r="P626">
        <f t="shared" si="58"/>
        <v>4.0797533497689111E-3</v>
      </c>
      <c r="Q626">
        <f t="shared" si="59"/>
        <v>1.7484657213295333E-3</v>
      </c>
      <c r="R626">
        <f t="shared" si="60"/>
        <v>1.1073616235087045E-2</v>
      </c>
    </row>
    <row r="627" spans="1:18" hidden="1" x14ac:dyDescent="0.25">
      <c r="A627" s="46">
        <v>2020</v>
      </c>
      <c r="B627" s="56">
        <v>352</v>
      </c>
      <c r="C627" s="47" t="s">
        <v>77</v>
      </c>
      <c r="D627" s="47" t="s">
        <v>52</v>
      </c>
      <c r="E627" s="47" t="s">
        <v>46</v>
      </c>
      <c r="F627" s="46">
        <v>405</v>
      </c>
      <c r="G627" s="46">
        <v>35</v>
      </c>
      <c r="H627" s="46">
        <v>120</v>
      </c>
      <c r="I627" s="46">
        <v>80</v>
      </c>
      <c r="J627" s="46">
        <v>25</v>
      </c>
      <c r="K627" s="46">
        <v>15</v>
      </c>
      <c r="L627" s="46">
        <v>130</v>
      </c>
      <c r="M627">
        <f t="shared" si="55"/>
        <v>4.0797533497689111E-3</v>
      </c>
      <c r="N627">
        <f t="shared" si="56"/>
        <v>1.3987725770636266E-2</v>
      </c>
      <c r="O627">
        <f t="shared" si="57"/>
        <v>9.3251505137575113E-3</v>
      </c>
      <c r="P627">
        <f t="shared" si="58"/>
        <v>2.914109535549222E-3</v>
      </c>
      <c r="Q627">
        <f t="shared" si="59"/>
        <v>1.7484657213295333E-3</v>
      </c>
      <c r="R627">
        <f t="shared" si="60"/>
        <v>1.5153369584855955E-2</v>
      </c>
    </row>
    <row r="628" spans="1:18" hidden="1" x14ac:dyDescent="0.25">
      <c r="A628" s="46">
        <v>2020</v>
      </c>
      <c r="B628" s="56">
        <v>352</v>
      </c>
      <c r="C628" s="47" t="s">
        <v>77</v>
      </c>
      <c r="D628" s="47" t="s">
        <v>52</v>
      </c>
      <c r="E628" s="47" t="s">
        <v>47</v>
      </c>
      <c r="F628" s="46">
        <v>490</v>
      </c>
      <c r="G628" s="46">
        <v>40</v>
      </c>
      <c r="H628" s="46">
        <v>100</v>
      </c>
      <c r="I628" s="46">
        <v>140</v>
      </c>
      <c r="J628" s="46">
        <v>50</v>
      </c>
      <c r="K628" s="46">
        <v>25</v>
      </c>
      <c r="L628" s="46">
        <v>130</v>
      </c>
      <c r="M628">
        <f t="shared" si="55"/>
        <v>4.6625752568787556E-3</v>
      </c>
      <c r="N628">
        <f t="shared" si="56"/>
        <v>1.1656438142196888E-2</v>
      </c>
      <c r="O628">
        <f t="shared" si="57"/>
        <v>1.6319013399075644E-2</v>
      </c>
      <c r="P628">
        <f t="shared" si="58"/>
        <v>5.8282190710984439E-3</v>
      </c>
      <c r="Q628">
        <f t="shared" si="59"/>
        <v>2.914109535549222E-3</v>
      </c>
      <c r="R628">
        <f t="shared" si="60"/>
        <v>1.5153369584855955E-2</v>
      </c>
    </row>
    <row r="629" spans="1:18" hidden="1" x14ac:dyDescent="0.25">
      <c r="A629" s="46">
        <v>2020</v>
      </c>
      <c r="B629" s="56">
        <v>352</v>
      </c>
      <c r="C629" s="47" t="s">
        <v>77</v>
      </c>
      <c r="D629" s="47" t="s">
        <v>52</v>
      </c>
      <c r="E629" s="47" t="s">
        <v>48</v>
      </c>
      <c r="F629" s="46">
        <v>2265</v>
      </c>
      <c r="G629" s="46">
        <v>90</v>
      </c>
      <c r="H629" s="46">
        <v>310</v>
      </c>
      <c r="I629" s="46">
        <v>400</v>
      </c>
      <c r="J629" s="46">
        <v>225</v>
      </c>
      <c r="K629" s="46">
        <v>140</v>
      </c>
      <c r="L629" s="46">
        <v>1095</v>
      </c>
      <c r="M629">
        <f t="shared" si="55"/>
        <v>1.04907943279772E-2</v>
      </c>
      <c r="N629">
        <f t="shared" si="56"/>
        <v>3.613495824081036E-2</v>
      </c>
      <c r="O629">
        <f t="shared" si="57"/>
        <v>4.6625752568787551E-2</v>
      </c>
      <c r="P629">
        <f t="shared" si="58"/>
        <v>2.6226985819943E-2</v>
      </c>
      <c r="Q629">
        <f t="shared" si="59"/>
        <v>1.6319013399075644E-2</v>
      </c>
      <c r="R629">
        <f t="shared" si="60"/>
        <v>0.12763799765705591</v>
      </c>
    </row>
    <row r="630" spans="1:18" hidden="1" x14ac:dyDescent="0.25">
      <c r="A630" s="46">
        <v>2020</v>
      </c>
      <c r="B630" s="56">
        <v>352</v>
      </c>
      <c r="C630" s="47" t="s">
        <v>77</v>
      </c>
      <c r="D630" s="47" t="s">
        <v>52</v>
      </c>
      <c r="E630" s="47" t="s">
        <v>49</v>
      </c>
      <c r="F630" s="46">
        <v>1150</v>
      </c>
      <c r="G630" s="46">
        <v>20</v>
      </c>
      <c r="H630" s="46">
        <v>80</v>
      </c>
      <c r="I630" s="46">
        <v>90</v>
      </c>
      <c r="J630" s="46">
        <v>60</v>
      </c>
      <c r="K630" s="46">
        <v>35</v>
      </c>
      <c r="L630" s="46">
        <v>865</v>
      </c>
      <c r="M630">
        <f t="shared" si="55"/>
        <v>2.3312876284393778E-3</v>
      </c>
      <c r="N630">
        <f t="shared" si="56"/>
        <v>9.3251505137575113E-3</v>
      </c>
      <c r="O630">
        <f t="shared" si="57"/>
        <v>1.04907943279772E-2</v>
      </c>
      <c r="P630">
        <f t="shared" si="58"/>
        <v>6.993862885318133E-3</v>
      </c>
      <c r="Q630">
        <f t="shared" si="59"/>
        <v>4.0797533497689111E-3</v>
      </c>
      <c r="R630">
        <f t="shared" si="60"/>
        <v>0.10082818993000309</v>
      </c>
    </row>
    <row r="631" spans="1:18" hidden="1" x14ac:dyDescent="0.25">
      <c r="A631" s="46">
        <v>2020</v>
      </c>
      <c r="B631" s="56">
        <v>352</v>
      </c>
      <c r="C631" s="47" t="s">
        <v>77</v>
      </c>
      <c r="D631" s="47" t="s">
        <v>52</v>
      </c>
      <c r="E631" s="47" t="s">
        <v>50</v>
      </c>
      <c r="F631" s="46">
        <v>615</v>
      </c>
      <c r="G631" s="46">
        <v>10</v>
      </c>
      <c r="H631" s="46">
        <v>20</v>
      </c>
      <c r="I631" s="46">
        <v>25</v>
      </c>
      <c r="J631" s="46">
        <v>10</v>
      </c>
      <c r="K631" s="46">
        <v>10</v>
      </c>
      <c r="L631" s="46">
        <v>540</v>
      </c>
      <c r="M631">
        <f t="shared" si="55"/>
        <v>1.1656438142196889E-3</v>
      </c>
      <c r="N631">
        <f t="shared" si="56"/>
        <v>2.3312876284393778E-3</v>
      </c>
      <c r="O631">
        <f t="shared" si="57"/>
        <v>2.914109535549222E-3</v>
      </c>
      <c r="P631">
        <f t="shared" si="58"/>
        <v>1.1656438142196889E-3</v>
      </c>
      <c r="Q631">
        <f t="shared" si="59"/>
        <v>1.1656438142196889E-3</v>
      </c>
      <c r="R631">
        <f t="shared" si="60"/>
        <v>6.2944765967863206E-2</v>
      </c>
    </row>
    <row r="632" spans="1:18" x14ac:dyDescent="0.25">
      <c r="A632" s="46">
        <v>2020</v>
      </c>
      <c r="B632" s="56">
        <v>353</v>
      </c>
      <c r="C632" s="47" t="s">
        <v>78</v>
      </c>
      <c r="D632" s="47" t="s">
        <v>42</v>
      </c>
      <c r="E632" s="47" t="s">
        <v>43</v>
      </c>
      <c r="F632" s="46">
        <v>22685</v>
      </c>
      <c r="G632" s="46">
        <v>1565</v>
      </c>
      <c r="H632" s="46">
        <v>4625</v>
      </c>
      <c r="I632" s="46">
        <v>4110</v>
      </c>
      <c r="J632" s="46">
        <v>2100</v>
      </c>
      <c r="K632" s="46">
        <v>1085</v>
      </c>
      <c r="L632" s="46">
        <v>9200</v>
      </c>
      <c r="M632">
        <f t="shared" si="55"/>
        <v>0.18242325692538133</v>
      </c>
      <c r="N632">
        <f t="shared" si="56"/>
        <v>0.53911026407660612</v>
      </c>
      <c r="O632">
        <f t="shared" si="57"/>
        <v>0.47907960764429214</v>
      </c>
      <c r="P632">
        <f t="shared" si="58"/>
        <v>0.24478520098613465</v>
      </c>
      <c r="Q632">
        <f t="shared" si="59"/>
        <v>0.12647235384283623</v>
      </c>
      <c r="R632">
        <f t="shared" si="60"/>
        <v>1.0723923090821139</v>
      </c>
    </row>
    <row r="633" spans="1:18" hidden="1" x14ac:dyDescent="0.25">
      <c r="A633" s="46">
        <v>2020</v>
      </c>
      <c r="B633" s="56">
        <v>353</v>
      </c>
      <c r="C633" s="47" t="s">
        <v>78</v>
      </c>
      <c r="D633" s="47" t="s">
        <v>42</v>
      </c>
      <c r="E633" s="47" t="s">
        <v>44</v>
      </c>
      <c r="F633" s="46">
        <v>2560</v>
      </c>
      <c r="G633" s="46">
        <v>315</v>
      </c>
      <c r="H633" s="46">
        <v>970</v>
      </c>
      <c r="I633" s="46">
        <v>640</v>
      </c>
      <c r="J633" s="46">
        <v>280</v>
      </c>
      <c r="K633" s="46">
        <v>125</v>
      </c>
      <c r="L633" s="46">
        <v>230</v>
      </c>
      <c r="M633">
        <f t="shared" si="55"/>
        <v>3.6717780147920202E-2</v>
      </c>
      <c r="N633">
        <f t="shared" si="56"/>
        <v>0.11306744997930983</v>
      </c>
      <c r="O633">
        <f t="shared" si="57"/>
        <v>7.460120411006009E-2</v>
      </c>
      <c r="P633">
        <f t="shared" si="58"/>
        <v>3.2638026798151289E-2</v>
      </c>
      <c r="Q633">
        <f t="shared" si="59"/>
        <v>1.4570547677746111E-2</v>
      </c>
      <c r="R633">
        <f t="shared" si="60"/>
        <v>2.6809807727052843E-2</v>
      </c>
    </row>
    <row r="634" spans="1:18" hidden="1" x14ac:dyDescent="0.25">
      <c r="A634" s="46">
        <v>2020</v>
      </c>
      <c r="B634" s="56">
        <v>353</v>
      </c>
      <c r="C634" s="47" t="s">
        <v>78</v>
      </c>
      <c r="D634" s="47" t="s">
        <v>42</v>
      </c>
      <c r="E634" s="47" t="s">
        <v>45</v>
      </c>
      <c r="F634" s="46">
        <v>860</v>
      </c>
      <c r="G634" s="46">
        <v>100</v>
      </c>
      <c r="H634" s="46">
        <v>220</v>
      </c>
      <c r="I634" s="46">
        <v>185</v>
      </c>
      <c r="J634" s="46">
        <v>85</v>
      </c>
      <c r="K634" s="46">
        <v>35</v>
      </c>
      <c r="L634" s="46">
        <v>230</v>
      </c>
      <c r="M634">
        <f t="shared" si="55"/>
        <v>1.1656438142196888E-2</v>
      </c>
      <c r="N634">
        <f t="shared" si="56"/>
        <v>2.5644163912833157E-2</v>
      </c>
      <c r="O634">
        <f t="shared" si="57"/>
        <v>2.1564410563064244E-2</v>
      </c>
      <c r="P634">
        <f t="shared" si="58"/>
        <v>9.9079724208673559E-3</v>
      </c>
      <c r="Q634">
        <f t="shared" si="59"/>
        <v>4.0797533497689111E-3</v>
      </c>
      <c r="R634">
        <f t="shared" si="60"/>
        <v>2.6809807727052843E-2</v>
      </c>
    </row>
    <row r="635" spans="1:18" hidden="1" x14ac:dyDescent="0.25">
      <c r="A635" s="46">
        <v>2020</v>
      </c>
      <c r="B635" s="56">
        <v>353</v>
      </c>
      <c r="C635" s="47" t="s">
        <v>78</v>
      </c>
      <c r="D635" s="47" t="s">
        <v>42</v>
      </c>
      <c r="E635" s="47" t="s">
        <v>46</v>
      </c>
      <c r="F635" s="46">
        <v>1895</v>
      </c>
      <c r="G635" s="46">
        <v>245</v>
      </c>
      <c r="H635" s="46">
        <v>625</v>
      </c>
      <c r="I635" s="46">
        <v>560</v>
      </c>
      <c r="J635" s="46">
        <v>95</v>
      </c>
      <c r="K635" s="46">
        <v>45</v>
      </c>
      <c r="L635" s="46">
        <v>320</v>
      </c>
      <c r="M635">
        <f t="shared" si="55"/>
        <v>2.8558273448382378E-2</v>
      </c>
      <c r="N635">
        <f t="shared" si="56"/>
        <v>7.2852738388730562E-2</v>
      </c>
      <c r="O635">
        <f t="shared" si="57"/>
        <v>6.5276053596302577E-2</v>
      </c>
      <c r="P635">
        <f t="shared" si="58"/>
        <v>1.1073616235087045E-2</v>
      </c>
      <c r="Q635">
        <f t="shared" si="59"/>
        <v>5.2453971639886002E-3</v>
      </c>
      <c r="R635">
        <f t="shared" si="60"/>
        <v>3.7300602055030045E-2</v>
      </c>
    </row>
    <row r="636" spans="1:18" hidden="1" x14ac:dyDescent="0.25">
      <c r="A636" s="46">
        <v>2020</v>
      </c>
      <c r="B636" s="56">
        <v>353</v>
      </c>
      <c r="C636" s="47" t="s">
        <v>78</v>
      </c>
      <c r="D636" s="47" t="s">
        <v>42</v>
      </c>
      <c r="E636" s="47" t="s">
        <v>47</v>
      </c>
      <c r="F636" s="46">
        <v>2620</v>
      </c>
      <c r="G636" s="46">
        <v>235</v>
      </c>
      <c r="H636" s="46">
        <v>785</v>
      </c>
      <c r="I636" s="46">
        <v>785</v>
      </c>
      <c r="J636" s="46">
        <v>355</v>
      </c>
      <c r="K636" s="46">
        <v>100</v>
      </c>
      <c r="L636" s="46">
        <v>365</v>
      </c>
      <c r="M636">
        <f t="shared" si="55"/>
        <v>2.7392629634162689E-2</v>
      </c>
      <c r="N636">
        <f t="shared" si="56"/>
        <v>9.1503039416245574E-2</v>
      </c>
      <c r="O636">
        <f t="shared" si="57"/>
        <v>9.1503039416245574E-2</v>
      </c>
      <c r="P636">
        <f t="shared" si="58"/>
        <v>4.1380355404798952E-2</v>
      </c>
      <c r="Q636">
        <f t="shared" si="59"/>
        <v>1.1656438142196888E-2</v>
      </c>
      <c r="R636">
        <f t="shared" si="60"/>
        <v>4.2545999219018645E-2</v>
      </c>
    </row>
    <row r="637" spans="1:18" hidden="1" x14ac:dyDescent="0.25">
      <c r="A637" s="46">
        <v>2020</v>
      </c>
      <c r="B637" s="56">
        <v>353</v>
      </c>
      <c r="C637" s="47" t="s">
        <v>78</v>
      </c>
      <c r="D637" s="47" t="s">
        <v>42</v>
      </c>
      <c r="E637" s="47" t="s">
        <v>48</v>
      </c>
      <c r="F637" s="46">
        <v>9375</v>
      </c>
      <c r="G637" s="46">
        <v>545</v>
      </c>
      <c r="H637" s="46">
        <v>1620</v>
      </c>
      <c r="I637" s="46">
        <v>1655</v>
      </c>
      <c r="J637" s="46">
        <v>1065</v>
      </c>
      <c r="K637" s="46">
        <v>630</v>
      </c>
      <c r="L637" s="46">
        <v>3855</v>
      </c>
      <c r="M637">
        <f t="shared" si="55"/>
        <v>6.3527587874973049E-2</v>
      </c>
      <c r="N637">
        <f t="shared" si="56"/>
        <v>0.1888342979035896</v>
      </c>
      <c r="O637">
        <f t="shared" si="57"/>
        <v>0.19291405125335853</v>
      </c>
      <c r="P637">
        <f t="shared" si="58"/>
        <v>0.12414106621439687</v>
      </c>
      <c r="Q637">
        <f t="shared" si="59"/>
        <v>7.3435560295840405E-2</v>
      </c>
      <c r="R637">
        <f t="shared" si="60"/>
        <v>0.4493556903816901</v>
      </c>
    </row>
    <row r="638" spans="1:18" hidden="1" x14ac:dyDescent="0.25">
      <c r="A638" s="46">
        <v>2020</v>
      </c>
      <c r="B638" s="56">
        <v>353</v>
      </c>
      <c r="C638" s="47" t="s">
        <v>78</v>
      </c>
      <c r="D638" s="47" t="s">
        <v>42</v>
      </c>
      <c r="E638" s="47" t="s">
        <v>49</v>
      </c>
      <c r="F638" s="46">
        <v>3700</v>
      </c>
      <c r="G638" s="46">
        <v>105</v>
      </c>
      <c r="H638" s="46">
        <v>355</v>
      </c>
      <c r="I638" s="46">
        <v>255</v>
      </c>
      <c r="J638" s="46">
        <v>195</v>
      </c>
      <c r="K638" s="46">
        <v>125</v>
      </c>
      <c r="L638" s="46">
        <v>2665</v>
      </c>
      <c r="M638">
        <f t="shared" si="55"/>
        <v>1.2239260049306732E-2</v>
      </c>
      <c r="N638">
        <f t="shared" si="56"/>
        <v>4.1380355404798952E-2</v>
      </c>
      <c r="O638">
        <f t="shared" si="57"/>
        <v>2.9723917262602068E-2</v>
      </c>
      <c r="P638">
        <f t="shared" si="58"/>
        <v>2.2730054377283933E-2</v>
      </c>
      <c r="Q638">
        <f t="shared" si="59"/>
        <v>1.4570547677746111E-2</v>
      </c>
      <c r="R638">
        <f t="shared" si="60"/>
        <v>0.31064407648954712</v>
      </c>
    </row>
    <row r="639" spans="1:18" hidden="1" x14ac:dyDescent="0.25">
      <c r="A639" s="46">
        <v>2020</v>
      </c>
      <c r="B639" s="56">
        <v>353</v>
      </c>
      <c r="C639" s="47" t="s">
        <v>78</v>
      </c>
      <c r="D639" s="47" t="s">
        <v>42</v>
      </c>
      <c r="E639" s="47" t="s">
        <v>50</v>
      </c>
      <c r="F639" s="46">
        <v>1675</v>
      </c>
      <c r="G639" s="46">
        <v>10</v>
      </c>
      <c r="H639" s="46">
        <v>50</v>
      </c>
      <c r="I639" s="46">
        <v>30</v>
      </c>
      <c r="J639" s="46">
        <v>30</v>
      </c>
      <c r="K639" s="46">
        <v>25</v>
      </c>
      <c r="L639" s="46">
        <v>1525</v>
      </c>
      <c r="M639">
        <f t="shared" si="55"/>
        <v>1.1656438142196889E-3</v>
      </c>
      <c r="N639">
        <f t="shared" si="56"/>
        <v>5.8282190710984439E-3</v>
      </c>
      <c r="O639">
        <f t="shared" si="57"/>
        <v>3.4969314426590665E-3</v>
      </c>
      <c r="P639">
        <f t="shared" si="58"/>
        <v>3.4969314426590665E-3</v>
      </c>
      <c r="Q639">
        <f t="shared" si="59"/>
        <v>2.914109535549222E-3</v>
      </c>
      <c r="R639">
        <f t="shared" si="60"/>
        <v>0.17776068166850256</v>
      </c>
    </row>
    <row r="640" spans="1:18" hidden="1" x14ac:dyDescent="0.25">
      <c r="A640" s="46">
        <v>2020</v>
      </c>
      <c r="B640" s="56">
        <v>353</v>
      </c>
      <c r="C640" s="47" t="s">
        <v>78</v>
      </c>
      <c r="D640" s="47" t="s">
        <v>51</v>
      </c>
      <c r="E640" s="47" t="s">
        <v>43</v>
      </c>
      <c r="F640" s="46">
        <v>13110</v>
      </c>
      <c r="G640" s="46">
        <v>935</v>
      </c>
      <c r="H640" s="46">
        <v>2780</v>
      </c>
      <c r="I640" s="46">
        <v>2870</v>
      </c>
      <c r="J640" s="46">
        <v>1350</v>
      </c>
      <c r="K640" s="46">
        <v>585</v>
      </c>
      <c r="L640" s="46">
        <v>4595</v>
      </c>
      <c r="M640">
        <f t="shared" si="55"/>
        <v>0.10898769662954091</v>
      </c>
      <c r="N640">
        <f t="shared" si="56"/>
        <v>0.3240489803530735</v>
      </c>
      <c r="O640">
        <f t="shared" si="57"/>
        <v>0.33453977468105073</v>
      </c>
      <c r="P640">
        <f t="shared" si="58"/>
        <v>0.15736191491965801</v>
      </c>
      <c r="Q640">
        <f t="shared" si="59"/>
        <v>6.8190163131851805E-2</v>
      </c>
      <c r="R640">
        <f t="shared" si="60"/>
        <v>0.53561333263394706</v>
      </c>
    </row>
    <row r="641" spans="1:18" hidden="1" x14ac:dyDescent="0.25">
      <c r="A641" s="46">
        <v>2020</v>
      </c>
      <c r="B641" s="56">
        <v>353</v>
      </c>
      <c r="C641" s="47" t="s">
        <v>78</v>
      </c>
      <c r="D641" s="47" t="s">
        <v>51</v>
      </c>
      <c r="E641" s="47" t="s">
        <v>44</v>
      </c>
      <c r="F641" s="46">
        <v>1280</v>
      </c>
      <c r="G641" s="46">
        <v>165</v>
      </c>
      <c r="H641" s="46">
        <v>490</v>
      </c>
      <c r="I641" s="46">
        <v>315</v>
      </c>
      <c r="J641" s="46">
        <v>135</v>
      </c>
      <c r="K641" s="46">
        <v>60</v>
      </c>
      <c r="L641" s="46">
        <v>110</v>
      </c>
      <c r="M641">
        <f t="shared" si="55"/>
        <v>1.9233122934624865E-2</v>
      </c>
      <c r="N641">
        <f t="shared" si="56"/>
        <v>5.7116546896764757E-2</v>
      </c>
      <c r="O641">
        <f t="shared" si="57"/>
        <v>3.6717780147920202E-2</v>
      </c>
      <c r="P641">
        <f t="shared" si="58"/>
        <v>1.5736191491965801E-2</v>
      </c>
      <c r="Q641">
        <f t="shared" si="59"/>
        <v>6.993862885318133E-3</v>
      </c>
      <c r="R641">
        <f t="shared" si="60"/>
        <v>1.2822081956416579E-2</v>
      </c>
    </row>
    <row r="642" spans="1:18" hidden="1" x14ac:dyDescent="0.25">
      <c r="A642" s="46">
        <v>2020</v>
      </c>
      <c r="B642" s="56">
        <v>353</v>
      </c>
      <c r="C642" s="47" t="s">
        <v>78</v>
      </c>
      <c r="D642" s="47" t="s">
        <v>51</v>
      </c>
      <c r="E642" s="47" t="s">
        <v>45</v>
      </c>
      <c r="F642" s="46">
        <v>470</v>
      </c>
      <c r="G642" s="46">
        <v>60</v>
      </c>
      <c r="H642" s="46">
        <v>115</v>
      </c>
      <c r="I642" s="46">
        <v>110</v>
      </c>
      <c r="J642" s="46">
        <v>55</v>
      </c>
      <c r="K642" s="46">
        <v>20</v>
      </c>
      <c r="L642" s="46">
        <v>115</v>
      </c>
      <c r="M642">
        <f t="shared" si="55"/>
        <v>6.993862885318133E-3</v>
      </c>
      <c r="N642">
        <f t="shared" si="56"/>
        <v>1.3404903863526422E-2</v>
      </c>
      <c r="O642">
        <f t="shared" si="57"/>
        <v>1.2822081956416579E-2</v>
      </c>
      <c r="P642">
        <f t="shared" si="58"/>
        <v>6.4110409782082893E-3</v>
      </c>
      <c r="Q642">
        <f t="shared" si="59"/>
        <v>2.3312876284393778E-3</v>
      </c>
      <c r="R642">
        <f t="shared" si="60"/>
        <v>1.3404903863526422E-2</v>
      </c>
    </row>
    <row r="643" spans="1:18" hidden="1" x14ac:dyDescent="0.25">
      <c r="A643" s="46">
        <v>2020</v>
      </c>
      <c r="B643" s="56">
        <v>353</v>
      </c>
      <c r="C643" s="47" t="s">
        <v>78</v>
      </c>
      <c r="D643" s="47" t="s">
        <v>51</v>
      </c>
      <c r="E643" s="47" t="s">
        <v>46</v>
      </c>
      <c r="F643" s="46">
        <v>1280</v>
      </c>
      <c r="G643" s="46">
        <v>160</v>
      </c>
      <c r="H643" s="46">
        <v>410</v>
      </c>
      <c r="I643" s="46">
        <v>455</v>
      </c>
      <c r="J643" s="46">
        <v>65</v>
      </c>
      <c r="K643" s="46">
        <v>30</v>
      </c>
      <c r="L643" s="46">
        <v>165</v>
      </c>
      <c r="M643">
        <f t="shared" si="55"/>
        <v>1.8650301027515023E-2</v>
      </c>
      <c r="N643">
        <f t="shared" si="56"/>
        <v>4.7791396383007244E-2</v>
      </c>
      <c r="O643">
        <f t="shared" si="57"/>
        <v>5.3036793546995843E-2</v>
      </c>
      <c r="P643">
        <f t="shared" si="58"/>
        <v>7.5766847924279776E-3</v>
      </c>
      <c r="Q643">
        <f t="shared" si="59"/>
        <v>3.4969314426590665E-3</v>
      </c>
      <c r="R643">
        <f t="shared" si="60"/>
        <v>1.9233122934624865E-2</v>
      </c>
    </row>
    <row r="644" spans="1:18" hidden="1" x14ac:dyDescent="0.25">
      <c r="A644" s="46">
        <v>2020</v>
      </c>
      <c r="B644" s="56">
        <v>353</v>
      </c>
      <c r="C644" s="47" t="s">
        <v>78</v>
      </c>
      <c r="D644" s="47" t="s">
        <v>51</v>
      </c>
      <c r="E644" s="47" t="s">
        <v>47</v>
      </c>
      <c r="F644" s="46">
        <v>1760</v>
      </c>
      <c r="G644" s="46">
        <v>145</v>
      </c>
      <c r="H644" s="46">
        <v>500</v>
      </c>
      <c r="I644" s="46">
        <v>615</v>
      </c>
      <c r="J644" s="46">
        <v>250</v>
      </c>
      <c r="K644" s="46">
        <v>50</v>
      </c>
      <c r="L644" s="46">
        <v>200</v>
      </c>
      <c r="M644">
        <f t="shared" si="55"/>
        <v>1.6901835306185491E-2</v>
      </c>
      <c r="N644">
        <f t="shared" si="56"/>
        <v>5.8282190710984443E-2</v>
      </c>
      <c r="O644">
        <f t="shared" si="57"/>
        <v>7.1687094574510862E-2</v>
      </c>
      <c r="P644">
        <f t="shared" si="58"/>
        <v>2.9141095355492221E-2</v>
      </c>
      <c r="Q644">
        <f t="shared" si="59"/>
        <v>5.8282190710984439E-3</v>
      </c>
      <c r="R644">
        <f t="shared" si="60"/>
        <v>2.3312876284393776E-2</v>
      </c>
    </row>
    <row r="645" spans="1:18" hidden="1" x14ac:dyDescent="0.25">
      <c r="A645" s="46">
        <v>2020</v>
      </c>
      <c r="B645" s="56">
        <v>353</v>
      </c>
      <c r="C645" s="47" t="s">
        <v>78</v>
      </c>
      <c r="D645" s="47" t="s">
        <v>51</v>
      </c>
      <c r="E645" s="47" t="s">
        <v>48</v>
      </c>
      <c r="F645" s="46">
        <v>5480</v>
      </c>
      <c r="G645" s="46">
        <v>340</v>
      </c>
      <c r="H645" s="46">
        <v>1030</v>
      </c>
      <c r="I645" s="46">
        <v>1190</v>
      </c>
      <c r="J645" s="46">
        <v>720</v>
      </c>
      <c r="K645" s="46">
        <v>350</v>
      </c>
      <c r="L645" s="46">
        <v>1850</v>
      </c>
      <c r="M645">
        <f t="shared" si="55"/>
        <v>3.9631889683469423E-2</v>
      </c>
      <c r="N645">
        <f t="shared" si="56"/>
        <v>0.12006131286462796</v>
      </c>
      <c r="O645">
        <f t="shared" si="57"/>
        <v>0.13871161389214298</v>
      </c>
      <c r="P645">
        <f t="shared" si="58"/>
        <v>8.3926354623817603E-2</v>
      </c>
      <c r="Q645">
        <f t="shared" si="59"/>
        <v>4.0797533497689109E-2</v>
      </c>
      <c r="R645">
        <f t="shared" si="60"/>
        <v>0.21564410563064246</v>
      </c>
    </row>
    <row r="646" spans="1:18" hidden="1" x14ac:dyDescent="0.25">
      <c r="A646" s="46">
        <v>2020</v>
      </c>
      <c r="B646" s="56">
        <v>353</v>
      </c>
      <c r="C646" s="47" t="s">
        <v>78</v>
      </c>
      <c r="D646" s="47" t="s">
        <v>51</v>
      </c>
      <c r="E646" s="47" t="s">
        <v>49</v>
      </c>
      <c r="F646" s="46">
        <v>2060</v>
      </c>
      <c r="G646" s="46">
        <v>65</v>
      </c>
      <c r="H646" s="46">
        <v>215</v>
      </c>
      <c r="I646" s="46">
        <v>165</v>
      </c>
      <c r="J646" s="46">
        <v>110</v>
      </c>
      <c r="K646" s="46">
        <v>65</v>
      </c>
      <c r="L646" s="46">
        <v>1440</v>
      </c>
      <c r="M646">
        <f t="shared" si="55"/>
        <v>7.5766847924279776E-3</v>
      </c>
      <c r="N646">
        <f t="shared" si="56"/>
        <v>2.5061342005723308E-2</v>
      </c>
      <c r="O646">
        <f t="shared" si="57"/>
        <v>1.9233122934624865E-2</v>
      </c>
      <c r="P646">
        <f t="shared" si="58"/>
        <v>1.2822081956416579E-2</v>
      </c>
      <c r="Q646">
        <f t="shared" si="59"/>
        <v>7.5766847924279776E-3</v>
      </c>
      <c r="R646">
        <f t="shared" si="60"/>
        <v>0.16785270924763521</v>
      </c>
    </row>
    <row r="647" spans="1:18" hidden="1" x14ac:dyDescent="0.25">
      <c r="A647" s="46">
        <v>2020</v>
      </c>
      <c r="B647" s="56">
        <v>353</v>
      </c>
      <c r="C647" s="47" t="s">
        <v>78</v>
      </c>
      <c r="D647" s="47" t="s">
        <v>51</v>
      </c>
      <c r="E647" s="47" t="s">
        <v>50</v>
      </c>
      <c r="F647" s="46">
        <v>780</v>
      </c>
      <c r="G647" s="46">
        <v>5</v>
      </c>
      <c r="H647" s="46">
        <v>20</v>
      </c>
      <c r="I647" s="46">
        <v>15</v>
      </c>
      <c r="J647" s="46">
        <v>15</v>
      </c>
      <c r="K647" s="46">
        <v>10</v>
      </c>
      <c r="L647" s="46">
        <v>715</v>
      </c>
      <c r="M647">
        <f t="shared" si="55"/>
        <v>5.8282190710984446E-4</v>
      </c>
      <c r="N647">
        <f t="shared" si="56"/>
        <v>2.3312876284393778E-3</v>
      </c>
      <c r="O647">
        <f t="shared" si="57"/>
        <v>1.7484657213295333E-3</v>
      </c>
      <c r="P647">
        <f t="shared" si="58"/>
        <v>1.7484657213295333E-3</v>
      </c>
      <c r="Q647">
        <f t="shared" si="59"/>
        <v>1.1656438142196889E-3</v>
      </c>
      <c r="R647">
        <f t="shared" si="60"/>
        <v>8.3343532716707761E-2</v>
      </c>
    </row>
    <row r="648" spans="1:18" hidden="1" x14ac:dyDescent="0.25">
      <c r="A648" s="46">
        <v>2020</v>
      </c>
      <c r="B648" s="56">
        <v>353</v>
      </c>
      <c r="C648" s="47" t="s">
        <v>78</v>
      </c>
      <c r="D648" s="47" t="s">
        <v>52</v>
      </c>
      <c r="E648" s="47" t="s">
        <v>43</v>
      </c>
      <c r="F648" s="46">
        <v>9575</v>
      </c>
      <c r="G648" s="46">
        <v>630</v>
      </c>
      <c r="H648" s="46">
        <v>1845</v>
      </c>
      <c r="I648" s="46">
        <v>1240</v>
      </c>
      <c r="J648" s="46">
        <v>750</v>
      </c>
      <c r="K648" s="46">
        <v>500</v>
      </c>
      <c r="L648" s="46">
        <v>4605</v>
      </c>
      <c r="M648">
        <f t="shared" si="55"/>
        <v>7.3435560295840405E-2</v>
      </c>
      <c r="N648">
        <f t="shared" si="56"/>
        <v>0.21506128372353259</v>
      </c>
      <c r="O648">
        <f t="shared" si="57"/>
        <v>0.14453983296324144</v>
      </c>
      <c r="P648">
        <f t="shared" si="58"/>
        <v>8.742328606647666E-2</v>
      </c>
      <c r="Q648">
        <f t="shared" si="59"/>
        <v>5.8282190710984443E-2</v>
      </c>
      <c r="R648">
        <f t="shared" si="60"/>
        <v>0.53677897644816674</v>
      </c>
    </row>
    <row r="649" spans="1:18" hidden="1" x14ac:dyDescent="0.25">
      <c r="A649" s="46">
        <v>2020</v>
      </c>
      <c r="B649" s="56">
        <v>353</v>
      </c>
      <c r="C649" s="47" t="s">
        <v>78</v>
      </c>
      <c r="D649" s="47" t="s">
        <v>52</v>
      </c>
      <c r="E649" s="47" t="s">
        <v>44</v>
      </c>
      <c r="F649" s="46">
        <v>1285</v>
      </c>
      <c r="G649" s="46">
        <v>155</v>
      </c>
      <c r="H649" s="46">
        <v>480</v>
      </c>
      <c r="I649" s="46">
        <v>320</v>
      </c>
      <c r="J649" s="46">
        <v>145</v>
      </c>
      <c r="K649" s="46">
        <v>65</v>
      </c>
      <c r="L649" s="46">
        <v>120</v>
      </c>
      <c r="M649">
        <f t="shared" ref="M649:M712" si="61">G649/$F$8*100</f>
        <v>1.806747912040518E-2</v>
      </c>
      <c r="N649">
        <f t="shared" ref="N649:N712" si="62">H649/$F$8*100</f>
        <v>5.5950903082545064E-2</v>
      </c>
      <c r="O649">
        <f t="shared" ref="O649:O712" si="63">I649/$F$8*100</f>
        <v>3.7300602055030045E-2</v>
      </c>
      <c r="P649">
        <f t="shared" ref="P649:P712" si="64">J649/$F$8*100</f>
        <v>1.6901835306185491E-2</v>
      </c>
      <c r="Q649">
        <f t="shared" ref="Q649:Q712" si="65">K649/$F$8*100</f>
        <v>7.5766847924279776E-3</v>
      </c>
      <c r="R649">
        <f t="shared" ref="R649:R712" si="66">L649/$F$8*100</f>
        <v>1.3987725770636266E-2</v>
      </c>
    </row>
    <row r="650" spans="1:18" hidden="1" x14ac:dyDescent="0.25">
      <c r="A650" s="46">
        <v>2020</v>
      </c>
      <c r="B650" s="56">
        <v>353</v>
      </c>
      <c r="C650" s="47" t="s">
        <v>78</v>
      </c>
      <c r="D650" s="47" t="s">
        <v>52</v>
      </c>
      <c r="E650" s="47" t="s">
        <v>45</v>
      </c>
      <c r="F650" s="46">
        <v>385</v>
      </c>
      <c r="G650" s="46">
        <v>40</v>
      </c>
      <c r="H650" s="46">
        <v>105</v>
      </c>
      <c r="I650" s="46">
        <v>75</v>
      </c>
      <c r="J650" s="46">
        <v>30</v>
      </c>
      <c r="K650" s="46">
        <v>15</v>
      </c>
      <c r="L650" s="46">
        <v>115</v>
      </c>
      <c r="M650">
        <f t="shared" si="61"/>
        <v>4.6625752568787556E-3</v>
      </c>
      <c r="N650">
        <f t="shared" si="62"/>
        <v>1.2239260049306732E-2</v>
      </c>
      <c r="O650">
        <f t="shared" si="63"/>
        <v>8.7423286066476667E-3</v>
      </c>
      <c r="P650">
        <f t="shared" si="64"/>
        <v>3.4969314426590665E-3</v>
      </c>
      <c r="Q650">
        <f t="shared" si="65"/>
        <v>1.7484657213295333E-3</v>
      </c>
      <c r="R650">
        <f t="shared" si="66"/>
        <v>1.3404903863526422E-2</v>
      </c>
    </row>
    <row r="651" spans="1:18" hidden="1" x14ac:dyDescent="0.25">
      <c r="A651" s="46">
        <v>2020</v>
      </c>
      <c r="B651" s="56">
        <v>353</v>
      </c>
      <c r="C651" s="47" t="s">
        <v>78</v>
      </c>
      <c r="D651" s="47" t="s">
        <v>52</v>
      </c>
      <c r="E651" s="47" t="s">
        <v>46</v>
      </c>
      <c r="F651" s="46">
        <v>615</v>
      </c>
      <c r="G651" s="46">
        <v>85</v>
      </c>
      <c r="H651" s="46">
        <v>220</v>
      </c>
      <c r="I651" s="46">
        <v>105</v>
      </c>
      <c r="J651" s="46">
        <v>30</v>
      </c>
      <c r="K651" s="46">
        <v>20</v>
      </c>
      <c r="L651" s="46">
        <v>155</v>
      </c>
      <c r="M651">
        <f t="shared" si="61"/>
        <v>9.9079724208673559E-3</v>
      </c>
      <c r="N651">
        <f t="shared" si="62"/>
        <v>2.5644163912833157E-2</v>
      </c>
      <c r="O651">
        <f t="shared" si="63"/>
        <v>1.2239260049306732E-2</v>
      </c>
      <c r="P651">
        <f t="shared" si="64"/>
        <v>3.4969314426590665E-3</v>
      </c>
      <c r="Q651">
        <f t="shared" si="65"/>
        <v>2.3312876284393778E-3</v>
      </c>
      <c r="R651">
        <f t="shared" si="66"/>
        <v>1.806747912040518E-2</v>
      </c>
    </row>
    <row r="652" spans="1:18" hidden="1" x14ac:dyDescent="0.25">
      <c r="A652" s="46">
        <v>2020</v>
      </c>
      <c r="B652" s="56">
        <v>353</v>
      </c>
      <c r="C652" s="47" t="s">
        <v>78</v>
      </c>
      <c r="D652" s="47" t="s">
        <v>52</v>
      </c>
      <c r="E652" s="47" t="s">
        <v>47</v>
      </c>
      <c r="F652" s="46">
        <v>865</v>
      </c>
      <c r="G652" s="46">
        <v>90</v>
      </c>
      <c r="H652" s="46">
        <v>285</v>
      </c>
      <c r="I652" s="46">
        <v>170</v>
      </c>
      <c r="J652" s="46">
        <v>100</v>
      </c>
      <c r="K652" s="46">
        <v>50</v>
      </c>
      <c r="L652" s="46">
        <v>170</v>
      </c>
      <c r="M652">
        <f t="shared" si="61"/>
        <v>1.04907943279772E-2</v>
      </c>
      <c r="N652">
        <f t="shared" si="62"/>
        <v>3.3220848705261131E-2</v>
      </c>
      <c r="O652">
        <f t="shared" si="63"/>
        <v>1.9815944841734712E-2</v>
      </c>
      <c r="P652">
        <f t="shared" si="64"/>
        <v>1.1656438142196888E-2</v>
      </c>
      <c r="Q652">
        <f t="shared" si="65"/>
        <v>5.8282190710984439E-3</v>
      </c>
      <c r="R652">
        <f t="shared" si="66"/>
        <v>1.9815944841734712E-2</v>
      </c>
    </row>
    <row r="653" spans="1:18" hidden="1" x14ac:dyDescent="0.25">
      <c r="A653" s="46">
        <v>2020</v>
      </c>
      <c r="B653" s="56">
        <v>353</v>
      </c>
      <c r="C653" s="47" t="s">
        <v>78</v>
      </c>
      <c r="D653" s="47" t="s">
        <v>52</v>
      </c>
      <c r="E653" s="47" t="s">
        <v>48</v>
      </c>
      <c r="F653" s="46">
        <v>3890</v>
      </c>
      <c r="G653" s="46">
        <v>210</v>
      </c>
      <c r="H653" s="46">
        <v>590</v>
      </c>
      <c r="I653" s="46">
        <v>465</v>
      </c>
      <c r="J653" s="46">
        <v>345</v>
      </c>
      <c r="K653" s="46">
        <v>280</v>
      </c>
      <c r="L653" s="46">
        <v>2005</v>
      </c>
      <c r="M653">
        <f t="shared" si="61"/>
        <v>2.4478520098613465E-2</v>
      </c>
      <c r="N653">
        <f t="shared" si="62"/>
        <v>6.8772985038961648E-2</v>
      </c>
      <c r="O653">
        <f t="shared" si="63"/>
        <v>5.4202437361215529E-2</v>
      </c>
      <c r="P653">
        <f t="shared" si="64"/>
        <v>4.0214711590579266E-2</v>
      </c>
      <c r="Q653">
        <f t="shared" si="65"/>
        <v>3.2638026798151289E-2</v>
      </c>
      <c r="R653">
        <f t="shared" si="66"/>
        <v>0.23371158475104761</v>
      </c>
    </row>
    <row r="654" spans="1:18" hidden="1" x14ac:dyDescent="0.25">
      <c r="A654" s="46">
        <v>2020</v>
      </c>
      <c r="B654" s="56">
        <v>353</v>
      </c>
      <c r="C654" s="47" t="s">
        <v>78</v>
      </c>
      <c r="D654" s="47" t="s">
        <v>52</v>
      </c>
      <c r="E654" s="47" t="s">
        <v>49</v>
      </c>
      <c r="F654" s="46">
        <v>1640</v>
      </c>
      <c r="G654" s="46">
        <v>40</v>
      </c>
      <c r="H654" s="46">
        <v>140</v>
      </c>
      <c r="I654" s="46">
        <v>90</v>
      </c>
      <c r="J654" s="46">
        <v>80</v>
      </c>
      <c r="K654" s="46">
        <v>60</v>
      </c>
      <c r="L654" s="46">
        <v>1230</v>
      </c>
      <c r="M654">
        <f t="shared" si="61"/>
        <v>4.6625752568787556E-3</v>
      </c>
      <c r="N654">
        <f t="shared" si="62"/>
        <v>1.6319013399075644E-2</v>
      </c>
      <c r="O654">
        <f t="shared" si="63"/>
        <v>1.04907943279772E-2</v>
      </c>
      <c r="P654">
        <f t="shared" si="64"/>
        <v>9.3251505137575113E-3</v>
      </c>
      <c r="Q654">
        <f t="shared" si="65"/>
        <v>6.993862885318133E-3</v>
      </c>
      <c r="R654">
        <f t="shared" si="66"/>
        <v>0.14337418914902172</v>
      </c>
    </row>
    <row r="655" spans="1:18" hidden="1" x14ac:dyDescent="0.25">
      <c r="A655" s="46">
        <v>2020</v>
      </c>
      <c r="B655" s="56">
        <v>353</v>
      </c>
      <c r="C655" s="47" t="s">
        <v>78</v>
      </c>
      <c r="D655" s="47" t="s">
        <v>52</v>
      </c>
      <c r="E655" s="47" t="s">
        <v>50</v>
      </c>
      <c r="F655" s="46">
        <v>890</v>
      </c>
      <c r="G655" s="46">
        <v>5</v>
      </c>
      <c r="H655" s="46">
        <v>30</v>
      </c>
      <c r="I655" s="46">
        <v>15</v>
      </c>
      <c r="J655" s="46">
        <v>15</v>
      </c>
      <c r="K655" s="46">
        <v>15</v>
      </c>
      <c r="L655" s="46">
        <v>810</v>
      </c>
      <c r="M655">
        <f t="shared" si="61"/>
        <v>5.8282190710984446E-4</v>
      </c>
      <c r="N655">
        <f t="shared" si="62"/>
        <v>3.4969314426590665E-3</v>
      </c>
      <c r="O655">
        <f t="shared" si="63"/>
        <v>1.7484657213295333E-3</v>
      </c>
      <c r="P655">
        <f t="shared" si="64"/>
        <v>1.7484657213295333E-3</v>
      </c>
      <c r="Q655">
        <f t="shared" si="65"/>
        <v>1.7484657213295333E-3</v>
      </c>
      <c r="R655">
        <f t="shared" si="66"/>
        <v>9.4417148951794802E-2</v>
      </c>
    </row>
    <row r="656" spans="1:18" x14ac:dyDescent="0.25">
      <c r="A656" s="46">
        <v>2020</v>
      </c>
      <c r="B656" s="56">
        <v>354</v>
      </c>
      <c r="C656" s="47" t="s">
        <v>79</v>
      </c>
      <c r="D656" s="47" t="s">
        <v>42</v>
      </c>
      <c r="E656" s="47" t="s">
        <v>43</v>
      </c>
      <c r="F656" s="46">
        <v>2900</v>
      </c>
      <c r="G656" s="46">
        <v>215</v>
      </c>
      <c r="H656" s="46">
        <v>655</v>
      </c>
      <c r="I656" s="46">
        <v>605</v>
      </c>
      <c r="J656" s="46">
        <v>370</v>
      </c>
      <c r="K656" s="46">
        <v>175</v>
      </c>
      <c r="L656" s="46">
        <v>885</v>
      </c>
      <c r="M656">
        <f t="shared" si="61"/>
        <v>2.5061342005723308E-2</v>
      </c>
      <c r="N656">
        <f t="shared" si="62"/>
        <v>7.6349669831389619E-2</v>
      </c>
      <c r="O656">
        <f t="shared" si="63"/>
        <v>7.0521450760291177E-2</v>
      </c>
      <c r="P656">
        <f t="shared" si="64"/>
        <v>4.3128821126128487E-2</v>
      </c>
      <c r="Q656">
        <f t="shared" si="65"/>
        <v>2.0398766748844555E-2</v>
      </c>
      <c r="R656">
        <f t="shared" si="66"/>
        <v>0.10315947755844246</v>
      </c>
    </row>
    <row r="657" spans="1:18" hidden="1" x14ac:dyDescent="0.25">
      <c r="A657" s="46">
        <v>2020</v>
      </c>
      <c r="B657" s="56">
        <v>354</v>
      </c>
      <c r="C657" s="47" t="s">
        <v>79</v>
      </c>
      <c r="D657" s="47" t="s">
        <v>42</v>
      </c>
      <c r="E657" s="47" t="s">
        <v>44</v>
      </c>
      <c r="F657" s="46">
        <v>530</v>
      </c>
      <c r="G657" s="46">
        <v>65</v>
      </c>
      <c r="H657" s="46">
        <v>200</v>
      </c>
      <c r="I657" s="46">
        <v>155</v>
      </c>
      <c r="J657" s="46">
        <v>70</v>
      </c>
      <c r="K657" s="46">
        <v>25</v>
      </c>
      <c r="L657" s="46">
        <v>20</v>
      </c>
      <c r="M657">
        <f t="shared" si="61"/>
        <v>7.5766847924279776E-3</v>
      </c>
      <c r="N657">
        <f t="shared" si="62"/>
        <v>2.3312876284393776E-2</v>
      </c>
      <c r="O657">
        <f t="shared" si="63"/>
        <v>1.806747912040518E-2</v>
      </c>
      <c r="P657">
        <f t="shared" si="64"/>
        <v>8.1595066995378222E-3</v>
      </c>
      <c r="Q657">
        <f t="shared" si="65"/>
        <v>2.914109535549222E-3</v>
      </c>
      <c r="R657">
        <f t="shared" si="66"/>
        <v>2.3312876284393778E-3</v>
      </c>
    </row>
    <row r="658" spans="1:18" hidden="1" x14ac:dyDescent="0.25">
      <c r="A658" s="46">
        <v>2020</v>
      </c>
      <c r="B658" s="56">
        <v>354</v>
      </c>
      <c r="C658" s="47" t="s">
        <v>79</v>
      </c>
      <c r="D658" s="47" t="s">
        <v>42</v>
      </c>
      <c r="E658" s="47" t="s">
        <v>45</v>
      </c>
      <c r="F658" s="46">
        <v>150</v>
      </c>
      <c r="G658" s="46">
        <v>10</v>
      </c>
      <c r="H658" s="46">
        <v>35</v>
      </c>
      <c r="I658" s="46">
        <v>35</v>
      </c>
      <c r="J658" s="46">
        <v>25</v>
      </c>
      <c r="K658" s="46">
        <v>5</v>
      </c>
      <c r="L658" s="46">
        <v>35</v>
      </c>
      <c r="M658">
        <f t="shared" si="61"/>
        <v>1.1656438142196889E-3</v>
      </c>
      <c r="N658">
        <f t="shared" si="62"/>
        <v>4.0797533497689111E-3</v>
      </c>
      <c r="O658">
        <f t="shared" si="63"/>
        <v>4.0797533497689111E-3</v>
      </c>
      <c r="P658">
        <f t="shared" si="64"/>
        <v>2.914109535549222E-3</v>
      </c>
      <c r="Q658">
        <f t="shared" si="65"/>
        <v>5.8282190710984446E-4</v>
      </c>
      <c r="R658">
        <f t="shared" si="66"/>
        <v>4.0797533497689111E-3</v>
      </c>
    </row>
    <row r="659" spans="1:18" hidden="1" x14ac:dyDescent="0.25">
      <c r="A659" s="46">
        <v>2020</v>
      </c>
      <c r="B659" s="56">
        <v>354</v>
      </c>
      <c r="C659" s="47" t="s">
        <v>79</v>
      </c>
      <c r="D659" s="47" t="s">
        <v>42</v>
      </c>
      <c r="E659" s="47" t="s">
        <v>46</v>
      </c>
      <c r="F659" s="46">
        <v>235</v>
      </c>
      <c r="G659" s="46">
        <v>40</v>
      </c>
      <c r="H659" s="46">
        <v>70</v>
      </c>
      <c r="I659" s="46">
        <v>60</v>
      </c>
      <c r="J659" s="46">
        <v>15</v>
      </c>
      <c r="K659" s="46">
        <v>5</v>
      </c>
      <c r="L659" s="46">
        <v>40</v>
      </c>
      <c r="M659">
        <f t="shared" si="61"/>
        <v>4.6625752568787556E-3</v>
      </c>
      <c r="N659">
        <f t="shared" si="62"/>
        <v>8.1595066995378222E-3</v>
      </c>
      <c r="O659">
        <f t="shared" si="63"/>
        <v>6.993862885318133E-3</v>
      </c>
      <c r="P659">
        <f t="shared" si="64"/>
        <v>1.7484657213295333E-3</v>
      </c>
      <c r="Q659">
        <f t="shared" si="65"/>
        <v>5.8282190710984446E-4</v>
      </c>
      <c r="R659">
        <f t="shared" si="66"/>
        <v>4.6625752568787556E-3</v>
      </c>
    </row>
    <row r="660" spans="1:18" hidden="1" x14ac:dyDescent="0.25">
      <c r="A660" s="46">
        <v>2020</v>
      </c>
      <c r="B660" s="56">
        <v>354</v>
      </c>
      <c r="C660" s="47" t="s">
        <v>79</v>
      </c>
      <c r="D660" s="47" t="s">
        <v>42</v>
      </c>
      <c r="E660" s="47" t="s">
        <v>47</v>
      </c>
      <c r="F660" s="46">
        <v>275</v>
      </c>
      <c r="G660" s="46">
        <v>25</v>
      </c>
      <c r="H660" s="46">
        <v>80</v>
      </c>
      <c r="I660" s="46">
        <v>80</v>
      </c>
      <c r="J660" s="46">
        <v>40</v>
      </c>
      <c r="K660" s="46">
        <v>15</v>
      </c>
      <c r="L660" s="46">
        <v>35</v>
      </c>
      <c r="M660">
        <f t="shared" si="61"/>
        <v>2.914109535549222E-3</v>
      </c>
      <c r="N660">
        <f t="shared" si="62"/>
        <v>9.3251505137575113E-3</v>
      </c>
      <c r="O660">
        <f t="shared" si="63"/>
        <v>9.3251505137575113E-3</v>
      </c>
      <c r="P660">
        <f t="shared" si="64"/>
        <v>4.6625752568787556E-3</v>
      </c>
      <c r="Q660">
        <f t="shared" si="65"/>
        <v>1.7484657213295333E-3</v>
      </c>
      <c r="R660">
        <f t="shared" si="66"/>
        <v>4.0797533497689111E-3</v>
      </c>
    </row>
    <row r="661" spans="1:18" hidden="1" x14ac:dyDescent="0.25">
      <c r="A661" s="46">
        <v>2020</v>
      </c>
      <c r="B661" s="56">
        <v>354</v>
      </c>
      <c r="C661" s="47" t="s">
        <v>79</v>
      </c>
      <c r="D661" s="47" t="s">
        <v>42</v>
      </c>
      <c r="E661" s="47" t="s">
        <v>48</v>
      </c>
      <c r="F661" s="46">
        <v>1055</v>
      </c>
      <c r="G661" s="46">
        <v>50</v>
      </c>
      <c r="H661" s="46">
        <v>200</v>
      </c>
      <c r="I661" s="46">
        <v>205</v>
      </c>
      <c r="J661" s="46">
        <v>170</v>
      </c>
      <c r="K661" s="46">
        <v>95</v>
      </c>
      <c r="L661" s="46">
        <v>335</v>
      </c>
      <c r="M661">
        <f t="shared" si="61"/>
        <v>5.8282190710984439E-3</v>
      </c>
      <c r="N661">
        <f t="shared" si="62"/>
        <v>2.3312876284393776E-2</v>
      </c>
      <c r="O661">
        <f t="shared" si="63"/>
        <v>2.3895698191503622E-2</v>
      </c>
      <c r="P661">
        <f t="shared" si="64"/>
        <v>1.9815944841734712E-2</v>
      </c>
      <c r="Q661">
        <f t="shared" si="65"/>
        <v>1.1073616235087045E-2</v>
      </c>
      <c r="R661">
        <f t="shared" si="66"/>
        <v>3.9049067776359581E-2</v>
      </c>
    </row>
    <row r="662" spans="1:18" hidden="1" x14ac:dyDescent="0.25">
      <c r="A662" s="46">
        <v>2020</v>
      </c>
      <c r="B662" s="56">
        <v>354</v>
      </c>
      <c r="C662" s="47" t="s">
        <v>79</v>
      </c>
      <c r="D662" s="47" t="s">
        <v>42</v>
      </c>
      <c r="E662" s="47" t="s">
        <v>49</v>
      </c>
      <c r="F662" s="46">
        <v>460</v>
      </c>
      <c r="G662" s="46">
        <v>25</v>
      </c>
      <c r="H662" s="46">
        <v>55</v>
      </c>
      <c r="I662" s="46">
        <v>60</v>
      </c>
      <c r="J662" s="46">
        <v>35</v>
      </c>
      <c r="K662" s="46">
        <v>30</v>
      </c>
      <c r="L662" s="46">
        <v>255</v>
      </c>
      <c r="M662">
        <f t="shared" si="61"/>
        <v>2.914109535549222E-3</v>
      </c>
      <c r="N662">
        <f t="shared" si="62"/>
        <v>6.4110409782082893E-3</v>
      </c>
      <c r="O662">
        <f t="shared" si="63"/>
        <v>6.993862885318133E-3</v>
      </c>
      <c r="P662">
        <f t="shared" si="64"/>
        <v>4.0797533497689111E-3</v>
      </c>
      <c r="Q662">
        <f t="shared" si="65"/>
        <v>3.4969314426590665E-3</v>
      </c>
      <c r="R662">
        <f t="shared" si="66"/>
        <v>2.9723917262602068E-2</v>
      </c>
    </row>
    <row r="663" spans="1:18" hidden="1" x14ac:dyDescent="0.25">
      <c r="A663" s="46">
        <v>2020</v>
      </c>
      <c r="B663" s="56">
        <v>354</v>
      </c>
      <c r="C663" s="47" t="s">
        <v>79</v>
      </c>
      <c r="D663" s="47" t="s">
        <v>42</v>
      </c>
      <c r="E663" s="47" t="s">
        <v>50</v>
      </c>
      <c r="F663" s="46">
        <v>200</v>
      </c>
      <c r="G663" s="46">
        <v>0</v>
      </c>
      <c r="H663" s="46">
        <v>15</v>
      </c>
      <c r="I663" s="46">
        <v>10</v>
      </c>
      <c r="J663" s="46">
        <v>10</v>
      </c>
      <c r="K663" s="46">
        <v>5</v>
      </c>
      <c r="L663" s="46">
        <v>160</v>
      </c>
      <c r="M663">
        <f t="shared" si="61"/>
        <v>0</v>
      </c>
      <c r="N663">
        <f t="shared" si="62"/>
        <v>1.7484657213295333E-3</v>
      </c>
      <c r="O663">
        <f t="shared" si="63"/>
        <v>1.1656438142196889E-3</v>
      </c>
      <c r="P663">
        <f t="shared" si="64"/>
        <v>1.1656438142196889E-3</v>
      </c>
      <c r="Q663">
        <f t="shared" si="65"/>
        <v>5.8282190710984446E-4</v>
      </c>
      <c r="R663">
        <f t="shared" si="66"/>
        <v>1.8650301027515023E-2</v>
      </c>
    </row>
    <row r="664" spans="1:18" hidden="1" x14ac:dyDescent="0.25">
      <c r="A664" s="46">
        <v>2020</v>
      </c>
      <c r="B664" s="56">
        <v>354</v>
      </c>
      <c r="C664" s="47" t="s">
        <v>79</v>
      </c>
      <c r="D664" s="47" t="s">
        <v>51</v>
      </c>
      <c r="E664" s="47" t="s">
        <v>43</v>
      </c>
      <c r="F664" s="46">
        <v>1560</v>
      </c>
      <c r="G664" s="46">
        <v>115</v>
      </c>
      <c r="H664" s="46">
        <v>360</v>
      </c>
      <c r="I664" s="46">
        <v>335</v>
      </c>
      <c r="J664" s="46">
        <v>195</v>
      </c>
      <c r="K664" s="46">
        <v>100</v>
      </c>
      <c r="L664" s="46">
        <v>450</v>
      </c>
      <c r="M664">
        <f t="shared" si="61"/>
        <v>1.3404903863526422E-2</v>
      </c>
      <c r="N664">
        <f t="shared" si="62"/>
        <v>4.1963177311908802E-2</v>
      </c>
      <c r="O664">
        <f t="shared" si="63"/>
        <v>3.9049067776359581E-2</v>
      </c>
      <c r="P664">
        <f t="shared" si="64"/>
        <v>2.2730054377283933E-2</v>
      </c>
      <c r="Q664">
        <f t="shared" si="65"/>
        <v>1.1656438142196888E-2</v>
      </c>
      <c r="R664">
        <f t="shared" si="66"/>
        <v>5.2453971639886E-2</v>
      </c>
    </row>
    <row r="665" spans="1:18" hidden="1" x14ac:dyDescent="0.25">
      <c r="A665" s="46">
        <v>2020</v>
      </c>
      <c r="B665" s="56">
        <v>354</v>
      </c>
      <c r="C665" s="47" t="s">
        <v>79</v>
      </c>
      <c r="D665" s="47" t="s">
        <v>51</v>
      </c>
      <c r="E665" s="47" t="s">
        <v>44</v>
      </c>
      <c r="F665" s="46">
        <v>290</v>
      </c>
      <c r="G665" s="46">
        <v>35</v>
      </c>
      <c r="H665" s="46">
        <v>110</v>
      </c>
      <c r="I665" s="46">
        <v>80</v>
      </c>
      <c r="J665" s="46">
        <v>45</v>
      </c>
      <c r="K665" s="46">
        <v>10</v>
      </c>
      <c r="L665" s="46">
        <v>10</v>
      </c>
      <c r="M665">
        <f t="shared" si="61"/>
        <v>4.0797533497689111E-3</v>
      </c>
      <c r="N665">
        <f t="shared" si="62"/>
        <v>1.2822081956416579E-2</v>
      </c>
      <c r="O665">
        <f t="shared" si="63"/>
        <v>9.3251505137575113E-3</v>
      </c>
      <c r="P665">
        <f t="shared" si="64"/>
        <v>5.2453971639886002E-3</v>
      </c>
      <c r="Q665">
        <f t="shared" si="65"/>
        <v>1.1656438142196889E-3</v>
      </c>
      <c r="R665">
        <f t="shared" si="66"/>
        <v>1.1656438142196889E-3</v>
      </c>
    </row>
    <row r="666" spans="1:18" hidden="1" x14ac:dyDescent="0.25">
      <c r="A666" s="46">
        <v>2020</v>
      </c>
      <c r="B666" s="56">
        <v>354</v>
      </c>
      <c r="C666" s="47" t="s">
        <v>79</v>
      </c>
      <c r="D666" s="47" t="s">
        <v>51</v>
      </c>
      <c r="E666" s="47" t="s">
        <v>45</v>
      </c>
      <c r="F666" s="46">
        <v>85</v>
      </c>
      <c r="G666" s="46">
        <v>5</v>
      </c>
      <c r="H666" s="46">
        <v>15</v>
      </c>
      <c r="I666" s="46">
        <v>25</v>
      </c>
      <c r="J666" s="46">
        <v>10</v>
      </c>
      <c r="K666" s="46">
        <v>5</v>
      </c>
      <c r="L666" s="46">
        <v>20</v>
      </c>
      <c r="M666">
        <f t="shared" si="61"/>
        <v>5.8282190710984446E-4</v>
      </c>
      <c r="N666">
        <f t="shared" si="62"/>
        <v>1.7484657213295333E-3</v>
      </c>
      <c r="O666">
        <f t="shared" si="63"/>
        <v>2.914109535549222E-3</v>
      </c>
      <c r="P666">
        <f t="shared" si="64"/>
        <v>1.1656438142196889E-3</v>
      </c>
      <c r="Q666">
        <f t="shared" si="65"/>
        <v>5.8282190710984446E-4</v>
      </c>
      <c r="R666">
        <f t="shared" si="66"/>
        <v>2.3312876284393778E-3</v>
      </c>
    </row>
    <row r="667" spans="1:18" hidden="1" x14ac:dyDescent="0.25">
      <c r="A667" s="46">
        <v>2020</v>
      </c>
      <c r="B667" s="56">
        <v>354</v>
      </c>
      <c r="C667" s="47" t="s">
        <v>79</v>
      </c>
      <c r="D667" s="47" t="s">
        <v>51</v>
      </c>
      <c r="E667" s="47" t="s">
        <v>46</v>
      </c>
      <c r="F667" s="46">
        <v>125</v>
      </c>
      <c r="G667" s="46">
        <v>20</v>
      </c>
      <c r="H667" s="46">
        <v>30</v>
      </c>
      <c r="I667" s="46">
        <v>45</v>
      </c>
      <c r="J667" s="46">
        <v>5</v>
      </c>
      <c r="K667" s="46">
        <v>0</v>
      </c>
      <c r="L667" s="46">
        <v>20</v>
      </c>
      <c r="M667">
        <f t="shared" si="61"/>
        <v>2.3312876284393778E-3</v>
      </c>
      <c r="N667">
        <f t="shared" si="62"/>
        <v>3.4969314426590665E-3</v>
      </c>
      <c r="O667">
        <f t="shared" si="63"/>
        <v>5.2453971639886002E-3</v>
      </c>
      <c r="P667">
        <f t="shared" si="64"/>
        <v>5.8282190710984446E-4</v>
      </c>
      <c r="Q667">
        <f t="shared" si="65"/>
        <v>0</v>
      </c>
      <c r="R667">
        <f t="shared" si="66"/>
        <v>2.3312876284393778E-3</v>
      </c>
    </row>
    <row r="668" spans="1:18" hidden="1" x14ac:dyDescent="0.25">
      <c r="A668" s="46">
        <v>2020</v>
      </c>
      <c r="B668" s="56">
        <v>354</v>
      </c>
      <c r="C668" s="47" t="s">
        <v>79</v>
      </c>
      <c r="D668" s="47" t="s">
        <v>51</v>
      </c>
      <c r="E668" s="47" t="s">
        <v>47</v>
      </c>
      <c r="F668" s="46">
        <v>150</v>
      </c>
      <c r="G668" s="46">
        <v>15</v>
      </c>
      <c r="H668" s="46">
        <v>45</v>
      </c>
      <c r="I668" s="46">
        <v>40</v>
      </c>
      <c r="J668" s="46">
        <v>20</v>
      </c>
      <c r="K668" s="46">
        <v>5</v>
      </c>
      <c r="L668" s="46">
        <v>20</v>
      </c>
      <c r="M668">
        <f t="shared" si="61"/>
        <v>1.7484657213295333E-3</v>
      </c>
      <c r="N668">
        <f t="shared" si="62"/>
        <v>5.2453971639886002E-3</v>
      </c>
      <c r="O668">
        <f t="shared" si="63"/>
        <v>4.6625752568787556E-3</v>
      </c>
      <c r="P668">
        <f t="shared" si="64"/>
        <v>2.3312876284393778E-3</v>
      </c>
      <c r="Q668">
        <f t="shared" si="65"/>
        <v>5.8282190710984446E-4</v>
      </c>
      <c r="R668">
        <f t="shared" si="66"/>
        <v>2.3312876284393778E-3</v>
      </c>
    </row>
    <row r="669" spans="1:18" hidden="1" x14ac:dyDescent="0.25">
      <c r="A669" s="46">
        <v>2020</v>
      </c>
      <c r="B669" s="56">
        <v>354</v>
      </c>
      <c r="C669" s="47" t="s">
        <v>79</v>
      </c>
      <c r="D669" s="47" t="s">
        <v>51</v>
      </c>
      <c r="E669" s="47" t="s">
        <v>48</v>
      </c>
      <c r="F669" s="46">
        <v>570</v>
      </c>
      <c r="G669" s="46">
        <v>30</v>
      </c>
      <c r="H669" s="46">
        <v>115</v>
      </c>
      <c r="I669" s="46">
        <v>115</v>
      </c>
      <c r="J669" s="46">
        <v>90</v>
      </c>
      <c r="K669" s="46">
        <v>55</v>
      </c>
      <c r="L669" s="46">
        <v>165</v>
      </c>
      <c r="M669">
        <f t="shared" si="61"/>
        <v>3.4969314426590665E-3</v>
      </c>
      <c r="N669">
        <f t="shared" si="62"/>
        <v>1.3404903863526422E-2</v>
      </c>
      <c r="O669">
        <f t="shared" si="63"/>
        <v>1.3404903863526422E-2</v>
      </c>
      <c r="P669">
        <f t="shared" si="64"/>
        <v>1.04907943279772E-2</v>
      </c>
      <c r="Q669">
        <f t="shared" si="65"/>
        <v>6.4110409782082893E-3</v>
      </c>
      <c r="R669">
        <f t="shared" si="66"/>
        <v>1.9233122934624865E-2</v>
      </c>
    </row>
    <row r="670" spans="1:18" hidden="1" x14ac:dyDescent="0.25">
      <c r="A670" s="46">
        <v>2020</v>
      </c>
      <c r="B670" s="56">
        <v>354</v>
      </c>
      <c r="C670" s="47" t="s">
        <v>79</v>
      </c>
      <c r="D670" s="47" t="s">
        <v>51</v>
      </c>
      <c r="E670" s="47" t="s">
        <v>49</v>
      </c>
      <c r="F670" s="46">
        <v>240</v>
      </c>
      <c r="G670" s="46">
        <v>10</v>
      </c>
      <c r="H670" s="46">
        <v>40</v>
      </c>
      <c r="I670" s="46">
        <v>30</v>
      </c>
      <c r="J670" s="46">
        <v>15</v>
      </c>
      <c r="K670" s="46">
        <v>15</v>
      </c>
      <c r="L670" s="46">
        <v>125</v>
      </c>
      <c r="M670">
        <f t="shared" si="61"/>
        <v>1.1656438142196889E-3</v>
      </c>
      <c r="N670">
        <f t="shared" si="62"/>
        <v>4.6625752568787556E-3</v>
      </c>
      <c r="O670">
        <f t="shared" si="63"/>
        <v>3.4969314426590665E-3</v>
      </c>
      <c r="P670">
        <f t="shared" si="64"/>
        <v>1.7484657213295333E-3</v>
      </c>
      <c r="Q670">
        <f t="shared" si="65"/>
        <v>1.7484657213295333E-3</v>
      </c>
      <c r="R670">
        <f t="shared" si="66"/>
        <v>1.4570547677746111E-2</v>
      </c>
    </row>
    <row r="671" spans="1:18" hidden="1" x14ac:dyDescent="0.25">
      <c r="A671" s="46">
        <v>2020</v>
      </c>
      <c r="B671" s="56">
        <v>354</v>
      </c>
      <c r="C671" s="47" t="s">
        <v>79</v>
      </c>
      <c r="D671" s="47" t="s">
        <v>51</v>
      </c>
      <c r="E671" s="47" t="s">
        <v>50</v>
      </c>
      <c r="F671" s="46">
        <v>100</v>
      </c>
      <c r="G671" s="46">
        <v>0</v>
      </c>
      <c r="H671" s="46">
        <v>5</v>
      </c>
      <c r="I671" s="46">
        <v>5</v>
      </c>
      <c r="J671" s="46">
        <v>5</v>
      </c>
      <c r="K671" s="46">
        <v>0</v>
      </c>
      <c r="L671" s="46">
        <v>85</v>
      </c>
      <c r="M671">
        <f t="shared" si="61"/>
        <v>0</v>
      </c>
      <c r="N671">
        <f t="shared" si="62"/>
        <v>5.8282190710984446E-4</v>
      </c>
      <c r="O671">
        <f t="shared" si="63"/>
        <v>5.8282190710984446E-4</v>
      </c>
      <c r="P671">
        <f t="shared" si="64"/>
        <v>5.8282190710984446E-4</v>
      </c>
      <c r="Q671">
        <f t="shared" si="65"/>
        <v>0</v>
      </c>
      <c r="R671">
        <f t="shared" si="66"/>
        <v>9.9079724208673559E-3</v>
      </c>
    </row>
    <row r="672" spans="1:18" hidden="1" x14ac:dyDescent="0.25">
      <c r="A672" s="46">
        <v>2020</v>
      </c>
      <c r="B672" s="56">
        <v>354</v>
      </c>
      <c r="C672" s="47" t="s">
        <v>79</v>
      </c>
      <c r="D672" s="47" t="s">
        <v>52</v>
      </c>
      <c r="E672" s="47" t="s">
        <v>43</v>
      </c>
      <c r="F672" s="46">
        <v>1340</v>
      </c>
      <c r="G672" s="46">
        <v>100</v>
      </c>
      <c r="H672" s="46">
        <v>290</v>
      </c>
      <c r="I672" s="46">
        <v>270</v>
      </c>
      <c r="J672" s="46">
        <v>170</v>
      </c>
      <c r="K672" s="46">
        <v>80</v>
      </c>
      <c r="L672" s="46">
        <v>435</v>
      </c>
      <c r="M672">
        <f t="shared" si="61"/>
        <v>1.1656438142196888E-2</v>
      </c>
      <c r="N672">
        <f t="shared" si="62"/>
        <v>3.3803670612370981E-2</v>
      </c>
      <c r="O672">
        <f t="shared" si="63"/>
        <v>3.1472382983931603E-2</v>
      </c>
      <c r="P672">
        <f t="shared" si="64"/>
        <v>1.9815944841734712E-2</v>
      </c>
      <c r="Q672">
        <f t="shared" si="65"/>
        <v>9.3251505137575113E-3</v>
      </c>
      <c r="R672">
        <f t="shared" si="66"/>
        <v>5.0705505918556465E-2</v>
      </c>
    </row>
    <row r="673" spans="1:18" hidden="1" x14ac:dyDescent="0.25">
      <c r="A673" s="46">
        <v>2020</v>
      </c>
      <c r="B673" s="56">
        <v>354</v>
      </c>
      <c r="C673" s="47" t="s">
        <v>79</v>
      </c>
      <c r="D673" s="47" t="s">
        <v>52</v>
      </c>
      <c r="E673" s="47" t="s">
        <v>44</v>
      </c>
      <c r="F673" s="46">
        <v>235</v>
      </c>
      <c r="G673" s="46">
        <v>30</v>
      </c>
      <c r="H673" s="46">
        <v>90</v>
      </c>
      <c r="I673" s="46">
        <v>70</v>
      </c>
      <c r="J673" s="46">
        <v>25</v>
      </c>
      <c r="K673" s="46">
        <v>15</v>
      </c>
      <c r="L673" s="46">
        <v>5</v>
      </c>
      <c r="M673">
        <f t="shared" si="61"/>
        <v>3.4969314426590665E-3</v>
      </c>
      <c r="N673">
        <f t="shared" si="62"/>
        <v>1.04907943279772E-2</v>
      </c>
      <c r="O673">
        <f t="shared" si="63"/>
        <v>8.1595066995378222E-3</v>
      </c>
      <c r="P673">
        <f t="shared" si="64"/>
        <v>2.914109535549222E-3</v>
      </c>
      <c r="Q673">
        <f t="shared" si="65"/>
        <v>1.7484657213295333E-3</v>
      </c>
      <c r="R673">
        <f t="shared" si="66"/>
        <v>5.8282190710984446E-4</v>
      </c>
    </row>
    <row r="674" spans="1:18" hidden="1" x14ac:dyDescent="0.25">
      <c r="A674" s="46">
        <v>2020</v>
      </c>
      <c r="B674" s="56">
        <v>354</v>
      </c>
      <c r="C674" s="47" t="s">
        <v>79</v>
      </c>
      <c r="D674" s="47" t="s">
        <v>52</v>
      </c>
      <c r="E674" s="47" t="s">
        <v>45</v>
      </c>
      <c r="F674" s="46">
        <v>65</v>
      </c>
      <c r="G674" s="46">
        <v>5</v>
      </c>
      <c r="H674" s="46">
        <v>15</v>
      </c>
      <c r="I674" s="46">
        <v>15</v>
      </c>
      <c r="J674" s="46">
        <v>15</v>
      </c>
      <c r="K674" s="46">
        <v>0</v>
      </c>
      <c r="L674" s="46">
        <v>15</v>
      </c>
      <c r="M674">
        <f t="shared" si="61"/>
        <v>5.8282190710984446E-4</v>
      </c>
      <c r="N674">
        <f t="shared" si="62"/>
        <v>1.7484657213295333E-3</v>
      </c>
      <c r="O674">
        <f t="shared" si="63"/>
        <v>1.7484657213295333E-3</v>
      </c>
      <c r="P674">
        <f t="shared" si="64"/>
        <v>1.7484657213295333E-3</v>
      </c>
      <c r="Q674">
        <f t="shared" si="65"/>
        <v>0</v>
      </c>
      <c r="R674">
        <f t="shared" si="66"/>
        <v>1.7484657213295333E-3</v>
      </c>
    </row>
    <row r="675" spans="1:18" hidden="1" x14ac:dyDescent="0.25">
      <c r="A675" s="46">
        <v>2020</v>
      </c>
      <c r="B675" s="56">
        <v>354</v>
      </c>
      <c r="C675" s="47" t="s">
        <v>79</v>
      </c>
      <c r="D675" s="47" t="s">
        <v>52</v>
      </c>
      <c r="E675" s="47" t="s">
        <v>46</v>
      </c>
      <c r="F675" s="46">
        <v>110</v>
      </c>
      <c r="G675" s="46">
        <v>20</v>
      </c>
      <c r="H675" s="46">
        <v>40</v>
      </c>
      <c r="I675" s="46">
        <v>15</v>
      </c>
      <c r="J675" s="46">
        <v>10</v>
      </c>
      <c r="K675" s="46">
        <v>5</v>
      </c>
      <c r="L675" s="46">
        <v>20</v>
      </c>
      <c r="M675">
        <f t="shared" si="61"/>
        <v>2.3312876284393778E-3</v>
      </c>
      <c r="N675">
        <f t="shared" si="62"/>
        <v>4.6625752568787556E-3</v>
      </c>
      <c r="O675">
        <f t="shared" si="63"/>
        <v>1.7484657213295333E-3</v>
      </c>
      <c r="P675">
        <f t="shared" si="64"/>
        <v>1.1656438142196889E-3</v>
      </c>
      <c r="Q675">
        <f t="shared" si="65"/>
        <v>5.8282190710984446E-4</v>
      </c>
      <c r="R675">
        <f t="shared" si="66"/>
        <v>2.3312876284393778E-3</v>
      </c>
    </row>
    <row r="676" spans="1:18" hidden="1" x14ac:dyDescent="0.25">
      <c r="A676" s="46">
        <v>2020</v>
      </c>
      <c r="B676" s="56">
        <v>354</v>
      </c>
      <c r="C676" s="47" t="s">
        <v>79</v>
      </c>
      <c r="D676" s="47" t="s">
        <v>52</v>
      </c>
      <c r="E676" s="47" t="s">
        <v>47</v>
      </c>
      <c r="F676" s="46">
        <v>125</v>
      </c>
      <c r="G676" s="46">
        <v>10</v>
      </c>
      <c r="H676" s="46">
        <v>35</v>
      </c>
      <c r="I676" s="46">
        <v>40</v>
      </c>
      <c r="J676" s="46">
        <v>20</v>
      </c>
      <c r="K676" s="46">
        <v>5</v>
      </c>
      <c r="L676" s="46">
        <v>15</v>
      </c>
      <c r="M676">
        <f t="shared" si="61"/>
        <v>1.1656438142196889E-3</v>
      </c>
      <c r="N676">
        <f t="shared" si="62"/>
        <v>4.0797533497689111E-3</v>
      </c>
      <c r="O676">
        <f t="shared" si="63"/>
        <v>4.6625752568787556E-3</v>
      </c>
      <c r="P676">
        <f t="shared" si="64"/>
        <v>2.3312876284393778E-3</v>
      </c>
      <c r="Q676">
        <f t="shared" si="65"/>
        <v>5.8282190710984446E-4</v>
      </c>
      <c r="R676">
        <f t="shared" si="66"/>
        <v>1.7484657213295333E-3</v>
      </c>
    </row>
    <row r="677" spans="1:18" hidden="1" x14ac:dyDescent="0.25">
      <c r="A677" s="46">
        <v>2020</v>
      </c>
      <c r="B677" s="56">
        <v>354</v>
      </c>
      <c r="C677" s="47" t="s">
        <v>79</v>
      </c>
      <c r="D677" s="47" t="s">
        <v>52</v>
      </c>
      <c r="E677" s="47" t="s">
        <v>48</v>
      </c>
      <c r="F677" s="46">
        <v>485</v>
      </c>
      <c r="G677" s="46">
        <v>20</v>
      </c>
      <c r="H677" s="46">
        <v>85</v>
      </c>
      <c r="I677" s="46">
        <v>95</v>
      </c>
      <c r="J677" s="46">
        <v>80</v>
      </c>
      <c r="K677" s="46">
        <v>40</v>
      </c>
      <c r="L677" s="46">
        <v>170</v>
      </c>
      <c r="M677">
        <f t="shared" si="61"/>
        <v>2.3312876284393778E-3</v>
      </c>
      <c r="N677">
        <f t="shared" si="62"/>
        <v>9.9079724208673559E-3</v>
      </c>
      <c r="O677">
        <f t="shared" si="63"/>
        <v>1.1073616235087045E-2</v>
      </c>
      <c r="P677">
        <f t="shared" si="64"/>
        <v>9.3251505137575113E-3</v>
      </c>
      <c r="Q677">
        <f t="shared" si="65"/>
        <v>4.6625752568787556E-3</v>
      </c>
      <c r="R677">
        <f t="shared" si="66"/>
        <v>1.9815944841734712E-2</v>
      </c>
    </row>
    <row r="678" spans="1:18" hidden="1" x14ac:dyDescent="0.25">
      <c r="A678" s="46">
        <v>2020</v>
      </c>
      <c r="B678" s="56">
        <v>354</v>
      </c>
      <c r="C678" s="47" t="s">
        <v>79</v>
      </c>
      <c r="D678" s="47" t="s">
        <v>52</v>
      </c>
      <c r="E678" s="47" t="s">
        <v>49</v>
      </c>
      <c r="F678" s="46">
        <v>225</v>
      </c>
      <c r="G678" s="46">
        <v>15</v>
      </c>
      <c r="H678" s="46">
        <v>15</v>
      </c>
      <c r="I678" s="46">
        <v>30</v>
      </c>
      <c r="J678" s="46">
        <v>20</v>
      </c>
      <c r="K678" s="46">
        <v>15</v>
      </c>
      <c r="L678" s="46">
        <v>130</v>
      </c>
      <c r="M678">
        <f t="shared" si="61"/>
        <v>1.7484657213295333E-3</v>
      </c>
      <c r="N678">
        <f t="shared" si="62"/>
        <v>1.7484657213295333E-3</v>
      </c>
      <c r="O678">
        <f t="shared" si="63"/>
        <v>3.4969314426590665E-3</v>
      </c>
      <c r="P678">
        <f t="shared" si="64"/>
        <v>2.3312876284393778E-3</v>
      </c>
      <c r="Q678">
        <f t="shared" si="65"/>
        <v>1.7484657213295333E-3</v>
      </c>
      <c r="R678">
        <f t="shared" si="66"/>
        <v>1.5153369584855955E-2</v>
      </c>
    </row>
    <row r="679" spans="1:18" hidden="1" x14ac:dyDescent="0.25">
      <c r="A679" s="46">
        <v>2020</v>
      </c>
      <c r="B679" s="56">
        <v>354</v>
      </c>
      <c r="C679" s="47" t="s">
        <v>79</v>
      </c>
      <c r="D679" s="47" t="s">
        <v>52</v>
      </c>
      <c r="E679" s="47" t="s">
        <v>50</v>
      </c>
      <c r="F679" s="46">
        <v>95</v>
      </c>
      <c r="G679" s="46">
        <v>0</v>
      </c>
      <c r="H679" s="46">
        <v>10</v>
      </c>
      <c r="I679" s="46">
        <v>5</v>
      </c>
      <c r="J679" s="46">
        <v>5</v>
      </c>
      <c r="K679" s="46">
        <v>5</v>
      </c>
      <c r="L679" s="46">
        <v>75</v>
      </c>
      <c r="M679">
        <f t="shared" si="61"/>
        <v>0</v>
      </c>
      <c r="N679">
        <f t="shared" si="62"/>
        <v>1.1656438142196889E-3</v>
      </c>
      <c r="O679">
        <f t="shared" si="63"/>
        <v>5.8282190710984446E-4</v>
      </c>
      <c r="P679">
        <f t="shared" si="64"/>
        <v>5.8282190710984446E-4</v>
      </c>
      <c r="Q679">
        <f t="shared" si="65"/>
        <v>5.8282190710984446E-4</v>
      </c>
      <c r="R679">
        <f t="shared" si="66"/>
        <v>8.7423286066476667E-3</v>
      </c>
    </row>
    <row r="680" spans="1:18" x14ac:dyDescent="0.25">
      <c r="A680" s="46">
        <v>2020</v>
      </c>
      <c r="B680" s="56">
        <v>355</v>
      </c>
      <c r="C680" s="47" t="s">
        <v>75</v>
      </c>
      <c r="D680" s="47" t="s">
        <v>42</v>
      </c>
      <c r="E680" s="47" t="s">
        <v>43</v>
      </c>
      <c r="F680" s="46">
        <v>13095</v>
      </c>
      <c r="G680" s="46">
        <v>735</v>
      </c>
      <c r="H680" s="46">
        <v>2500</v>
      </c>
      <c r="I680" s="46">
        <v>3540</v>
      </c>
      <c r="J680" s="46">
        <v>1395</v>
      </c>
      <c r="K680" s="46">
        <v>615</v>
      </c>
      <c r="L680" s="46">
        <v>4315</v>
      </c>
      <c r="M680">
        <f t="shared" si="61"/>
        <v>8.5674820345147132E-2</v>
      </c>
      <c r="N680">
        <f t="shared" si="62"/>
        <v>0.29141095355492225</v>
      </c>
      <c r="O680">
        <f t="shared" si="63"/>
        <v>0.41263791023376983</v>
      </c>
      <c r="P680">
        <f t="shared" si="64"/>
        <v>0.16260731208364659</v>
      </c>
      <c r="Q680">
        <f t="shared" si="65"/>
        <v>7.1687094574510862E-2</v>
      </c>
      <c r="R680">
        <f t="shared" si="66"/>
        <v>0.50297530583579575</v>
      </c>
    </row>
    <row r="681" spans="1:18" hidden="1" x14ac:dyDescent="0.25">
      <c r="A681" s="46">
        <v>2020</v>
      </c>
      <c r="B681" s="56">
        <v>355</v>
      </c>
      <c r="C681" s="47" t="s">
        <v>75</v>
      </c>
      <c r="D681" s="47" t="s">
        <v>42</v>
      </c>
      <c r="E681" s="47" t="s">
        <v>44</v>
      </c>
      <c r="F681" s="46">
        <v>2195</v>
      </c>
      <c r="G681" s="46">
        <v>220</v>
      </c>
      <c r="H681" s="46">
        <v>750</v>
      </c>
      <c r="I681" s="46">
        <v>790</v>
      </c>
      <c r="J681" s="46">
        <v>245</v>
      </c>
      <c r="K681" s="46">
        <v>95</v>
      </c>
      <c r="L681" s="46">
        <v>100</v>
      </c>
      <c r="M681">
        <f t="shared" si="61"/>
        <v>2.5644163912833157E-2</v>
      </c>
      <c r="N681">
        <f t="shared" si="62"/>
        <v>8.742328606647666E-2</v>
      </c>
      <c r="O681">
        <f t="shared" si="63"/>
        <v>9.2085861323355417E-2</v>
      </c>
      <c r="P681">
        <f t="shared" si="64"/>
        <v>2.8558273448382378E-2</v>
      </c>
      <c r="Q681">
        <f t="shared" si="65"/>
        <v>1.1073616235087045E-2</v>
      </c>
      <c r="R681">
        <f t="shared" si="66"/>
        <v>1.1656438142196888E-2</v>
      </c>
    </row>
    <row r="682" spans="1:18" hidden="1" x14ac:dyDescent="0.25">
      <c r="A682" s="46">
        <v>2020</v>
      </c>
      <c r="B682" s="56">
        <v>355</v>
      </c>
      <c r="C682" s="47" t="s">
        <v>75</v>
      </c>
      <c r="D682" s="47" t="s">
        <v>42</v>
      </c>
      <c r="E682" s="47" t="s">
        <v>45</v>
      </c>
      <c r="F682" s="46">
        <v>725</v>
      </c>
      <c r="G682" s="46">
        <v>45</v>
      </c>
      <c r="H682" s="46">
        <v>175</v>
      </c>
      <c r="I682" s="46">
        <v>250</v>
      </c>
      <c r="J682" s="46">
        <v>90</v>
      </c>
      <c r="K682" s="46">
        <v>25</v>
      </c>
      <c r="L682" s="46">
        <v>145</v>
      </c>
      <c r="M682">
        <f t="shared" si="61"/>
        <v>5.2453971639886002E-3</v>
      </c>
      <c r="N682">
        <f t="shared" si="62"/>
        <v>2.0398766748844555E-2</v>
      </c>
      <c r="O682">
        <f t="shared" si="63"/>
        <v>2.9141095355492221E-2</v>
      </c>
      <c r="P682">
        <f t="shared" si="64"/>
        <v>1.04907943279772E-2</v>
      </c>
      <c r="Q682">
        <f t="shared" si="65"/>
        <v>2.914109535549222E-3</v>
      </c>
      <c r="R682">
        <f t="shared" si="66"/>
        <v>1.6901835306185491E-2</v>
      </c>
    </row>
    <row r="683" spans="1:18" hidden="1" x14ac:dyDescent="0.25">
      <c r="A683" s="46">
        <v>2020</v>
      </c>
      <c r="B683" s="56">
        <v>355</v>
      </c>
      <c r="C683" s="47" t="s">
        <v>75</v>
      </c>
      <c r="D683" s="47" t="s">
        <v>42</v>
      </c>
      <c r="E683" s="47" t="s">
        <v>46</v>
      </c>
      <c r="F683" s="46">
        <v>1160</v>
      </c>
      <c r="G683" s="46">
        <v>125</v>
      </c>
      <c r="H683" s="46">
        <v>280</v>
      </c>
      <c r="I683" s="46">
        <v>460</v>
      </c>
      <c r="J683" s="46">
        <v>90</v>
      </c>
      <c r="K683" s="46">
        <v>25</v>
      </c>
      <c r="L683" s="46">
        <v>175</v>
      </c>
      <c r="M683">
        <f t="shared" si="61"/>
        <v>1.4570547677746111E-2</v>
      </c>
      <c r="N683">
        <f t="shared" si="62"/>
        <v>3.2638026798151289E-2</v>
      </c>
      <c r="O683">
        <f t="shared" si="63"/>
        <v>5.3619615454105686E-2</v>
      </c>
      <c r="P683">
        <f t="shared" si="64"/>
        <v>1.04907943279772E-2</v>
      </c>
      <c r="Q683">
        <f t="shared" si="65"/>
        <v>2.914109535549222E-3</v>
      </c>
      <c r="R683">
        <f t="shared" si="66"/>
        <v>2.0398766748844555E-2</v>
      </c>
    </row>
    <row r="684" spans="1:18" hidden="1" x14ac:dyDescent="0.25">
      <c r="A684" s="46">
        <v>2020</v>
      </c>
      <c r="B684" s="56">
        <v>355</v>
      </c>
      <c r="C684" s="47" t="s">
        <v>75</v>
      </c>
      <c r="D684" s="47" t="s">
        <v>42</v>
      </c>
      <c r="E684" s="47" t="s">
        <v>47</v>
      </c>
      <c r="F684" s="46">
        <v>1440</v>
      </c>
      <c r="G684" s="46">
        <v>100</v>
      </c>
      <c r="H684" s="46">
        <v>350</v>
      </c>
      <c r="I684" s="46">
        <v>550</v>
      </c>
      <c r="J684" s="46">
        <v>195</v>
      </c>
      <c r="K684" s="46">
        <v>60</v>
      </c>
      <c r="L684" s="46">
        <v>185</v>
      </c>
      <c r="M684">
        <f t="shared" si="61"/>
        <v>1.1656438142196888E-2</v>
      </c>
      <c r="N684">
        <f t="shared" si="62"/>
        <v>4.0797533497689109E-2</v>
      </c>
      <c r="O684">
        <f t="shared" si="63"/>
        <v>6.4110409782082892E-2</v>
      </c>
      <c r="P684">
        <f t="shared" si="64"/>
        <v>2.2730054377283933E-2</v>
      </c>
      <c r="Q684">
        <f t="shared" si="65"/>
        <v>6.993862885318133E-3</v>
      </c>
      <c r="R684">
        <f t="shared" si="66"/>
        <v>2.1564410563064244E-2</v>
      </c>
    </row>
    <row r="685" spans="1:18" hidden="1" x14ac:dyDescent="0.25">
      <c r="A685" s="46">
        <v>2020</v>
      </c>
      <c r="B685" s="56">
        <v>355</v>
      </c>
      <c r="C685" s="47" t="s">
        <v>75</v>
      </c>
      <c r="D685" s="47" t="s">
        <v>42</v>
      </c>
      <c r="E685" s="47" t="s">
        <v>48</v>
      </c>
      <c r="F685" s="46">
        <v>4795</v>
      </c>
      <c r="G685" s="46">
        <v>190</v>
      </c>
      <c r="H685" s="46">
        <v>770</v>
      </c>
      <c r="I685" s="46">
        <v>1200</v>
      </c>
      <c r="J685" s="46">
        <v>610</v>
      </c>
      <c r="K685" s="46">
        <v>315</v>
      </c>
      <c r="L685" s="46">
        <v>1715</v>
      </c>
      <c r="M685">
        <f t="shared" si="61"/>
        <v>2.214723247017409E-2</v>
      </c>
      <c r="N685">
        <f t="shared" si="62"/>
        <v>8.9754573694916046E-2</v>
      </c>
      <c r="O685">
        <f t="shared" si="63"/>
        <v>0.13987725770636267</v>
      </c>
      <c r="P685">
        <f t="shared" si="64"/>
        <v>7.1104272667401019E-2</v>
      </c>
      <c r="Q685">
        <f t="shared" si="65"/>
        <v>3.6717780147920202E-2</v>
      </c>
      <c r="R685">
        <f t="shared" si="66"/>
        <v>0.19990791413867665</v>
      </c>
    </row>
    <row r="686" spans="1:18" hidden="1" x14ac:dyDescent="0.25">
      <c r="A686" s="46">
        <v>2020</v>
      </c>
      <c r="B686" s="56">
        <v>355</v>
      </c>
      <c r="C686" s="47" t="s">
        <v>75</v>
      </c>
      <c r="D686" s="47" t="s">
        <v>42</v>
      </c>
      <c r="E686" s="47" t="s">
        <v>49</v>
      </c>
      <c r="F686" s="46">
        <v>1950</v>
      </c>
      <c r="G686" s="46">
        <v>40</v>
      </c>
      <c r="H686" s="46">
        <v>145</v>
      </c>
      <c r="I686" s="46">
        <v>255</v>
      </c>
      <c r="J686" s="46">
        <v>135</v>
      </c>
      <c r="K686" s="46">
        <v>75</v>
      </c>
      <c r="L686" s="46">
        <v>1295</v>
      </c>
      <c r="M686">
        <f t="shared" si="61"/>
        <v>4.6625752568787556E-3</v>
      </c>
      <c r="N686">
        <f t="shared" si="62"/>
        <v>1.6901835306185491E-2</v>
      </c>
      <c r="O686">
        <f t="shared" si="63"/>
        <v>2.9723917262602068E-2</v>
      </c>
      <c r="P686">
        <f t="shared" si="64"/>
        <v>1.5736191491965801E-2</v>
      </c>
      <c r="Q686">
        <f t="shared" si="65"/>
        <v>8.7423286066476667E-3</v>
      </c>
      <c r="R686">
        <f t="shared" si="66"/>
        <v>0.15095087394144971</v>
      </c>
    </row>
    <row r="687" spans="1:18" hidden="1" x14ac:dyDescent="0.25">
      <c r="A687" s="46">
        <v>2020</v>
      </c>
      <c r="B687" s="56">
        <v>355</v>
      </c>
      <c r="C687" s="47" t="s">
        <v>75</v>
      </c>
      <c r="D687" s="47" t="s">
        <v>42</v>
      </c>
      <c r="E687" s="47" t="s">
        <v>50</v>
      </c>
      <c r="F687" s="46">
        <v>825</v>
      </c>
      <c r="G687" s="46">
        <v>10</v>
      </c>
      <c r="H687" s="46">
        <v>30</v>
      </c>
      <c r="I687" s="46">
        <v>35</v>
      </c>
      <c r="J687" s="46">
        <v>30</v>
      </c>
      <c r="K687" s="46">
        <v>20</v>
      </c>
      <c r="L687" s="46">
        <v>695</v>
      </c>
      <c r="M687">
        <f t="shared" si="61"/>
        <v>1.1656438142196889E-3</v>
      </c>
      <c r="N687">
        <f t="shared" si="62"/>
        <v>3.4969314426590665E-3</v>
      </c>
      <c r="O687">
        <f t="shared" si="63"/>
        <v>4.0797533497689111E-3</v>
      </c>
      <c r="P687">
        <f t="shared" si="64"/>
        <v>3.4969314426590665E-3</v>
      </c>
      <c r="Q687">
        <f t="shared" si="65"/>
        <v>2.3312876284393778E-3</v>
      </c>
      <c r="R687">
        <f t="shared" si="66"/>
        <v>8.1012245088268375E-2</v>
      </c>
    </row>
    <row r="688" spans="1:18" hidden="1" x14ac:dyDescent="0.25">
      <c r="A688" s="46">
        <v>2020</v>
      </c>
      <c r="B688" s="56">
        <v>355</v>
      </c>
      <c r="C688" s="47" t="s">
        <v>75</v>
      </c>
      <c r="D688" s="47" t="s">
        <v>51</v>
      </c>
      <c r="E688" s="47" t="s">
        <v>43</v>
      </c>
      <c r="F688" s="46">
        <v>7135</v>
      </c>
      <c r="G688" s="46">
        <v>410</v>
      </c>
      <c r="H688" s="46">
        <v>1245</v>
      </c>
      <c r="I688" s="46">
        <v>2215</v>
      </c>
      <c r="J688" s="46">
        <v>820</v>
      </c>
      <c r="K688" s="46">
        <v>295</v>
      </c>
      <c r="L688" s="46">
        <v>2145</v>
      </c>
      <c r="M688">
        <f t="shared" si="61"/>
        <v>4.7791396383007244E-2</v>
      </c>
      <c r="N688">
        <f t="shared" si="62"/>
        <v>0.14512265487035125</v>
      </c>
      <c r="O688">
        <f t="shared" si="63"/>
        <v>0.2581901048496611</v>
      </c>
      <c r="P688">
        <f t="shared" si="64"/>
        <v>9.5582792766014488E-2</v>
      </c>
      <c r="Q688">
        <f t="shared" si="65"/>
        <v>3.4386492519480824E-2</v>
      </c>
      <c r="R688">
        <f t="shared" si="66"/>
        <v>0.2500305981501233</v>
      </c>
    </row>
    <row r="689" spans="1:18" hidden="1" x14ac:dyDescent="0.25">
      <c r="A689" s="46">
        <v>2020</v>
      </c>
      <c r="B689" s="56">
        <v>355</v>
      </c>
      <c r="C689" s="47" t="s">
        <v>75</v>
      </c>
      <c r="D689" s="47" t="s">
        <v>51</v>
      </c>
      <c r="E689" s="47" t="s">
        <v>44</v>
      </c>
      <c r="F689" s="46">
        <v>1135</v>
      </c>
      <c r="G689" s="46">
        <v>120</v>
      </c>
      <c r="H689" s="46">
        <v>395</v>
      </c>
      <c r="I689" s="46">
        <v>405</v>
      </c>
      <c r="J689" s="46">
        <v>130</v>
      </c>
      <c r="K689" s="46">
        <v>40</v>
      </c>
      <c r="L689" s="46">
        <v>50</v>
      </c>
      <c r="M689">
        <f t="shared" si="61"/>
        <v>1.3987725770636266E-2</v>
      </c>
      <c r="N689">
        <f t="shared" si="62"/>
        <v>4.6042930661677708E-2</v>
      </c>
      <c r="O689">
        <f t="shared" si="63"/>
        <v>4.7208574475897401E-2</v>
      </c>
      <c r="P689">
        <f t="shared" si="64"/>
        <v>1.5153369584855955E-2</v>
      </c>
      <c r="Q689">
        <f t="shared" si="65"/>
        <v>4.6625752568787556E-3</v>
      </c>
      <c r="R689">
        <f t="shared" si="66"/>
        <v>5.8282190710984439E-3</v>
      </c>
    </row>
    <row r="690" spans="1:18" hidden="1" x14ac:dyDescent="0.25">
      <c r="A690" s="46">
        <v>2020</v>
      </c>
      <c r="B690" s="56">
        <v>355</v>
      </c>
      <c r="C690" s="47" t="s">
        <v>75</v>
      </c>
      <c r="D690" s="47" t="s">
        <v>51</v>
      </c>
      <c r="E690" s="47" t="s">
        <v>45</v>
      </c>
      <c r="F690" s="46">
        <v>400</v>
      </c>
      <c r="G690" s="46">
        <v>25</v>
      </c>
      <c r="H690" s="46">
        <v>95</v>
      </c>
      <c r="I690" s="46">
        <v>150</v>
      </c>
      <c r="J690" s="46">
        <v>45</v>
      </c>
      <c r="K690" s="46">
        <v>10</v>
      </c>
      <c r="L690" s="46">
        <v>80</v>
      </c>
      <c r="M690">
        <f t="shared" si="61"/>
        <v>2.914109535549222E-3</v>
      </c>
      <c r="N690">
        <f t="shared" si="62"/>
        <v>1.1073616235087045E-2</v>
      </c>
      <c r="O690">
        <f t="shared" si="63"/>
        <v>1.7484657213295333E-2</v>
      </c>
      <c r="P690">
        <f t="shared" si="64"/>
        <v>5.2453971639886002E-3</v>
      </c>
      <c r="Q690">
        <f t="shared" si="65"/>
        <v>1.1656438142196889E-3</v>
      </c>
      <c r="R690">
        <f t="shared" si="66"/>
        <v>9.3251505137575113E-3</v>
      </c>
    </row>
    <row r="691" spans="1:18" hidden="1" x14ac:dyDescent="0.25">
      <c r="A691" s="46">
        <v>2020</v>
      </c>
      <c r="B691" s="56">
        <v>355</v>
      </c>
      <c r="C691" s="47" t="s">
        <v>75</v>
      </c>
      <c r="D691" s="47" t="s">
        <v>51</v>
      </c>
      <c r="E691" s="47" t="s">
        <v>46</v>
      </c>
      <c r="F691" s="46">
        <v>700</v>
      </c>
      <c r="G691" s="46">
        <v>60</v>
      </c>
      <c r="H691" s="46">
        <v>130</v>
      </c>
      <c r="I691" s="46">
        <v>335</v>
      </c>
      <c r="J691" s="46">
        <v>65</v>
      </c>
      <c r="K691" s="46">
        <v>15</v>
      </c>
      <c r="L691" s="46">
        <v>95</v>
      </c>
      <c r="M691">
        <f t="shared" si="61"/>
        <v>6.993862885318133E-3</v>
      </c>
      <c r="N691">
        <f t="shared" si="62"/>
        <v>1.5153369584855955E-2</v>
      </c>
      <c r="O691">
        <f t="shared" si="63"/>
        <v>3.9049067776359581E-2</v>
      </c>
      <c r="P691">
        <f t="shared" si="64"/>
        <v>7.5766847924279776E-3</v>
      </c>
      <c r="Q691">
        <f t="shared" si="65"/>
        <v>1.7484657213295333E-3</v>
      </c>
      <c r="R691">
        <f t="shared" si="66"/>
        <v>1.1073616235087045E-2</v>
      </c>
    </row>
    <row r="692" spans="1:18" hidden="1" x14ac:dyDescent="0.25">
      <c r="A692" s="46">
        <v>2020</v>
      </c>
      <c r="B692" s="56">
        <v>355</v>
      </c>
      <c r="C692" s="47" t="s">
        <v>75</v>
      </c>
      <c r="D692" s="47" t="s">
        <v>51</v>
      </c>
      <c r="E692" s="47" t="s">
        <v>47</v>
      </c>
      <c r="F692" s="46">
        <v>865</v>
      </c>
      <c r="G692" s="46">
        <v>60</v>
      </c>
      <c r="H692" s="46">
        <v>160</v>
      </c>
      <c r="I692" s="46">
        <v>390</v>
      </c>
      <c r="J692" s="46">
        <v>120</v>
      </c>
      <c r="K692" s="46">
        <v>25</v>
      </c>
      <c r="L692" s="46">
        <v>105</v>
      </c>
      <c r="M692">
        <f t="shared" si="61"/>
        <v>6.993862885318133E-3</v>
      </c>
      <c r="N692">
        <f t="shared" si="62"/>
        <v>1.8650301027515023E-2</v>
      </c>
      <c r="O692">
        <f t="shared" si="63"/>
        <v>4.5460108754567866E-2</v>
      </c>
      <c r="P692">
        <f t="shared" si="64"/>
        <v>1.3987725770636266E-2</v>
      </c>
      <c r="Q692">
        <f t="shared" si="65"/>
        <v>2.914109535549222E-3</v>
      </c>
      <c r="R692">
        <f t="shared" si="66"/>
        <v>1.2239260049306732E-2</v>
      </c>
    </row>
    <row r="693" spans="1:18" hidden="1" x14ac:dyDescent="0.25">
      <c r="A693" s="46">
        <v>2020</v>
      </c>
      <c r="B693" s="56">
        <v>355</v>
      </c>
      <c r="C693" s="47" t="s">
        <v>75</v>
      </c>
      <c r="D693" s="47" t="s">
        <v>51</v>
      </c>
      <c r="E693" s="47" t="s">
        <v>48</v>
      </c>
      <c r="F693" s="46">
        <v>2580</v>
      </c>
      <c r="G693" s="46">
        <v>125</v>
      </c>
      <c r="H693" s="46">
        <v>375</v>
      </c>
      <c r="I693" s="46">
        <v>760</v>
      </c>
      <c r="J693" s="46">
        <v>375</v>
      </c>
      <c r="K693" s="46">
        <v>150</v>
      </c>
      <c r="L693" s="46">
        <v>795</v>
      </c>
      <c r="M693">
        <f t="shared" si="61"/>
        <v>1.4570547677746111E-2</v>
      </c>
      <c r="N693">
        <f t="shared" si="62"/>
        <v>4.371164303323833E-2</v>
      </c>
      <c r="O693">
        <f t="shared" si="63"/>
        <v>8.858892988069636E-2</v>
      </c>
      <c r="P693">
        <f t="shared" si="64"/>
        <v>4.371164303323833E-2</v>
      </c>
      <c r="Q693">
        <f t="shared" si="65"/>
        <v>1.7484657213295333E-2</v>
      </c>
      <c r="R693">
        <f t="shared" si="66"/>
        <v>9.266868323046526E-2</v>
      </c>
    </row>
    <row r="694" spans="1:18" hidden="1" x14ac:dyDescent="0.25">
      <c r="A694" s="46">
        <v>2020</v>
      </c>
      <c r="B694" s="56">
        <v>355</v>
      </c>
      <c r="C694" s="47" t="s">
        <v>75</v>
      </c>
      <c r="D694" s="47" t="s">
        <v>51</v>
      </c>
      <c r="E694" s="47" t="s">
        <v>49</v>
      </c>
      <c r="F694" s="46">
        <v>1055</v>
      </c>
      <c r="G694" s="46">
        <v>20</v>
      </c>
      <c r="H694" s="46">
        <v>70</v>
      </c>
      <c r="I694" s="46">
        <v>155</v>
      </c>
      <c r="J694" s="46">
        <v>75</v>
      </c>
      <c r="K694" s="46">
        <v>50</v>
      </c>
      <c r="L694" s="46">
        <v>685</v>
      </c>
      <c r="M694">
        <f t="shared" si="61"/>
        <v>2.3312876284393778E-3</v>
      </c>
      <c r="N694">
        <f t="shared" si="62"/>
        <v>8.1595066995378222E-3</v>
      </c>
      <c r="O694">
        <f t="shared" si="63"/>
        <v>1.806747912040518E-2</v>
      </c>
      <c r="P694">
        <f t="shared" si="64"/>
        <v>8.7423286066476667E-3</v>
      </c>
      <c r="Q694">
        <f t="shared" si="65"/>
        <v>5.8282190710984439E-3</v>
      </c>
      <c r="R694">
        <f t="shared" si="66"/>
        <v>7.984660127404869E-2</v>
      </c>
    </row>
    <row r="695" spans="1:18" hidden="1" x14ac:dyDescent="0.25">
      <c r="A695" s="46">
        <v>2020</v>
      </c>
      <c r="B695" s="56">
        <v>355</v>
      </c>
      <c r="C695" s="47" t="s">
        <v>75</v>
      </c>
      <c r="D695" s="47" t="s">
        <v>51</v>
      </c>
      <c r="E695" s="47" t="s">
        <v>50</v>
      </c>
      <c r="F695" s="46">
        <v>400</v>
      </c>
      <c r="G695" s="46">
        <v>0</v>
      </c>
      <c r="H695" s="46">
        <v>20</v>
      </c>
      <c r="I695" s="46">
        <v>15</v>
      </c>
      <c r="J695" s="46">
        <v>15</v>
      </c>
      <c r="K695" s="46">
        <v>10</v>
      </c>
      <c r="L695" s="46">
        <v>335</v>
      </c>
      <c r="M695">
        <f t="shared" si="61"/>
        <v>0</v>
      </c>
      <c r="N695">
        <f t="shared" si="62"/>
        <v>2.3312876284393778E-3</v>
      </c>
      <c r="O695">
        <f t="shared" si="63"/>
        <v>1.7484657213295333E-3</v>
      </c>
      <c r="P695">
        <f t="shared" si="64"/>
        <v>1.7484657213295333E-3</v>
      </c>
      <c r="Q695">
        <f t="shared" si="65"/>
        <v>1.1656438142196889E-3</v>
      </c>
      <c r="R695">
        <f t="shared" si="66"/>
        <v>3.9049067776359581E-2</v>
      </c>
    </row>
    <row r="696" spans="1:18" hidden="1" x14ac:dyDescent="0.25">
      <c r="A696" s="46">
        <v>2020</v>
      </c>
      <c r="B696" s="56">
        <v>355</v>
      </c>
      <c r="C696" s="47" t="s">
        <v>75</v>
      </c>
      <c r="D696" s="47" t="s">
        <v>52</v>
      </c>
      <c r="E696" s="47" t="s">
        <v>43</v>
      </c>
      <c r="F696" s="46">
        <v>5960</v>
      </c>
      <c r="G696" s="46">
        <v>320</v>
      </c>
      <c r="H696" s="46">
        <v>1255</v>
      </c>
      <c r="I696" s="46">
        <v>1325</v>
      </c>
      <c r="J696" s="46">
        <v>570</v>
      </c>
      <c r="K696" s="46">
        <v>320</v>
      </c>
      <c r="L696" s="46">
        <v>2165</v>
      </c>
      <c r="M696">
        <f t="shared" si="61"/>
        <v>3.7300602055030045E-2</v>
      </c>
      <c r="N696">
        <f t="shared" si="62"/>
        <v>0.14628829868457094</v>
      </c>
      <c r="O696">
        <f t="shared" si="63"/>
        <v>0.15444780538410877</v>
      </c>
      <c r="P696">
        <f t="shared" si="64"/>
        <v>6.6441697410522263E-2</v>
      </c>
      <c r="Q696">
        <f t="shared" si="65"/>
        <v>3.7300602055030045E-2</v>
      </c>
      <c r="R696">
        <f t="shared" si="66"/>
        <v>0.25236188577856267</v>
      </c>
    </row>
    <row r="697" spans="1:18" hidden="1" x14ac:dyDescent="0.25">
      <c r="A697" s="46">
        <v>2020</v>
      </c>
      <c r="B697" s="56">
        <v>355</v>
      </c>
      <c r="C697" s="47" t="s">
        <v>75</v>
      </c>
      <c r="D697" s="47" t="s">
        <v>52</v>
      </c>
      <c r="E697" s="47" t="s">
        <v>44</v>
      </c>
      <c r="F697" s="46">
        <v>1060</v>
      </c>
      <c r="G697" s="46">
        <v>100</v>
      </c>
      <c r="H697" s="46">
        <v>355</v>
      </c>
      <c r="I697" s="46">
        <v>385</v>
      </c>
      <c r="J697" s="46">
        <v>115</v>
      </c>
      <c r="K697" s="46">
        <v>55</v>
      </c>
      <c r="L697" s="46">
        <v>50</v>
      </c>
      <c r="M697">
        <f t="shared" si="61"/>
        <v>1.1656438142196888E-2</v>
      </c>
      <c r="N697">
        <f t="shared" si="62"/>
        <v>4.1380355404798952E-2</v>
      </c>
      <c r="O697">
        <f t="shared" si="63"/>
        <v>4.4877286847458023E-2</v>
      </c>
      <c r="P697">
        <f t="shared" si="64"/>
        <v>1.3404903863526422E-2</v>
      </c>
      <c r="Q697">
        <f t="shared" si="65"/>
        <v>6.4110409782082893E-3</v>
      </c>
      <c r="R697">
        <f t="shared" si="66"/>
        <v>5.8282190710984439E-3</v>
      </c>
    </row>
    <row r="698" spans="1:18" hidden="1" x14ac:dyDescent="0.25">
      <c r="A698" s="46">
        <v>2020</v>
      </c>
      <c r="B698" s="56">
        <v>355</v>
      </c>
      <c r="C698" s="47" t="s">
        <v>75</v>
      </c>
      <c r="D698" s="47" t="s">
        <v>52</v>
      </c>
      <c r="E698" s="47" t="s">
        <v>45</v>
      </c>
      <c r="F698" s="46">
        <v>330</v>
      </c>
      <c r="G698" s="46">
        <v>20</v>
      </c>
      <c r="H698" s="46">
        <v>85</v>
      </c>
      <c r="I698" s="46">
        <v>100</v>
      </c>
      <c r="J698" s="46">
        <v>45</v>
      </c>
      <c r="K698" s="46">
        <v>15</v>
      </c>
      <c r="L698" s="46">
        <v>60</v>
      </c>
      <c r="M698">
        <f t="shared" si="61"/>
        <v>2.3312876284393778E-3</v>
      </c>
      <c r="N698">
        <f t="shared" si="62"/>
        <v>9.9079724208673559E-3</v>
      </c>
      <c r="O698">
        <f t="shared" si="63"/>
        <v>1.1656438142196888E-2</v>
      </c>
      <c r="P698">
        <f t="shared" si="64"/>
        <v>5.2453971639886002E-3</v>
      </c>
      <c r="Q698">
        <f t="shared" si="65"/>
        <v>1.7484657213295333E-3</v>
      </c>
      <c r="R698">
        <f t="shared" si="66"/>
        <v>6.993862885318133E-3</v>
      </c>
    </row>
    <row r="699" spans="1:18" hidden="1" x14ac:dyDescent="0.25">
      <c r="A699" s="46">
        <v>2020</v>
      </c>
      <c r="B699" s="56">
        <v>355</v>
      </c>
      <c r="C699" s="47" t="s">
        <v>75</v>
      </c>
      <c r="D699" s="47" t="s">
        <v>52</v>
      </c>
      <c r="E699" s="47" t="s">
        <v>46</v>
      </c>
      <c r="F699" s="46">
        <v>460</v>
      </c>
      <c r="G699" s="46">
        <v>65</v>
      </c>
      <c r="H699" s="46">
        <v>150</v>
      </c>
      <c r="I699" s="46">
        <v>125</v>
      </c>
      <c r="J699" s="46">
        <v>25</v>
      </c>
      <c r="K699" s="46">
        <v>10</v>
      </c>
      <c r="L699" s="46">
        <v>80</v>
      </c>
      <c r="M699">
        <f t="shared" si="61"/>
        <v>7.5766847924279776E-3</v>
      </c>
      <c r="N699">
        <f t="shared" si="62"/>
        <v>1.7484657213295333E-2</v>
      </c>
      <c r="O699">
        <f t="shared" si="63"/>
        <v>1.4570547677746111E-2</v>
      </c>
      <c r="P699">
        <f t="shared" si="64"/>
        <v>2.914109535549222E-3</v>
      </c>
      <c r="Q699">
        <f t="shared" si="65"/>
        <v>1.1656438142196889E-3</v>
      </c>
      <c r="R699">
        <f t="shared" si="66"/>
        <v>9.3251505137575113E-3</v>
      </c>
    </row>
    <row r="700" spans="1:18" hidden="1" x14ac:dyDescent="0.25">
      <c r="A700" s="46">
        <v>2020</v>
      </c>
      <c r="B700" s="56">
        <v>355</v>
      </c>
      <c r="C700" s="47" t="s">
        <v>75</v>
      </c>
      <c r="D700" s="47" t="s">
        <v>52</v>
      </c>
      <c r="E700" s="47" t="s">
        <v>47</v>
      </c>
      <c r="F700" s="46">
        <v>575</v>
      </c>
      <c r="G700" s="46">
        <v>40</v>
      </c>
      <c r="H700" s="46">
        <v>190</v>
      </c>
      <c r="I700" s="46">
        <v>160</v>
      </c>
      <c r="J700" s="46">
        <v>75</v>
      </c>
      <c r="K700" s="46">
        <v>35</v>
      </c>
      <c r="L700" s="46">
        <v>80</v>
      </c>
      <c r="M700">
        <f t="shared" si="61"/>
        <v>4.6625752568787556E-3</v>
      </c>
      <c r="N700">
        <f t="shared" si="62"/>
        <v>2.214723247017409E-2</v>
      </c>
      <c r="O700">
        <f t="shared" si="63"/>
        <v>1.8650301027515023E-2</v>
      </c>
      <c r="P700">
        <f t="shared" si="64"/>
        <v>8.7423286066476667E-3</v>
      </c>
      <c r="Q700">
        <f t="shared" si="65"/>
        <v>4.0797533497689111E-3</v>
      </c>
      <c r="R700">
        <f t="shared" si="66"/>
        <v>9.3251505137575113E-3</v>
      </c>
    </row>
    <row r="701" spans="1:18" hidden="1" x14ac:dyDescent="0.25">
      <c r="A701" s="46">
        <v>2020</v>
      </c>
      <c r="B701" s="56">
        <v>355</v>
      </c>
      <c r="C701" s="47" t="s">
        <v>75</v>
      </c>
      <c r="D701" s="47" t="s">
        <v>52</v>
      </c>
      <c r="E701" s="47" t="s">
        <v>48</v>
      </c>
      <c r="F701" s="46">
        <v>2215</v>
      </c>
      <c r="G701" s="46">
        <v>65</v>
      </c>
      <c r="H701" s="46">
        <v>390</v>
      </c>
      <c r="I701" s="46">
        <v>440</v>
      </c>
      <c r="J701" s="46">
        <v>235</v>
      </c>
      <c r="K701" s="46">
        <v>165</v>
      </c>
      <c r="L701" s="46">
        <v>920</v>
      </c>
      <c r="M701">
        <f t="shared" si="61"/>
        <v>7.5766847924279776E-3</v>
      </c>
      <c r="N701">
        <f t="shared" si="62"/>
        <v>4.5460108754567866E-2</v>
      </c>
      <c r="O701">
        <f t="shared" si="63"/>
        <v>5.1288327825666315E-2</v>
      </c>
      <c r="P701">
        <f t="shared" si="64"/>
        <v>2.7392629634162689E-2</v>
      </c>
      <c r="Q701">
        <f t="shared" si="65"/>
        <v>1.9233122934624865E-2</v>
      </c>
      <c r="R701">
        <f t="shared" si="66"/>
        <v>0.10723923090821137</v>
      </c>
    </row>
    <row r="702" spans="1:18" hidden="1" x14ac:dyDescent="0.25">
      <c r="A702" s="46">
        <v>2020</v>
      </c>
      <c r="B702" s="56">
        <v>355</v>
      </c>
      <c r="C702" s="47" t="s">
        <v>75</v>
      </c>
      <c r="D702" s="47" t="s">
        <v>52</v>
      </c>
      <c r="E702" s="47" t="s">
        <v>49</v>
      </c>
      <c r="F702" s="46">
        <v>895</v>
      </c>
      <c r="G702" s="46">
        <v>20</v>
      </c>
      <c r="H702" s="46">
        <v>75</v>
      </c>
      <c r="I702" s="46">
        <v>100</v>
      </c>
      <c r="J702" s="46">
        <v>60</v>
      </c>
      <c r="K702" s="46">
        <v>25</v>
      </c>
      <c r="L702" s="46">
        <v>610</v>
      </c>
      <c r="M702">
        <f t="shared" si="61"/>
        <v>2.3312876284393778E-3</v>
      </c>
      <c r="N702">
        <f t="shared" si="62"/>
        <v>8.7423286066476667E-3</v>
      </c>
      <c r="O702">
        <f t="shared" si="63"/>
        <v>1.1656438142196888E-2</v>
      </c>
      <c r="P702">
        <f t="shared" si="64"/>
        <v>6.993862885318133E-3</v>
      </c>
      <c r="Q702">
        <f t="shared" si="65"/>
        <v>2.914109535549222E-3</v>
      </c>
      <c r="R702">
        <f t="shared" si="66"/>
        <v>7.1104272667401019E-2</v>
      </c>
    </row>
    <row r="703" spans="1:18" hidden="1" x14ac:dyDescent="0.25">
      <c r="A703" s="46">
        <v>2020</v>
      </c>
      <c r="B703" s="56">
        <v>355</v>
      </c>
      <c r="C703" s="47" t="s">
        <v>75</v>
      </c>
      <c r="D703" s="47" t="s">
        <v>52</v>
      </c>
      <c r="E703" s="47" t="s">
        <v>50</v>
      </c>
      <c r="F703" s="46">
        <v>430</v>
      </c>
      <c r="G703" s="46">
        <v>10</v>
      </c>
      <c r="H703" s="46">
        <v>10</v>
      </c>
      <c r="I703" s="46">
        <v>15</v>
      </c>
      <c r="J703" s="46">
        <v>15</v>
      </c>
      <c r="K703" s="46">
        <v>10</v>
      </c>
      <c r="L703" s="46">
        <v>360</v>
      </c>
      <c r="M703">
        <f t="shared" si="61"/>
        <v>1.1656438142196889E-3</v>
      </c>
      <c r="N703">
        <f t="shared" si="62"/>
        <v>1.1656438142196889E-3</v>
      </c>
      <c r="O703">
        <f t="shared" si="63"/>
        <v>1.7484657213295333E-3</v>
      </c>
      <c r="P703">
        <f t="shared" si="64"/>
        <v>1.7484657213295333E-3</v>
      </c>
      <c r="Q703">
        <f t="shared" si="65"/>
        <v>1.1656438142196889E-3</v>
      </c>
      <c r="R703">
        <f t="shared" si="66"/>
        <v>4.1963177311908802E-2</v>
      </c>
    </row>
    <row r="704" spans="1:18" x14ac:dyDescent="0.25">
      <c r="A704" s="46">
        <v>2020</v>
      </c>
      <c r="B704" s="56">
        <v>356</v>
      </c>
      <c r="C704" s="47" t="s">
        <v>80</v>
      </c>
      <c r="D704" s="47" t="s">
        <v>42</v>
      </c>
      <c r="E704" s="47" t="s">
        <v>43</v>
      </c>
      <c r="F704" s="46">
        <v>6980</v>
      </c>
      <c r="G704" s="46">
        <v>290</v>
      </c>
      <c r="H704" s="46">
        <v>1105</v>
      </c>
      <c r="I704" s="46">
        <v>1530</v>
      </c>
      <c r="J704" s="46">
        <v>685</v>
      </c>
      <c r="K704" s="46">
        <v>385</v>
      </c>
      <c r="L704" s="46">
        <v>2990</v>
      </c>
      <c r="M704">
        <f t="shared" si="61"/>
        <v>3.3803670612370981E-2</v>
      </c>
      <c r="N704">
        <f t="shared" si="62"/>
        <v>0.12880364147127563</v>
      </c>
      <c r="O704">
        <f t="shared" si="63"/>
        <v>0.17834350357561241</v>
      </c>
      <c r="P704">
        <f t="shared" si="64"/>
        <v>7.984660127404869E-2</v>
      </c>
      <c r="Q704">
        <f t="shared" si="65"/>
        <v>4.4877286847458023E-2</v>
      </c>
      <c r="R704">
        <f t="shared" si="66"/>
        <v>0.34852750045168701</v>
      </c>
    </row>
    <row r="705" spans="1:18" hidden="1" x14ac:dyDescent="0.25">
      <c r="A705" s="46">
        <v>2020</v>
      </c>
      <c r="B705" s="56">
        <v>356</v>
      </c>
      <c r="C705" s="47" t="s">
        <v>80</v>
      </c>
      <c r="D705" s="47" t="s">
        <v>42</v>
      </c>
      <c r="E705" s="47" t="s">
        <v>44</v>
      </c>
      <c r="F705" s="46">
        <v>1340</v>
      </c>
      <c r="G705" s="46">
        <v>100</v>
      </c>
      <c r="H705" s="46">
        <v>425</v>
      </c>
      <c r="I705" s="46">
        <v>470</v>
      </c>
      <c r="J705" s="46">
        <v>180</v>
      </c>
      <c r="K705" s="46">
        <v>70</v>
      </c>
      <c r="L705" s="46">
        <v>95</v>
      </c>
      <c r="M705">
        <f t="shared" si="61"/>
        <v>1.1656438142196888E-2</v>
      </c>
      <c r="N705">
        <f t="shared" si="62"/>
        <v>4.9539862104336772E-2</v>
      </c>
      <c r="O705">
        <f t="shared" si="63"/>
        <v>5.4785259268325379E-2</v>
      </c>
      <c r="P705">
        <f t="shared" si="64"/>
        <v>2.0981588655954401E-2</v>
      </c>
      <c r="Q705">
        <f t="shared" si="65"/>
        <v>8.1595066995378222E-3</v>
      </c>
      <c r="R705">
        <f t="shared" si="66"/>
        <v>1.1073616235087045E-2</v>
      </c>
    </row>
    <row r="706" spans="1:18" hidden="1" x14ac:dyDescent="0.25">
      <c r="A706" s="46">
        <v>2020</v>
      </c>
      <c r="B706" s="56">
        <v>356</v>
      </c>
      <c r="C706" s="47" t="s">
        <v>80</v>
      </c>
      <c r="D706" s="47" t="s">
        <v>42</v>
      </c>
      <c r="E706" s="47" t="s">
        <v>45</v>
      </c>
      <c r="F706" s="46">
        <v>380</v>
      </c>
      <c r="G706" s="46">
        <v>15</v>
      </c>
      <c r="H706" s="46">
        <v>65</v>
      </c>
      <c r="I706" s="46">
        <v>125</v>
      </c>
      <c r="J706" s="46">
        <v>45</v>
      </c>
      <c r="K706" s="46">
        <v>20</v>
      </c>
      <c r="L706" s="46">
        <v>115</v>
      </c>
      <c r="M706">
        <f t="shared" si="61"/>
        <v>1.7484657213295333E-3</v>
      </c>
      <c r="N706">
        <f t="shared" si="62"/>
        <v>7.5766847924279776E-3</v>
      </c>
      <c r="O706">
        <f t="shared" si="63"/>
        <v>1.4570547677746111E-2</v>
      </c>
      <c r="P706">
        <f t="shared" si="64"/>
        <v>5.2453971639886002E-3</v>
      </c>
      <c r="Q706">
        <f t="shared" si="65"/>
        <v>2.3312876284393778E-3</v>
      </c>
      <c r="R706">
        <f t="shared" si="66"/>
        <v>1.3404903863526422E-2</v>
      </c>
    </row>
    <row r="707" spans="1:18" hidden="1" x14ac:dyDescent="0.25">
      <c r="A707" s="46">
        <v>2020</v>
      </c>
      <c r="B707" s="56">
        <v>356</v>
      </c>
      <c r="C707" s="47" t="s">
        <v>80</v>
      </c>
      <c r="D707" s="47" t="s">
        <v>42</v>
      </c>
      <c r="E707" s="47" t="s">
        <v>46</v>
      </c>
      <c r="F707" s="46">
        <v>480</v>
      </c>
      <c r="G707" s="46">
        <v>30</v>
      </c>
      <c r="H707" s="46">
        <v>90</v>
      </c>
      <c r="I707" s="46">
        <v>170</v>
      </c>
      <c r="J707" s="46">
        <v>25</v>
      </c>
      <c r="K707" s="46">
        <v>15</v>
      </c>
      <c r="L707" s="46">
        <v>150</v>
      </c>
      <c r="M707">
        <f t="shared" si="61"/>
        <v>3.4969314426590665E-3</v>
      </c>
      <c r="N707">
        <f t="shared" si="62"/>
        <v>1.04907943279772E-2</v>
      </c>
      <c r="O707">
        <f t="shared" si="63"/>
        <v>1.9815944841734712E-2</v>
      </c>
      <c r="P707">
        <f t="shared" si="64"/>
        <v>2.914109535549222E-3</v>
      </c>
      <c r="Q707">
        <f t="shared" si="65"/>
        <v>1.7484657213295333E-3</v>
      </c>
      <c r="R707">
        <f t="shared" si="66"/>
        <v>1.7484657213295333E-2</v>
      </c>
    </row>
    <row r="708" spans="1:18" hidden="1" x14ac:dyDescent="0.25">
      <c r="A708" s="46">
        <v>2020</v>
      </c>
      <c r="B708" s="56">
        <v>356</v>
      </c>
      <c r="C708" s="47" t="s">
        <v>80</v>
      </c>
      <c r="D708" s="47" t="s">
        <v>42</v>
      </c>
      <c r="E708" s="47" t="s">
        <v>47</v>
      </c>
      <c r="F708" s="46">
        <v>535</v>
      </c>
      <c r="G708" s="46">
        <v>40</v>
      </c>
      <c r="H708" s="46">
        <v>90</v>
      </c>
      <c r="I708" s="46">
        <v>155</v>
      </c>
      <c r="J708" s="46">
        <v>60</v>
      </c>
      <c r="K708" s="46">
        <v>30</v>
      </c>
      <c r="L708" s="46">
        <v>155</v>
      </c>
      <c r="M708">
        <f t="shared" si="61"/>
        <v>4.6625752568787556E-3</v>
      </c>
      <c r="N708">
        <f t="shared" si="62"/>
        <v>1.04907943279772E-2</v>
      </c>
      <c r="O708">
        <f t="shared" si="63"/>
        <v>1.806747912040518E-2</v>
      </c>
      <c r="P708">
        <f t="shared" si="64"/>
        <v>6.993862885318133E-3</v>
      </c>
      <c r="Q708">
        <f t="shared" si="65"/>
        <v>3.4969314426590665E-3</v>
      </c>
      <c r="R708">
        <f t="shared" si="66"/>
        <v>1.806747912040518E-2</v>
      </c>
    </row>
    <row r="709" spans="1:18" hidden="1" x14ac:dyDescent="0.25">
      <c r="A709" s="46">
        <v>2020</v>
      </c>
      <c r="B709" s="56">
        <v>356</v>
      </c>
      <c r="C709" s="47" t="s">
        <v>80</v>
      </c>
      <c r="D709" s="47" t="s">
        <v>42</v>
      </c>
      <c r="E709" s="47" t="s">
        <v>48</v>
      </c>
      <c r="F709" s="46">
        <v>2605</v>
      </c>
      <c r="G709" s="46">
        <v>90</v>
      </c>
      <c r="H709" s="46">
        <v>340</v>
      </c>
      <c r="I709" s="46">
        <v>510</v>
      </c>
      <c r="J709" s="46">
        <v>295</v>
      </c>
      <c r="K709" s="46">
        <v>185</v>
      </c>
      <c r="L709" s="46">
        <v>1185</v>
      </c>
      <c r="M709">
        <f t="shared" si="61"/>
        <v>1.04907943279772E-2</v>
      </c>
      <c r="N709">
        <f t="shared" si="62"/>
        <v>3.9631889683469423E-2</v>
      </c>
      <c r="O709">
        <f t="shared" si="63"/>
        <v>5.9447834525204135E-2</v>
      </c>
      <c r="P709">
        <f t="shared" si="64"/>
        <v>3.4386492519480824E-2</v>
      </c>
      <c r="Q709">
        <f t="shared" si="65"/>
        <v>2.1564410563064244E-2</v>
      </c>
      <c r="R709">
        <f t="shared" si="66"/>
        <v>0.13812879198503311</v>
      </c>
    </row>
    <row r="710" spans="1:18" hidden="1" x14ac:dyDescent="0.25">
      <c r="A710" s="46">
        <v>2020</v>
      </c>
      <c r="B710" s="56">
        <v>356</v>
      </c>
      <c r="C710" s="47" t="s">
        <v>80</v>
      </c>
      <c r="D710" s="47" t="s">
        <v>42</v>
      </c>
      <c r="E710" s="47" t="s">
        <v>49</v>
      </c>
      <c r="F710" s="46">
        <v>1120</v>
      </c>
      <c r="G710" s="46">
        <v>15</v>
      </c>
      <c r="H710" s="46">
        <v>75</v>
      </c>
      <c r="I710" s="46">
        <v>85</v>
      </c>
      <c r="J710" s="46">
        <v>60</v>
      </c>
      <c r="K710" s="46">
        <v>60</v>
      </c>
      <c r="L710" s="46">
        <v>825</v>
      </c>
      <c r="M710">
        <f t="shared" si="61"/>
        <v>1.7484657213295333E-3</v>
      </c>
      <c r="N710">
        <f t="shared" si="62"/>
        <v>8.7423286066476667E-3</v>
      </c>
      <c r="O710">
        <f t="shared" si="63"/>
        <v>9.9079724208673559E-3</v>
      </c>
      <c r="P710">
        <f t="shared" si="64"/>
        <v>6.993862885318133E-3</v>
      </c>
      <c r="Q710">
        <f t="shared" si="65"/>
        <v>6.993862885318133E-3</v>
      </c>
      <c r="R710">
        <f t="shared" si="66"/>
        <v>9.6165614673124331E-2</v>
      </c>
    </row>
    <row r="711" spans="1:18" hidden="1" x14ac:dyDescent="0.25">
      <c r="A711" s="46">
        <v>2020</v>
      </c>
      <c r="B711" s="56">
        <v>356</v>
      </c>
      <c r="C711" s="47" t="s">
        <v>80</v>
      </c>
      <c r="D711" s="47" t="s">
        <v>42</v>
      </c>
      <c r="E711" s="47" t="s">
        <v>50</v>
      </c>
      <c r="F711" s="46">
        <v>515</v>
      </c>
      <c r="G711" s="46">
        <v>0</v>
      </c>
      <c r="H711" s="46">
        <v>15</v>
      </c>
      <c r="I711" s="46">
        <v>10</v>
      </c>
      <c r="J711" s="46">
        <v>15</v>
      </c>
      <c r="K711" s="46">
        <v>5</v>
      </c>
      <c r="L711" s="46">
        <v>465</v>
      </c>
      <c r="M711">
        <f t="shared" si="61"/>
        <v>0</v>
      </c>
      <c r="N711">
        <f t="shared" si="62"/>
        <v>1.7484657213295333E-3</v>
      </c>
      <c r="O711">
        <f t="shared" si="63"/>
        <v>1.1656438142196889E-3</v>
      </c>
      <c r="P711">
        <f t="shared" si="64"/>
        <v>1.7484657213295333E-3</v>
      </c>
      <c r="Q711">
        <f t="shared" si="65"/>
        <v>5.8282190710984446E-4</v>
      </c>
      <c r="R711">
        <f t="shared" si="66"/>
        <v>5.4202437361215529E-2</v>
      </c>
    </row>
    <row r="712" spans="1:18" hidden="1" x14ac:dyDescent="0.25">
      <c r="A712" s="46">
        <v>2020</v>
      </c>
      <c r="B712" s="56">
        <v>356</v>
      </c>
      <c r="C712" s="47" t="s">
        <v>80</v>
      </c>
      <c r="D712" s="47" t="s">
        <v>51</v>
      </c>
      <c r="E712" s="47" t="s">
        <v>43</v>
      </c>
      <c r="F712" s="46">
        <v>3570</v>
      </c>
      <c r="G712" s="46">
        <v>155</v>
      </c>
      <c r="H712" s="46">
        <v>565</v>
      </c>
      <c r="I712" s="46">
        <v>870</v>
      </c>
      <c r="J712" s="46">
        <v>355</v>
      </c>
      <c r="K712" s="46">
        <v>205</v>
      </c>
      <c r="L712" s="46">
        <v>1420</v>
      </c>
      <c r="M712">
        <f t="shared" si="61"/>
        <v>1.806747912040518E-2</v>
      </c>
      <c r="N712">
        <f t="shared" si="62"/>
        <v>6.585887550341242E-2</v>
      </c>
      <c r="O712">
        <f t="shared" si="63"/>
        <v>0.10141101183711293</v>
      </c>
      <c r="P712">
        <f t="shared" si="64"/>
        <v>4.1380355404798952E-2</v>
      </c>
      <c r="Q712">
        <f t="shared" si="65"/>
        <v>2.3895698191503622E-2</v>
      </c>
      <c r="R712">
        <f t="shared" si="66"/>
        <v>0.16552142161919581</v>
      </c>
    </row>
    <row r="713" spans="1:18" hidden="1" x14ac:dyDescent="0.25">
      <c r="A713" s="46">
        <v>2020</v>
      </c>
      <c r="B713" s="56">
        <v>356</v>
      </c>
      <c r="C713" s="47" t="s">
        <v>80</v>
      </c>
      <c r="D713" s="47" t="s">
        <v>51</v>
      </c>
      <c r="E713" s="47" t="s">
        <v>44</v>
      </c>
      <c r="F713" s="46">
        <v>720</v>
      </c>
      <c r="G713" s="46">
        <v>55</v>
      </c>
      <c r="H713" s="46">
        <v>225</v>
      </c>
      <c r="I713" s="46">
        <v>250</v>
      </c>
      <c r="J713" s="46">
        <v>95</v>
      </c>
      <c r="K713" s="46">
        <v>35</v>
      </c>
      <c r="L713" s="46">
        <v>55</v>
      </c>
      <c r="M713">
        <f t="shared" ref="M713:M776" si="67">G713/$F$8*100</f>
        <v>6.4110409782082893E-3</v>
      </c>
      <c r="N713">
        <f t="shared" ref="N713:N776" si="68">H713/$F$8*100</f>
        <v>2.6226985819943E-2</v>
      </c>
      <c r="O713">
        <f t="shared" ref="O713:O776" si="69">I713/$F$8*100</f>
        <v>2.9141095355492221E-2</v>
      </c>
      <c r="P713">
        <f t="shared" ref="P713:P776" si="70">J713/$F$8*100</f>
        <v>1.1073616235087045E-2</v>
      </c>
      <c r="Q713">
        <f t="shared" ref="Q713:Q776" si="71">K713/$F$8*100</f>
        <v>4.0797533497689111E-3</v>
      </c>
      <c r="R713">
        <f t="shared" ref="R713:R776" si="72">L713/$F$8*100</f>
        <v>6.4110409782082893E-3</v>
      </c>
    </row>
    <row r="714" spans="1:18" hidden="1" x14ac:dyDescent="0.25">
      <c r="A714" s="46">
        <v>2020</v>
      </c>
      <c r="B714" s="56">
        <v>356</v>
      </c>
      <c r="C714" s="47" t="s">
        <v>80</v>
      </c>
      <c r="D714" s="47" t="s">
        <v>51</v>
      </c>
      <c r="E714" s="47" t="s">
        <v>45</v>
      </c>
      <c r="F714" s="46">
        <v>200</v>
      </c>
      <c r="G714" s="46">
        <v>10</v>
      </c>
      <c r="H714" s="46">
        <v>35</v>
      </c>
      <c r="I714" s="46">
        <v>70</v>
      </c>
      <c r="J714" s="46">
        <v>25</v>
      </c>
      <c r="K714" s="46">
        <v>10</v>
      </c>
      <c r="L714" s="46">
        <v>55</v>
      </c>
      <c r="M714">
        <f t="shared" si="67"/>
        <v>1.1656438142196889E-3</v>
      </c>
      <c r="N714">
        <f t="shared" si="68"/>
        <v>4.0797533497689111E-3</v>
      </c>
      <c r="O714">
        <f t="shared" si="69"/>
        <v>8.1595066995378222E-3</v>
      </c>
      <c r="P714">
        <f t="shared" si="70"/>
        <v>2.914109535549222E-3</v>
      </c>
      <c r="Q714">
        <f t="shared" si="71"/>
        <v>1.1656438142196889E-3</v>
      </c>
      <c r="R714">
        <f t="shared" si="72"/>
        <v>6.4110409782082893E-3</v>
      </c>
    </row>
    <row r="715" spans="1:18" hidden="1" x14ac:dyDescent="0.25">
      <c r="A715" s="46">
        <v>2020</v>
      </c>
      <c r="B715" s="56">
        <v>356</v>
      </c>
      <c r="C715" s="47" t="s">
        <v>80</v>
      </c>
      <c r="D715" s="47" t="s">
        <v>51</v>
      </c>
      <c r="E715" s="47" t="s">
        <v>46</v>
      </c>
      <c r="F715" s="46">
        <v>265</v>
      </c>
      <c r="G715" s="46">
        <v>15</v>
      </c>
      <c r="H715" s="46">
        <v>40</v>
      </c>
      <c r="I715" s="46">
        <v>115</v>
      </c>
      <c r="J715" s="46">
        <v>10</v>
      </c>
      <c r="K715" s="46">
        <v>10</v>
      </c>
      <c r="L715" s="46">
        <v>80</v>
      </c>
      <c r="M715">
        <f t="shared" si="67"/>
        <v>1.7484657213295333E-3</v>
      </c>
      <c r="N715">
        <f t="shared" si="68"/>
        <v>4.6625752568787556E-3</v>
      </c>
      <c r="O715">
        <f t="shared" si="69"/>
        <v>1.3404903863526422E-2</v>
      </c>
      <c r="P715">
        <f t="shared" si="70"/>
        <v>1.1656438142196889E-3</v>
      </c>
      <c r="Q715">
        <f t="shared" si="71"/>
        <v>1.1656438142196889E-3</v>
      </c>
      <c r="R715">
        <f t="shared" si="72"/>
        <v>9.3251505137575113E-3</v>
      </c>
    </row>
    <row r="716" spans="1:18" hidden="1" x14ac:dyDescent="0.25">
      <c r="A716" s="46">
        <v>2020</v>
      </c>
      <c r="B716" s="56">
        <v>356</v>
      </c>
      <c r="C716" s="47" t="s">
        <v>80</v>
      </c>
      <c r="D716" s="47" t="s">
        <v>51</v>
      </c>
      <c r="E716" s="47" t="s">
        <v>47</v>
      </c>
      <c r="F716" s="46">
        <v>280</v>
      </c>
      <c r="G716" s="46">
        <v>20</v>
      </c>
      <c r="H716" s="46">
        <v>45</v>
      </c>
      <c r="I716" s="46">
        <v>90</v>
      </c>
      <c r="J716" s="46">
        <v>30</v>
      </c>
      <c r="K716" s="46">
        <v>10</v>
      </c>
      <c r="L716" s="46">
        <v>85</v>
      </c>
      <c r="M716">
        <f t="shared" si="67"/>
        <v>2.3312876284393778E-3</v>
      </c>
      <c r="N716">
        <f t="shared" si="68"/>
        <v>5.2453971639886002E-3</v>
      </c>
      <c r="O716">
        <f t="shared" si="69"/>
        <v>1.04907943279772E-2</v>
      </c>
      <c r="P716">
        <f t="shared" si="70"/>
        <v>3.4969314426590665E-3</v>
      </c>
      <c r="Q716">
        <f t="shared" si="71"/>
        <v>1.1656438142196889E-3</v>
      </c>
      <c r="R716">
        <f t="shared" si="72"/>
        <v>9.9079724208673559E-3</v>
      </c>
    </row>
    <row r="717" spans="1:18" hidden="1" x14ac:dyDescent="0.25">
      <c r="A717" s="46">
        <v>2020</v>
      </c>
      <c r="B717" s="56">
        <v>356</v>
      </c>
      <c r="C717" s="47" t="s">
        <v>80</v>
      </c>
      <c r="D717" s="47" t="s">
        <v>51</v>
      </c>
      <c r="E717" s="47" t="s">
        <v>48</v>
      </c>
      <c r="F717" s="46">
        <v>1285</v>
      </c>
      <c r="G717" s="46">
        <v>50</v>
      </c>
      <c r="H717" s="46">
        <v>175</v>
      </c>
      <c r="I717" s="46">
        <v>280</v>
      </c>
      <c r="J717" s="46">
        <v>150</v>
      </c>
      <c r="K717" s="46">
        <v>100</v>
      </c>
      <c r="L717" s="46">
        <v>525</v>
      </c>
      <c r="M717">
        <f t="shared" si="67"/>
        <v>5.8282190710984439E-3</v>
      </c>
      <c r="N717">
        <f t="shared" si="68"/>
        <v>2.0398766748844555E-2</v>
      </c>
      <c r="O717">
        <f t="shared" si="69"/>
        <v>3.2638026798151289E-2</v>
      </c>
      <c r="P717">
        <f t="shared" si="70"/>
        <v>1.7484657213295333E-2</v>
      </c>
      <c r="Q717">
        <f t="shared" si="71"/>
        <v>1.1656438142196888E-2</v>
      </c>
      <c r="R717">
        <f t="shared" si="72"/>
        <v>6.1196300246533664E-2</v>
      </c>
    </row>
    <row r="718" spans="1:18" hidden="1" x14ac:dyDescent="0.25">
      <c r="A718" s="46">
        <v>2020</v>
      </c>
      <c r="B718" s="56">
        <v>356</v>
      </c>
      <c r="C718" s="47" t="s">
        <v>80</v>
      </c>
      <c r="D718" s="47" t="s">
        <v>51</v>
      </c>
      <c r="E718" s="47" t="s">
        <v>49</v>
      </c>
      <c r="F718" s="46">
        <v>580</v>
      </c>
      <c r="G718" s="46">
        <v>10</v>
      </c>
      <c r="H718" s="46">
        <v>35</v>
      </c>
      <c r="I718" s="46">
        <v>60</v>
      </c>
      <c r="J718" s="46">
        <v>35</v>
      </c>
      <c r="K718" s="46">
        <v>35</v>
      </c>
      <c r="L718" s="46">
        <v>405</v>
      </c>
      <c r="M718">
        <f t="shared" si="67"/>
        <v>1.1656438142196889E-3</v>
      </c>
      <c r="N718">
        <f t="shared" si="68"/>
        <v>4.0797533497689111E-3</v>
      </c>
      <c r="O718">
        <f t="shared" si="69"/>
        <v>6.993862885318133E-3</v>
      </c>
      <c r="P718">
        <f t="shared" si="70"/>
        <v>4.0797533497689111E-3</v>
      </c>
      <c r="Q718">
        <f t="shared" si="71"/>
        <v>4.0797533497689111E-3</v>
      </c>
      <c r="R718">
        <f t="shared" si="72"/>
        <v>4.7208574475897401E-2</v>
      </c>
    </row>
    <row r="719" spans="1:18" hidden="1" x14ac:dyDescent="0.25">
      <c r="A719" s="46">
        <v>2020</v>
      </c>
      <c r="B719" s="56">
        <v>356</v>
      </c>
      <c r="C719" s="47" t="s">
        <v>80</v>
      </c>
      <c r="D719" s="47" t="s">
        <v>51</v>
      </c>
      <c r="E719" s="47" t="s">
        <v>50</v>
      </c>
      <c r="F719" s="46">
        <v>240</v>
      </c>
      <c r="G719" s="46">
        <v>0</v>
      </c>
      <c r="H719" s="46">
        <v>10</v>
      </c>
      <c r="I719" s="46">
        <v>10</v>
      </c>
      <c r="J719" s="46">
        <v>5</v>
      </c>
      <c r="K719" s="46">
        <v>5</v>
      </c>
      <c r="L719" s="46">
        <v>210</v>
      </c>
      <c r="M719">
        <f t="shared" si="67"/>
        <v>0</v>
      </c>
      <c r="N719">
        <f t="shared" si="68"/>
        <v>1.1656438142196889E-3</v>
      </c>
      <c r="O719">
        <f t="shared" si="69"/>
        <v>1.1656438142196889E-3</v>
      </c>
      <c r="P719">
        <f t="shared" si="70"/>
        <v>5.8282190710984446E-4</v>
      </c>
      <c r="Q719">
        <f t="shared" si="71"/>
        <v>5.8282190710984446E-4</v>
      </c>
      <c r="R719">
        <f t="shared" si="72"/>
        <v>2.4478520098613465E-2</v>
      </c>
    </row>
    <row r="720" spans="1:18" hidden="1" x14ac:dyDescent="0.25">
      <c r="A720" s="46">
        <v>2020</v>
      </c>
      <c r="B720" s="56">
        <v>356</v>
      </c>
      <c r="C720" s="47" t="s">
        <v>80</v>
      </c>
      <c r="D720" s="47" t="s">
        <v>52</v>
      </c>
      <c r="E720" s="47" t="s">
        <v>43</v>
      </c>
      <c r="F720" s="46">
        <v>3410</v>
      </c>
      <c r="G720" s="46">
        <v>135</v>
      </c>
      <c r="H720" s="46">
        <v>540</v>
      </c>
      <c r="I720" s="46">
        <v>660</v>
      </c>
      <c r="J720" s="46">
        <v>330</v>
      </c>
      <c r="K720" s="46">
        <v>180</v>
      </c>
      <c r="L720" s="46">
        <v>1570</v>
      </c>
      <c r="M720">
        <f t="shared" si="67"/>
        <v>1.5736191491965801E-2</v>
      </c>
      <c r="N720">
        <f t="shared" si="68"/>
        <v>6.2944765967863206E-2</v>
      </c>
      <c r="O720">
        <f t="shared" si="69"/>
        <v>7.6932491738499462E-2</v>
      </c>
      <c r="P720">
        <f t="shared" si="70"/>
        <v>3.8466245869249731E-2</v>
      </c>
      <c r="Q720">
        <f t="shared" si="71"/>
        <v>2.0981588655954401E-2</v>
      </c>
      <c r="R720">
        <f t="shared" si="72"/>
        <v>0.18300607883249115</v>
      </c>
    </row>
    <row r="721" spans="1:18" hidden="1" x14ac:dyDescent="0.25">
      <c r="A721" s="46">
        <v>2020</v>
      </c>
      <c r="B721" s="56">
        <v>356</v>
      </c>
      <c r="C721" s="47" t="s">
        <v>80</v>
      </c>
      <c r="D721" s="47" t="s">
        <v>52</v>
      </c>
      <c r="E721" s="47" t="s">
        <v>44</v>
      </c>
      <c r="F721" s="46">
        <v>620</v>
      </c>
      <c r="G721" s="46">
        <v>45</v>
      </c>
      <c r="H721" s="46">
        <v>200</v>
      </c>
      <c r="I721" s="46">
        <v>220</v>
      </c>
      <c r="J721" s="46">
        <v>80</v>
      </c>
      <c r="K721" s="46">
        <v>30</v>
      </c>
      <c r="L721" s="46">
        <v>40</v>
      </c>
      <c r="M721">
        <f t="shared" si="67"/>
        <v>5.2453971639886002E-3</v>
      </c>
      <c r="N721">
        <f t="shared" si="68"/>
        <v>2.3312876284393776E-2</v>
      </c>
      <c r="O721">
        <f t="shared" si="69"/>
        <v>2.5644163912833157E-2</v>
      </c>
      <c r="P721">
        <f t="shared" si="70"/>
        <v>9.3251505137575113E-3</v>
      </c>
      <c r="Q721">
        <f t="shared" si="71"/>
        <v>3.4969314426590665E-3</v>
      </c>
      <c r="R721">
        <f t="shared" si="72"/>
        <v>4.6625752568787556E-3</v>
      </c>
    </row>
    <row r="722" spans="1:18" hidden="1" x14ac:dyDescent="0.25">
      <c r="A722" s="46">
        <v>2020</v>
      </c>
      <c r="B722" s="56">
        <v>356</v>
      </c>
      <c r="C722" s="47" t="s">
        <v>80</v>
      </c>
      <c r="D722" s="47" t="s">
        <v>52</v>
      </c>
      <c r="E722" s="47" t="s">
        <v>45</v>
      </c>
      <c r="F722" s="46">
        <v>180</v>
      </c>
      <c r="G722" s="46">
        <v>5</v>
      </c>
      <c r="H722" s="46">
        <v>30</v>
      </c>
      <c r="I722" s="46">
        <v>55</v>
      </c>
      <c r="J722" s="46">
        <v>20</v>
      </c>
      <c r="K722" s="46">
        <v>10</v>
      </c>
      <c r="L722" s="46">
        <v>55</v>
      </c>
      <c r="M722">
        <f t="shared" si="67"/>
        <v>5.8282190710984446E-4</v>
      </c>
      <c r="N722">
        <f t="shared" si="68"/>
        <v>3.4969314426590665E-3</v>
      </c>
      <c r="O722">
        <f t="shared" si="69"/>
        <v>6.4110409782082893E-3</v>
      </c>
      <c r="P722">
        <f t="shared" si="70"/>
        <v>2.3312876284393778E-3</v>
      </c>
      <c r="Q722">
        <f t="shared" si="71"/>
        <v>1.1656438142196889E-3</v>
      </c>
      <c r="R722">
        <f t="shared" si="72"/>
        <v>6.4110409782082893E-3</v>
      </c>
    </row>
    <row r="723" spans="1:18" hidden="1" x14ac:dyDescent="0.25">
      <c r="A723" s="46">
        <v>2020</v>
      </c>
      <c r="B723" s="56">
        <v>356</v>
      </c>
      <c r="C723" s="47" t="s">
        <v>80</v>
      </c>
      <c r="D723" s="47" t="s">
        <v>52</v>
      </c>
      <c r="E723" s="47" t="s">
        <v>46</v>
      </c>
      <c r="F723" s="46">
        <v>215</v>
      </c>
      <c r="G723" s="46">
        <v>15</v>
      </c>
      <c r="H723" s="46">
        <v>55</v>
      </c>
      <c r="I723" s="46">
        <v>55</v>
      </c>
      <c r="J723" s="46">
        <v>15</v>
      </c>
      <c r="K723" s="46">
        <v>5</v>
      </c>
      <c r="L723" s="46">
        <v>70</v>
      </c>
      <c r="M723">
        <f t="shared" si="67"/>
        <v>1.7484657213295333E-3</v>
      </c>
      <c r="N723">
        <f t="shared" si="68"/>
        <v>6.4110409782082893E-3</v>
      </c>
      <c r="O723">
        <f t="shared" si="69"/>
        <v>6.4110409782082893E-3</v>
      </c>
      <c r="P723">
        <f t="shared" si="70"/>
        <v>1.7484657213295333E-3</v>
      </c>
      <c r="Q723">
        <f t="shared" si="71"/>
        <v>5.8282190710984446E-4</v>
      </c>
      <c r="R723">
        <f t="shared" si="72"/>
        <v>8.1595066995378222E-3</v>
      </c>
    </row>
    <row r="724" spans="1:18" hidden="1" x14ac:dyDescent="0.25">
      <c r="A724" s="46">
        <v>2020</v>
      </c>
      <c r="B724" s="56">
        <v>356</v>
      </c>
      <c r="C724" s="47" t="s">
        <v>80</v>
      </c>
      <c r="D724" s="47" t="s">
        <v>52</v>
      </c>
      <c r="E724" s="47" t="s">
        <v>47</v>
      </c>
      <c r="F724" s="46">
        <v>255</v>
      </c>
      <c r="G724" s="46">
        <v>20</v>
      </c>
      <c r="H724" s="46">
        <v>45</v>
      </c>
      <c r="I724" s="46">
        <v>65</v>
      </c>
      <c r="J724" s="46">
        <v>30</v>
      </c>
      <c r="K724" s="46">
        <v>20</v>
      </c>
      <c r="L724" s="46">
        <v>75</v>
      </c>
      <c r="M724">
        <f t="shared" si="67"/>
        <v>2.3312876284393778E-3</v>
      </c>
      <c r="N724">
        <f t="shared" si="68"/>
        <v>5.2453971639886002E-3</v>
      </c>
      <c r="O724">
        <f t="shared" si="69"/>
        <v>7.5766847924279776E-3</v>
      </c>
      <c r="P724">
        <f t="shared" si="70"/>
        <v>3.4969314426590665E-3</v>
      </c>
      <c r="Q724">
        <f t="shared" si="71"/>
        <v>2.3312876284393778E-3</v>
      </c>
      <c r="R724">
        <f t="shared" si="72"/>
        <v>8.7423286066476667E-3</v>
      </c>
    </row>
    <row r="725" spans="1:18" hidden="1" x14ac:dyDescent="0.25">
      <c r="A725" s="46">
        <v>2020</v>
      </c>
      <c r="B725" s="56">
        <v>356</v>
      </c>
      <c r="C725" s="47" t="s">
        <v>80</v>
      </c>
      <c r="D725" s="47" t="s">
        <v>52</v>
      </c>
      <c r="E725" s="47" t="s">
        <v>48</v>
      </c>
      <c r="F725" s="46">
        <v>1320</v>
      </c>
      <c r="G725" s="46">
        <v>40</v>
      </c>
      <c r="H725" s="46">
        <v>165</v>
      </c>
      <c r="I725" s="46">
        <v>230</v>
      </c>
      <c r="J725" s="46">
        <v>145</v>
      </c>
      <c r="K725" s="46">
        <v>85</v>
      </c>
      <c r="L725" s="46">
        <v>655</v>
      </c>
      <c r="M725">
        <f t="shared" si="67"/>
        <v>4.6625752568787556E-3</v>
      </c>
      <c r="N725">
        <f t="shared" si="68"/>
        <v>1.9233122934624865E-2</v>
      </c>
      <c r="O725">
        <f t="shared" si="69"/>
        <v>2.6809807727052843E-2</v>
      </c>
      <c r="P725">
        <f t="shared" si="70"/>
        <v>1.6901835306185491E-2</v>
      </c>
      <c r="Q725">
        <f t="shared" si="71"/>
        <v>9.9079724208673559E-3</v>
      </c>
      <c r="R725">
        <f t="shared" si="72"/>
        <v>7.6349669831389619E-2</v>
      </c>
    </row>
    <row r="726" spans="1:18" hidden="1" x14ac:dyDescent="0.25">
      <c r="A726" s="46">
        <v>2020</v>
      </c>
      <c r="B726" s="56">
        <v>356</v>
      </c>
      <c r="C726" s="47" t="s">
        <v>80</v>
      </c>
      <c r="D726" s="47" t="s">
        <v>52</v>
      </c>
      <c r="E726" s="47" t="s">
        <v>49</v>
      </c>
      <c r="F726" s="46">
        <v>540</v>
      </c>
      <c r="G726" s="46">
        <v>10</v>
      </c>
      <c r="H726" s="46">
        <v>35</v>
      </c>
      <c r="I726" s="46">
        <v>30</v>
      </c>
      <c r="J726" s="46">
        <v>25</v>
      </c>
      <c r="K726" s="46">
        <v>25</v>
      </c>
      <c r="L726" s="46">
        <v>420</v>
      </c>
      <c r="M726">
        <f t="shared" si="67"/>
        <v>1.1656438142196889E-3</v>
      </c>
      <c r="N726">
        <f t="shared" si="68"/>
        <v>4.0797533497689111E-3</v>
      </c>
      <c r="O726">
        <f t="shared" si="69"/>
        <v>3.4969314426590665E-3</v>
      </c>
      <c r="P726">
        <f t="shared" si="70"/>
        <v>2.914109535549222E-3</v>
      </c>
      <c r="Q726">
        <f t="shared" si="71"/>
        <v>2.914109535549222E-3</v>
      </c>
      <c r="R726">
        <f t="shared" si="72"/>
        <v>4.895704019722693E-2</v>
      </c>
    </row>
    <row r="727" spans="1:18" hidden="1" x14ac:dyDescent="0.25">
      <c r="A727" s="46">
        <v>2020</v>
      </c>
      <c r="B727" s="56">
        <v>356</v>
      </c>
      <c r="C727" s="47" t="s">
        <v>80</v>
      </c>
      <c r="D727" s="47" t="s">
        <v>52</v>
      </c>
      <c r="E727" s="47" t="s">
        <v>50</v>
      </c>
      <c r="F727" s="46">
        <v>280</v>
      </c>
      <c r="G727" s="46">
        <v>0</v>
      </c>
      <c r="H727" s="46">
        <v>5</v>
      </c>
      <c r="I727" s="46">
        <v>5</v>
      </c>
      <c r="J727" s="46">
        <v>10</v>
      </c>
      <c r="K727" s="46">
        <v>0</v>
      </c>
      <c r="L727" s="46">
        <v>255</v>
      </c>
      <c r="M727">
        <f t="shared" si="67"/>
        <v>0</v>
      </c>
      <c r="N727">
        <f t="shared" si="68"/>
        <v>5.8282190710984446E-4</v>
      </c>
      <c r="O727">
        <f t="shared" si="69"/>
        <v>5.8282190710984446E-4</v>
      </c>
      <c r="P727">
        <f t="shared" si="70"/>
        <v>1.1656438142196889E-3</v>
      </c>
      <c r="Q727">
        <f t="shared" si="71"/>
        <v>0</v>
      </c>
      <c r="R727">
        <f t="shared" si="72"/>
        <v>2.9723917262602068E-2</v>
      </c>
    </row>
    <row r="728" spans="1:18" x14ac:dyDescent="0.25">
      <c r="A728" s="46">
        <v>2020</v>
      </c>
      <c r="B728" s="56">
        <v>357</v>
      </c>
      <c r="C728" s="47" t="s">
        <v>81</v>
      </c>
      <c r="D728" s="47" t="s">
        <v>42</v>
      </c>
      <c r="E728" s="47" t="s">
        <v>43</v>
      </c>
      <c r="F728" s="46">
        <v>12055</v>
      </c>
      <c r="G728" s="46">
        <v>795</v>
      </c>
      <c r="H728" s="46">
        <v>2550</v>
      </c>
      <c r="I728" s="46">
        <v>2585</v>
      </c>
      <c r="J728" s="46">
        <v>1080</v>
      </c>
      <c r="K728" s="46">
        <v>580</v>
      </c>
      <c r="L728" s="46">
        <v>4460</v>
      </c>
      <c r="M728">
        <f t="shared" si="67"/>
        <v>9.266868323046526E-2</v>
      </c>
      <c r="N728">
        <f t="shared" si="68"/>
        <v>0.29723917262602068</v>
      </c>
      <c r="O728">
        <f t="shared" si="69"/>
        <v>0.30131892597578958</v>
      </c>
      <c r="P728">
        <f t="shared" si="70"/>
        <v>0.12588953193572641</v>
      </c>
      <c r="Q728">
        <f t="shared" si="71"/>
        <v>6.7607341224741963E-2</v>
      </c>
      <c r="R728">
        <f t="shared" si="72"/>
        <v>0.51987714114198125</v>
      </c>
    </row>
    <row r="729" spans="1:18" hidden="1" x14ac:dyDescent="0.25">
      <c r="A729" s="46">
        <v>2020</v>
      </c>
      <c r="B729" s="56">
        <v>357</v>
      </c>
      <c r="C729" s="47" t="s">
        <v>81</v>
      </c>
      <c r="D729" s="47" t="s">
        <v>42</v>
      </c>
      <c r="E729" s="47" t="s">
        <v>44</v>
      </c>
      <c r="F729" s="46">
        <v>1940</v>
      </c>
      <c r="G729" s="46">
        <v>225</v>
      </c>
      <c r="H729" s="46">
        <v>730</v>
      </c>
      <c r="I729" s="46">
        <v>600</v>
      </c>
      <c r="J729" s="46">
        <v>205</v>
      </c>
      <c r="K729" s="46">
        <v>85</v>
      </c>
      <c r="L729" s="46">
        <v>95</v>
      </c>
      <c r="M729">
        <f t="shared" si="67"/>
        <v>2.6226985819943E-2</v>
      </c>
      <c r="N729">
        <f t="shared" si="68"/>
        <v>8.5091998438037289E-2</v>
      </c>
      <c r="O729">
        <f t="shared" si="69"/>
        <v>6.9938628853181334E-2</v>
      </c>
      <c r="P729">
        <f t="shared" si="70"/>
        <v>2.3895698191503622E-2</v>
      </c>
      <c r="Q729">
        <f t="shared" si="71"/>
        <v>9.9079724208673559E-3</v>
      </c>
      <c r="R729">
        <f t="shared" si="72"/>
        <v>1.1073616235087045E-2</v>
      </c>
    </row>
    <row r="730" spans="1:18" hidden="1" x14ac:dyDescent="0.25">
      <c r="A730" s="46">
        <v>2020</v>
      </c>
      <c r="B730" s="56">
        <v>357</v>
      </c>
      <c r="C730" s="47" t="s">
        <v>81</v>
      </c>
      <c r="D730" s="47" t="s">
        <v>42</v>
      </c>
      <c r="E730" s="47" t="s">
        <v>45</v>
      </c>
      <c r="F730" s="46">
        <v>630</v>
      </c>
      <c r="G730" s="46">
        <v>60</v>
      </c>
      <c r="H730" s="46">
        <v>140</v>
      </c>
      <c r="I730" s="46">
        <v>170</v>
      </c>
      <c r="J730" s="46">
        <v>60</v>
      </c>
      <c r="K730" s="46">
        <v>25</v>
      </c>
      <c r="L730" s="46">
        <v>170</v>
      </c>
      <c r="M730">
        <f t="shared" si="67"/>
        <v>6.993862885318133E-3</v>
      </c>
      <c r="N730">
        <f t="shared" si="68"/>
        <v>1.6319013399075644E-2</v>
      </c>
      <c r="O730">
        <f t="shared" si="69"/>
        <v>1.9815944841734712E-2</v>
      </c>
      <c r="P730">
        <f t="shared" si="70"/>
        <v>6.993862885318133E-3</v>
      </c>
      <c r="Q730">
        <f t="shared" si="71"/>
        <v>2.914109535549222E-3</v>
      </c>
      <c r="R730">
        <f t="shared" si="72"/>
        <v>1.9815944841734712E-2</v>
      </c>
    </row>
    <row r="731" spans="1:18" hidden="1" x14ac:dyDescent="0.25">
      <c r="A731" s="46">
        <v>2020</v>
      </c>
      <c r="B731" s="56">
        <v>357</v>
      </c>
      <c r="C731" s="47" t="s">
        <v>81</v>
      </c>
      <c r="D731" s="47" t="s">
        <v>42</v>
      </c>
      <c r="E731" s="47" t="s">
        <v>46</v>
      </c>
      <c r="F731" s="46">
        <v>950</v>
      </c>
      <c r="G731" s="46">
        <v>95</v>
      </c>
      <c r="H731" s="46">
        <v>305</v>
      </c>
      <c r="I731" s="46">
        <v>290</v>
      </c>
      <c r="J731" s="46">
        <v>60</v>
      </c>
      <c r="K731" s="46">
        <v>20</v>
      </c>
      <c r="L731" s="46">
        <v>190</v>
      </c>
      <c r="M731">
        <f t="shared" si="67"/>
        <v>1.1073616235087045E-2</v>
      </c>
      <c r="N731">
        <f t="shared" si="68"/>
        <v>3.555213633370051E-2</v>
      </c>
      <c r="O731">
        <f t="shared" si="69"/>
        <v>3.3803670612370981E-2</v>
      </c>
      <c r="P731">
        <f t="shared" si="70"/>
        <v>6.993862885318133E-3</v>
      </c>
      <c r="Q731">
        <f t="shared" si="71"/>
        <v>2.3312876284393778E-3</v>
      </c>
      <c r="R731">
        <f t="shared" si="72"/>
        <v>2.214723247017409E-2</v>
      </c>
    </row>
    <row r="732" spans="1:18" hidden="1" x14ac:dyDescent="0.25">
      <c r="A732" s="46">
        <v>2020</v>
      </c>
      <c r="B732" s="56">
        <v>357</v>
      </c>
      <c r="C732" s="47" t="s">
        <v>81</v>
      </c>
      <c r="D732" s="47" t="s">
        <v>42</v>
      </c>
      <c r="E732" s="47" t="s">
        <v>47</v>
      </c>
      <c r="F732" s="46">
        <v>1145</v>
      </c>
      <c r="G732" s="46">
        <v>80</v>
      </c>
      <c r="H732" s="46">
        <v>330</v>
      </c>
      <c r="I732" s="46">
        <v>375</v>
      </c>
      <c r="J732" s="46">
        <v>135</v>
      </c>
      <c r="K732" s="46">
        <v>40</v>
      </c>
      <c r="L732" s="46">
        <v>180</v>
      </c>
      <c r="M732">
        <f t="shared" si="67"/>
        <v>9.3251505137575113E-3</v>
      </c>
      <c r="N732">
        <f t="shared" si="68"/>
        <v>3.8466245869249731E-2</v>
      </c>
      <c r="O732">
        <f t="shared" si="69"/>
        <v>4.371164303323833E-2</v>
      </c>
      <c r="P732">
        <f t="shared" si="70"/>
        <v>1.5736191491965801E-2</v>
      </c>
      <c r="Q732">
        <f t="shared" si="71"/>
        <v>4.6625752568787556E-3</v>
      </c>
      <c r="R732">
        <f t="shared" si="72"/>
        <v>2.0981588655954401E-2</v>
      </c>
    </row>
    <row r="733" spans="1:18" hidden="1" x14ac:dyDescent="0.25">
      <c r="A733" s="46">
        <v>2020</v>
      </c>
      <c r="B733" s="56">
        <v>357</v>
      </c>
      <c r="C733" s="47" t="s">
        <v>81</v>
      </c>
      <c r="D733" s="47" t="s">
        <v>42</v>
      </c>
      <c r="E733" s="47" t="s">
        <v>48</v>
      </c>
      <c r="F733" s="46">
        <v>4530</v>
      </c>
      <c r="G733" s="46">
        <v>270</v>
      </c>
      <c r="H733" s="46">
        <v>810</v>
      </c>
      <c r="I733" s="46">
        <v>940</v>
      </c>
      <c r="J733" s="46">
        <v>505</v>
      </c>
      <c r="K733" s="46">
        <v>320</v>
      </c>
      <c r="L733" s="46">
        <v>1690</v>
      </c>
      <c r="M733">
        <f t="shared" si="67"/>
        <v>3.1472382983931603E-2</v>
      </c>
      <c r="N733">
        <f t="shared" si="68"/>
        <v>9.4417148951794802E-2</v>
      </c>
      <c r="O733">
        <f t="shared" si="69"/>
        <v>0.10957051853665076</v>
      </c>
      <c r="P733">
        <f t="shared" si="70"/>
        <v>5.8865012618094292E-2</v>
      </c>
      <c r="Q733">
        <f t="shared" si="71"/>
        <v>3.7300602055030045E-2</v>
      </c>
      <c r="R733">
        <f t="shared" si="72"/>
        <v>0.19699380460312743</v>
      </c>
    </row>
    <row r="734" spans="1:18" hidden="1" x14ac:dyDescent="0.25">
      <c r="A734" s="46">
        <v>2020</v>
      </c>
      <c r="B734" s="56">
        <v>357</v>
      </c>
      <c r="C734" s="47" t="s">
        <v>81</v>
      </c>
      <c r="D734" s="47" t="s">
        <v>42</v>
      </c>
      <c r="E734" s="47" t="s">
        <v>49</v>
      </c>
      <c r="F734" s="46">
        <v>2030</v>
      </c>
      <c r="G734" s="46">
        <v>60</v>
      </c>
      <c r="H734" s="46">
        <v>210</v>
      </c>
      <c r="I734" s="46">
        <v>190</v>
      </c>
      <c r="J734" s="46">
        <v>100</v>
      </c>
      <c r="K734" s="46">
        <v>75</v>
      </c>
      <c r="L734" s="46">
        <v>1395</v>
      </c>
      <c r="M734">
        <f t="shared" si="67"/>
        <v>6.993862885318133E-3</v>
      </c>
      <c r="N734">
        <f t="shared" si="68"/>
        <v>2.4478520098613465E-2</v>
      </c>
      <c r="O734">
        <f t="shared" si="69"/>
        <v>2.214723247017409E-2</v>
      </c>
      <c r="P734">
        <f t="shared" si="70"/>
        <v>1.1656438142196888E-2</v>
      </c>
      <c r="Q734">
        <f t="shared" si="71"/>
        <v>8.7423286066476667E-3</v>
      </c>
      <c r="R734">
        <f t="shared" si="72"/>
        <v>0.16260731208364659</v>
      </c>
    </row>
    <row r="735" spans="1:18" hidden="1" x14ac:dyDescent="0.25">
      <c r="A735" s="46">
        <v>2020</v>
      </c>
      <c r="B735" s="56">
        <v>357</v>
      </c>
      <c r="C735" s="47" t="s">
        <v>81</v>
      </c>
      <c r="D735" s="47" t="s">
        <v>42</v>
      </c>
      <c r="E735" s="47" t="s">
        <v>50</v>
      </c>
      <c r="F735" s="46">
        <v>835</v>
      </c>
      <c r="G735" s="46">
        <v>10</v>
      </c>
      <c r="H735" s="46">
        <v>25</v>
      </c>
      <c r="I735" s="46">
        <v>20</v>
      </c>
      <c r="J735" s="46">
        <v>15</v>
      </c>
      <c r="K735" s="46">
        <v>15</v>
      </c>
      <c r="L735" s="46">
        <v>750</v>
      </c>
      <c r="M735">
        <f t="shared" si="67"/>
        <v>1.1656438142196889E-3</v>
      </c>
      <c r="N735">
        <f t="shared" si="68"/>
        <v>2.914109535549222E-3</v>
      </c>
      <c r="O735">
        <f t="shared" si="69"/>
        <v>2.3312876284393778E-3</v>
      </c>
      <c r="P735">
        <f t="shared" si="70"/>
        <v>1.7484657213295333E-3</v>
      </c>
      <c r="Q735">
        <f t="shared" si="71"/>
        <v>1.7484657213295333E-3</v>
      </c>
      <c r="R735">
        <f t="shared" si="72"/>
        <v>8.742328606647666E-2</v>
      </c>
    </row>
    <row r="736" spans="1:18" hidden="1" x14ac:dyDescent="0.25">
      <c r="A736" s="46">
        <v>2020</v>
      </c>
      <c r="B736" s="56">
        <v>357</v>
      </c>
      <c r="C736" s="47" t="s">
        <v>81</v>
      </c>
      <c r="D736" s="47" t="s">
        <v>51</v>
      </c>
      <c r="E736" s="47" t="s">
        <v>43</v>
      </c>
      <c r="F736" s="46">
        <v>6630</v>
      </c>
      <c r="G736" s="46">
        <v>425</v>
      </c>
      <c r="H736" s="46">
        <v>1320</v>
      </c>
      <c r="I736" s="46">
        <v>1610</v>
      </c>
      <c r="J736" s="46">
        <v>620</v>
      </c>
      <c r="K736" s="46">
        <v>315</v>
      </c>
      <c r="L736" s="46">
        <v>2345</v>
      </c>
      <c r="M736">
        <f t="shared" si="67"/>
        <v>4.9539862104336772E-2</v>
      </c>
      <c r="N736">
        <f t="shared" si="68"/>
        <v>0.15386498347699892</v>
      </c>
      <c r="O736">
        <f t="shared" si="69"/>
        <v>0.18766865408936992</v>
      </c>
      <c r="P736">
        <f t="shared" si="70"/>
        <v>7.2269916481620719E-2</v>
      </c>
      <c r="Q736">
        <f t="shared" si="71"/>
        <v>3.6717780147920202E-2</v>
      </c>
      <c r="R736">
        <f t="shared" si="72"/>
        <v>0.27334347443451706</v>
      </c>
    </row>
    <row r="737" spans="1:18" hidden="1" x14ac:dyDescent="0.25">
      <c r="A737" s="46">
        <v>2020</v>
      </c>
      <c r="B737" s="56">
        <v>357</v>
      </c>
      <c r="C737" s="47" t="s">
        <v>81</v>
      </c>
      <c r="D737" s="47" t="s">
        <v>51</v>
      </c>
      <c r="E737" s="47" t="s">
        <v>44</v>
      </c>
      <c r="F737" s="46">
        <v>1000</v>
      </c>
      <c r="G737" s="46">
        <v>105</v>
      </c>
      <c r="H737" s="46">
        <v>365</v>
      </c>
      <c r="I737" s="46">
        <v>325</v>
      </c>
      <c r="J737" s="46">
        <v>110</v>
      </c>
      <c r="K737" s="46">
        <v>45</v>
      </c>
      <c r="L737" s="46">
        <v>55</v>
      </c>
      <c r="M737">
        <f t="shared" si="67"/>
        <v>1.2239260049306732E-2</v>
      </c>
      <c r="N737">
        <f t="shared" si="68"/>
        <v>4.2545999219018645E-2</v>
      </c>
      <c r="O737">
        <f t="shared" si="69"/>
        <v>3.7883423962139888E-2</v>
      </c>
      <c r="P737">
        <f t="shared" si="70"/>
        <v>1.2822081956416579E-2</v>
      </c>
      <c r="Q737">
        <f t="shared" si="71"/>
        <v>5.2453971639886002E-3</v>
      </c>
      <c r="R737">
        <f t="shared" si="72"/>
        <v>6.4110409782082893E-3</v>
      </c>
    </row>
    <row r="738" spans="1:18" hidden="1" x14ac:dyDescent="0.25">
      <c r="A738" s="46">
        <v>2020</v>
      </c>
      <c r="B738" s="56">
        <v>357</v>
      </c>
      <c r="C738" s="47" t="s">
        <v>81</v>
      </c>
      <c r="D738" s="47" t="s">
        <v>51</v>
      </c>
      <c r="E738" s="47" t="s">
        <v>45</v>
      </c>
      <c r="F738" s="46">
        <v>350</v>
      </c>
      <c r="G738" s="46">
        <v>30</v>
      </c>
      <c r="H738" s="46">
        <v>85</v>
      </c>
      <c r="I738" s="46">
        <v>95</v>
      </c>
      <c r="J738" s="46">
        <v>35</v>
      </c>
      <c r="K738" s="46">
        <v>10</v>
      </c>
      <c r="L738" s="46">
        <v>90</v>
      </c>
      <c r="M738">
        <f t="shared" si="67"/>
        <v>3.4969314426590665E-3</v>
      </c>
      <c r="N738">
        <f t="shared" si="68"/>
        <v>9.9079724208673559E-3</v>
      </c>
      <c r="O738">
        <f t="shared" si="69"/>
        <v>1.1073616235087045E-2</v>
      </c>
      <c r="P738">
        <f t="shared" si="70"/>
        <v>4.0797533497689111E-3</v>
      </c>
      <c r="Q738">
        <f t="shared" si="71"/>
        <v>1.1656438142196889E-3</v>
      </c>
      <c r="R738">
        <f t="shared" si="72"/>
        <v>1.04907943279772E-2</v>
      </c>
    </row>
    <row r="739" spans="1:18" hidden="1" x14ac:dyDescent="0.25">
      <c r="A739" s="46">
        <v>2020</v>
      </c>
      <c r="B739" s="56">
        <v>357</v>
      </c>
      <c r="C739" s="47" t="s">
        <v>81</v>
      </c>
      <c r="D739" s="47" t="s">
        <v>51</v>
      </c>
      <c r="E739" s="47" t="s">
        <v>46</v>
      </c>
      <c r="F739" s="46">
        <v>580</v>
      </c>
      <c r="G739" s="46">
        <v>55</v>
      </c>
      <c r="H739" s="46">
        <v>160</v>
      </c>
      <c r="I739" s="46">
        <v>225</v>
      </c>
      <c r="J739" s="46">
        <v>30</v>
      </c>
      <c r="K739" s="46">
        <v>10</v>
      </c>
      <c r="L739" s="46">
        <v>100</v>
      </c>
      <c r="M739">
        <f t="shared" si="67"/>
        <v>6.4110409782082893E-3</v>
      </c>
      <c r="N739">
        <f t="shared" si="68"/>
        <v>1.8650301027515023E-2</v>
      </c>
      <c r="O739">
        <f t="shared" si="69"/>
        <v>2.6226985819943E-2</v>
      </c>
      <c r="P739">
        <f t="shared" si="70"/>
        <v>3.4969314426590665E-3</v>
      </c>
      <c r="Q739">
        <f t="shared" si="71"/>
        <v>1.1656438142196889E-3</v>
      </c>
      <c r="R739">
        <f t="shared" si="72"/>
        <v>1.1656438142196888E-2</v>
      </c>
    </row>
    <row r="740" spans="1:18" hidden="1" x14ac:dyDescent="0.25">
      <c r="A740" s="46">
        <v>2020</v>
      </c>
      <c r="B740" s="56">
        <v>357</v>
      </c>
      <c r="C740" s="47" t="s">
        <v>81</v>
      </c>
      <c r="D740" s="47" t="s">
        <v>51</v>
      </c>
      <c r="E740" s="47" t="s">
        <v>47</v>
      </c>
      <c r="F740" s="46">
        <v>675</v>
      </c>
      <c r="G740" s="46">
        <v>45</v>
      </c>
      <c r="H740" s="46">
        <v>165</v>
      </c>
      <c r="I740" s="46">
        <v>255</v>
      </c>
      <c r="J740" s="46">
        <v>75</v>
      </c>
      <c r="K740" s="46">
        <v>25</v>
      </c>
      <c r="L740" s="46">
        <v>110</v>
      </c>
      <c r="M740">
        <f t="shared" si="67"/>
        <v>5.2453971639886002E-3</v>
      </c>
      <c r="N740">
        <f t="shared" si="68"/>
        <v>1.9233122934624865E-2</v>
      </c>
      <c r="O740">
        <f t="shared" si="69"/>
        <v>2.9723917262602068E-2</v>
      </c>
      <c r="P740">
        <f t="shared" si="70"/>
        <v>8.7423286066476667E-3</v>
      </c>
      <c r="Q740">
        <f t="shared" si="71"/>
        <v>2.914109535549222E-3</v>
      </c>
      <c r="R740">
        <f t="shared" si="72"/>
        <v>1.2822081956416579E-2</v>
      </c>
    </row>
    <row r="741" spans="1:18" hidden="1" x14ac:dyDescent="0.25">
      <c r="A741" s="46">
        <v>2020</v>
      </c>
      <c r="B741" s="56">
        <v>357</v>
      </c>
      <c r="C741" s="47" t="s">
        <v>81</v>
      </c>
      <c r="D741" s="47" t="s">
        <v>51</v>
      </c>
      <c r="E741" s="47" t="s">
        <v>48</v>
      </c>
      <c r="F741" s="46">
        <v>2460</v>
      </c>
      <c r="G741" s="46">
        <v>160</v>
      </c>
      <c r="H741" s="46">
        <v>410</v>
      </c>
      <c r="I741" s="46">
        <v>595</v>
      </c>
      <c r="J741" s="46">
        <v>310</v>
      </c>
      <c r="K741" s="46">
        <v>170</v>
      </c>
      <c r="L741" s="46">
        <v>820</v>
      </c>
      <c r="M741">
        <f t="shared" si="67"/>
        <v>1.8650301027515023E-2</v>
      </c>
      <c r="N741">
        <f t="shared" si="68"/>
        <v>4.7791396383007244E-2</v>
      </c>
      <c r="O741">
        <f t="shared" si="69"/>
        <v>6.9355806946071491E-2</v>
      </c>
      <c r="P741">
        <f t="shared" si="70"/>
        <v>3.613495824081036E-2</v>
      </c>
      <c r="Q741">
        <f t="shared" si="71"/>
        <v>1.9815944841734712E-2</v>
      </c>
      <c r="R741">
        <f t="shared" si="72"/>
        <v>9.5582792766014488E-2</v>
      </c>
    </row>
    <row r="742" spans="1:18" hidden="1" x14ac:dyDescent="0.25">
      <c r="A742" s="46">
        <v>2020</v>
      </c>
      <c r="B742" s="56">
        <v>357</v>
      </c>
      <c r="C742" s="47" t="s">
        <v>81</v>
      </c>
      <c r="D742" s="47" t="s">
        <v>51</v>
      </c>
      <c r="E742" s="47" t="s">
        <v>49</v>
      </c>
      <c r="F742" s="46">
        <v>1110</v>
      </c>
      <c r="G742" s="46">
        <v>30</v>
      </c>
      <c r="H742" s="46">
        <v>115</v>
      </c>
      <c r="I742" s="46">
        <v>115</v>
      </c>
      <c r="J742" s="46">
        <v>55</v>
      </c>
      <c r="K742" s="46">
        <v>35</v>
      </c>
      <c r="L742" s="46">
        <v>755</v>
      </c>
      <c r="M742">
        <f t="shared" si="67"/>
        <v>3.4969314426590665E-3</v>
      </c>
      <c r="N742">
        <f t="shared" si="68"/>
        <v>1.3404903863526422E-2</v>
      </c>
      <c r="O742">
        <f t="shared" si="69"/>
        <v>1.3404903863526422E-2</v>
      </c>
      <c r="P742">
        <f t="shared" si="70"/>
        <v>6.4110409782082893E-3</v>
      </c>
      <c r="Q742">
        <f t="shared" si="71"/>
        <v>4.0797533497689111E-3</v>
      </c>
      <c r="R742">
        <f t="shared" si="72"/>
        <v>8.8006107973586503E-2</v>
      </c>
    </row>
    <row r="743" spans="1:18" hidden="1" x14ac:dyDescent="0.25">
      <c r="A743" s="46">
        <v>2020</v>
      </c>
      <c r="B743" s="56">
        <v>357</v>
      </c>
      <c r="C743" s="47" t="s">
        <v>81</v>
      </c>
      <c r="D743" s="47" t="s">
        <v>51</v>
      </c>
      <c r="E743" s="47" t="s">
        <v>50</v>
      </c>
      <c r="F743" s="46">
        <v>455</v>
      </c>
      <c r="G743" s="46">
        <v>5</v>
      </c>
      <c r="H743" s="46">
        <v>15</v>
      </c>
      <c r="I743" s="46">
        <v>10</v>
      </c>
      <c r="J743" s="46">
        <v>5</v>
      </c>
      <c r="K743" s="46">
        <v>10</v>
      </c>
      <c r="L743" s="46">
        <v>410</v>
      </c>
      <c r="M743">
        <f t="shared" si="67"/>
        <v>5.8282190710984446E-4</v>
      </c>
      <c r="N743">
        <f t="shared" si="68"/>
        <v>1.7484657213295333E-3</v>
      </c>
      <c r="O743">
        <f t="shared" si="69"/>
        <v>1.1656438142196889E-3</v>
      </c>
      <c r="P743">
        <f t="shared" si="70"/>
        <v>5.8282190710984446E-4</v>
      </c>
      <c r="Q743">
        <f t="shared" si="71"/>
        <v>1.1656438142196889E-3</v>
      </c>
      <c r="R743">
        <f t="shared" si="72"/>
        <v>4.7791396383007244E-2</v>
      </c>
    </row>
    <row r="744" spans="1:18" hidden="1" x14ac:dyDescent="0.25">
      <c r="A744" s="46">
        <v>2020</v>
      </c>
      <c r="B744" s="56">
        <v>357</v>
      </c>
      <c r="C744" s="47" t="s">
        <v>81</v>
      </c>
      <c r="D744" s="47" t="s">
        <v>52</v>
      </c>
      <c r="E744" s="47" t="s">
        <v>43</v>
      </c>
      <c r="F744" s="46">
        <v>5425</v>
      </c>
      <c r="G744" s="46">
        <v>370</v>
      </c>
      <c r="H744" s="46">
        <v>1235</v>
      </c>
      <c r="I744" s="46">
        <v>975</v>
      </c>
      <c r="J744" s="46">
        <v>465</v>
      </c>
      <c r="K744" s="46">
        <v>265</v>
      </c>
      <c r="L744" s="46">
        <v>2120</v>
      </c>
      <c r="M744">
        <f t="shared" si="67"/>
        <v>4.3128821126128487E-2</v>
      </c>
      <c r="N744">
        <f t="shared" si="68"/>
        <v>0.14395701105613157</v>
      </c>
      <c r="O744">
        <f t="shared" si="69"/>
        <v>0.11365027188641966</v>
      </c>
      <c r="P744">
        <f t="shared" si="70"/>
        <v>5.4202437361215529E-2</v>
      </c>
      <c r="Q744">
        <f t="shared" si="71"/>
        <v>3.0889561076821757E-2</v>
      </c>
      <c r="R744">
        <f t="shared" si="72"/>
        <v>0.24711648861457405</v>
      </c>
    </row>
    <row r="745" spans="1:18" hidden="1" x14ac:dyDescent="0.25">
      <c r="A745" s="46">
        <v>2020</v>
      </c>
      <c r="B745" s="56">
        <v>357</v>
      </c>
      <c r="C745" s="47" t="s">
        <v>81</v>
      </c>
      <c r="D745" s="47" t="s">
        <v>52</v>
      </c>
      <c r="E745" s="47" t="s">
        <v>44</v>
      </c>
      <c r="F745" s="46">
        <v>940</v>
      </c>
      <c r="G745" s="46">
        <v>120</v>
      </c>
      <c r="H745" s="46">
        <v>370</v>
      </c>
      <c r="I745" s="46">
        <v>275</v>
      </c>
      <c r="J745" s="46">
        <v>100</v>
      </c>
      <c r="K745" s="46">
        <v>35</v>
      </c>
      <c r="L745" s="46">
        <v>40</v>
      </c>
      <c r="M745">
        <f t="shared" si="67"/>
        <v>1.3987725770636266E-2</v>
      </c>
      <c r="N745">
        <f t="shared" si="68"/>
        <v>4.3128821126128487E-2</v>
      </c>
      <c r="O745">
        <f t="shared" si="69"/>
        <v>3.2055204891041446E-2</v>
      </c>
      <c r="P745">
        <f t="shared" si="70"/>
        <v>1.1656438142196888E-2</v>
      </c>
      <c r="Q745">
        <f t="shared" si="71"/>
        <v>4.0797533497689111E-3</v>
      </c>
      <c r="R745">
        <f t="shared" si="72"/>
        <v>4.6625752568787556E-3</v>
      </c>
    </row>
    <row r="746" spans="1:18" hidden="1" x14ac:dyDescent="0.25">
      <c r="A746" s="46">
        <v>2020</v>
      </c>
      <c r="B746" s="56">
        <v>357</v>
      </c>
      <c r="C746" s="47" t="s">
        <v>81</v>
      </c>
      <c r="D746" s="47" t="s">
        <v>52</v>
      </c>
      <c r="E746" s="47" t="s">
        <v>45</v>
      </c>
      <c r="F746" s="46">
        <v>280</v>
      </c>
      <c r="G746" s="46">
        <v>30</v>
      </c>
      <c r="H746" s="46">
        <v>55</v>
      </c>
      <c r="I746" s="46">
        <v>80</v>
      </c>
      <c r="J746" s="46">
        <v>25</v>
      </c>
      <c r="K746" s="46">
        <v>10</v>
      </c>
      <c r="L746" s="46">
        <v>75</v>
      </c>
      <c r="M746">
        <f t="shared" si="67"/>
        <v>3.4969314426590665E-3</v>
      </c>
      <c r="N746">
        <f t="shared" si="68"/>
        <v>6.4110409782082893E-3</v>
      </c>
      <c r="O746">
        <f t="shared" si="69"/>
        <v>9.3251505137575113E-3</v>
      </c>
      <c r="P746">
        <f t="shared" si="70"/>
        <v>2.914109535549222E-3</v>
      </c>
      <c r="Q746">
        <f t="shared" si="71"/>
        <v>1.1656438142196889E-3</v>
      </c>
      <c r="R746">
        <f t="shared" si="72"/>
        <v>8.7423286066476667E-3</v>
      </c>
    </row>
    <row r="747" spans="1:18" hidden="1" x14ac:dyDescent="0.25">
      <c r="A747" s="46">
        <v>2020</v>
      </c>
      <c r="B747" s="56">
        <v>357</v>
      </c>
      <c r="C747" s="47" t="s">
        <v>81</v>
      </c>
      <c r="D747" s="47" t="s">
        <v>52</v>
      </c>
      <c r="E747" s="47" t="s">
        <v>46</v>
      </c>
      <c r="F747" s="46">
        <v>370</v>
      </c>
      <c r="G747" s="46">
        <v>40</v>
      </c>
      <c r="H747" s="46">
        <v>140</v>
      </c>
      <c r="I747" s="46">
        <v>65</v>
      </c>
      <c r="J747" s="46">
        <v>30</v>
      </c>
      <c r="K747" s="46">
        <v>10</v>
      </c>
      <c r="L747" s="46">
        <v>85</v>
      </c>
      <c r="M747">
        <f t="shared" si="67"/>
        <v>4.6625752568787556E-3</v>
      </c>
      <c r="N747">
        <f t="shared" si="68"/>
        <v>1.6319013399075644E-2</v>
      </c>
      <c r="O747">
        <f t="shared" si="69"/>
        <v>7.5766847924279776E-3</v>
      </c>
      <c r="P747">
        <f t="shared" si="70"/>
        <v>3.4969314426590665E-3</v>
      </c>
      <c r="Q747">
        <f t="shared" si="71"/>
        <v>1.1656438142196889E-3</v>
      </c>
      <c r="R747">
        <f t="shared" si="72"/>
        <v>9.9079724208673559E-3</v>
      </c>
    </row>
    <row r="748" spans="1:18" hidden="1" x14ac:dyDescent="0.25">
      <c r="A748" s="46">
        <v>2020</v>
      </c>
      <c r="B748" s="56">
        <v>357</v>
      </c>
      <c r="C748" s="47" t="s">
        <v>81</v>
      </c>
      <c r="D748" s="47" t="s">
        <v>52</v>
      </c>
      <c r="E748" s="47" t="s">
        <v>47</v>
      </c>
      <c r="F748" s="46">
        <v>470</v>
      </c>
      <c r="G748" s="46">
        <v>35</v>
      </c>
      <c r="H748" s="46">
        <v>165</v>
      </c>
      <c r="I748" s="46">
        <v>120</v>
      </c>
      <c r="J748" s="46">
        <v>60</v>
      </c>
      <c r="K748" s="46">
        <v>15</v>
      </c>
      <c r="L748" s="46">
        <v>70</v>
      </c>
      <c r="M748">
        <f t="shared" si="67"/>
        <v>4.0797533497689111E-3</v>
      </c>
      <c r="N748">
        <f t="shared" si="68"/>
        <v>1.9233122934624865E-2</v>
      </c>
      <c r="O748">
        <f t="shared" si="69"/>
        <v>1.3987725770636266E-2</v>
      </c>
      <c r="P748">
        <f t="shared" si="70"/>
        <v>6.993862885318133E-3</v>
      </c>
      <c r="Q748">
        <f t="shared" si="71"/>
        <v>1.7484657213295333E-3</v>
      </c>
      <c r="R748">
        <f t="shared" si="72"/>
        <v>8.1595066995378222E-3</v>
      </c>
    </row>
    <row r="749" spans="1:18" hidden="1" x14ac:dyDescent="0.25">
      <c r="A749" s="46">
        <v>2020</v>
      </c>
      <c r="B749" s="56">
        <v>357</v>
      </c>
      <c r="C749" s="47" t="s">
        <v>81</v>
      </c>
      <c r="D749" s="47" t="s">
        <v>52</v>
      </c>
      <c r="E749" s="47" t="s">
        <v>48</v>
      </c>
      <c r="F749" s="46">
        <v>2065</v>
      </c>
      <c r="G749" s="46">
        <v>110</v>
      </c>
      <c r="H749" s="46">
        <v>400</v>
      </c>
      <c r="I749" s="46">
        <v>345</v>
      </c>
      <c r="J749" s="46">
        <v>195</v>
      </c>
      <c r="K749" s="46">
        <v>150</v>
      </c>
      <c r="L749" s="46">
        <v>865</v>
      </c>
      <c r="M749">
        <f t="shared" si="67"/>
        <v>1.2822081956416579E-2</v>
      </c>
      <c r="N749">
        <f t="shared" si="68"/>
        <v>4.6625752568787551E-2</v>
      </c>
      <c r="O749">
        <f t="shared" si="69"/>
        <v>4.0214711590579266E-2</v>
      </c>
      <c r="P749">
        <f t="shared" si="70"/>
        <v>2.2730054377283933E-2</v>
      </c>
      <c r="Q749">
        <f t="shared" si="71"/>
        <v>1.7484657213295333E-2</v>
      </c>
      <c r="R749">
        <f t="shared" si="72"/>
        <v>0.10082818993000309</v>
      </c>
    </row>
    <row r="750" spans="1:18" hidden="1" x14ac:dyDescent="0.25">
      <c r="A750" s="46">
        <v>2020</v>
      </c>
      <c r="B750" s="56">
        <v>357</v>
      </c>
      <c r="C750" s="47" t="s">
        <v>81</v>
      </c>
      <c r="D750" s="47" t="s">
        <v>52</v>
      </c>
      <c r="E750" s="47" t="s">
        <v>49</v>
      </c>
      <c r="F750" s="46">
        <v>920</v>
      </c>
      <c r="G750" s="46">
        <v>30</v>
      </c>
      <c r="H750" s="46">
        <v>95</v>
      </c>
      <c r="I750" s="46">
        <v>75</v>
      </c>
      <c r="J750" s="46">
        <v>45</v>
      </c>
      <c r="K750" s="46">
        <v>40</v>
      </c>
      <c r="L750" s="46">
        <v>640</v>
      </c>
      <c r="M750">
        <f t="shared" si="67"/>
        <v>3.4969314426590665E-3</v>
      </c>
      <c r="N750">
        <f t="shared" si="68"/>
        <v>1.1073616235087045E-2</v>
      </c>
      <c r="O750">
        <f t="shared" si="69"/>
        <v>8.7423286066476667E-3</v>
      </c>
      <c r="P750">
        <f t="shared" si="70"/>
        <v>5.2453971639886002E-3</v>
      </c>
      <c r="Q750">
        <f t="shared" si="71"/>
        <v>4.6625752568787556E-3</v>
      </c>
      <c r="R750">
        <f t="shared" si="72"/>
        <v>7.460120411006009E-2</v>
      </c>
    </row>
    <row r="751" spans="1:18" hidden="1" x14ac:dyDescent="0.25">
      <c r="A751" s="46">
        <v>2020</v>
      </c>
      <c r="B751" s="56">
        <v>357</v>
      </c>
      <c r="C751" s="47" t="s">
        <v>81</v>
      </c>
      <c r="D751" s="47" t="s">
        <v>52</v>
      </c>
      <c r="E751" s="47" t="s">
        <v>50</v>
      </c>
      <c r="F751" s="46">
        <v>380</v>
      </c>
      <c r="G751" s="46">
        <v>5</v>
      </c>
      <c r="H751" s="46">
        <v>10</v>
      </c>
      <c r="I751" s="46">
        <v>15</v>
      </c>
      <c r="J751" s="46">
        <v>10</v>
      </c>
      <c r="K751" s="46">
        <v>5</v>
      </c>
      <c r="L751" s="46">
        <v>335</v>
      </c>
      <c r="M751">
        <f t="shared" si="67"/>
        <v>5.8282190710984446E-4</v>
      </c>
      <c r="N751">
        <f t="shared" si="68"/>
        <v>1.1656438142196889E-3</v>
      </c>
      <c r="O751">
        <f t="shared" si="69"/>
        <v>1.7484657213295333E-3</v>
      </c>
      <c r="P751">
        <f t="shared" si="70"/>
        <v>1.1656438142196889E-3</v>
      </c>
      <c r="Q751">
        <f t="shared" si="71"/>
        <v>5.8282190710984446E-4</v>
      </c>
      <c r="R751">
        <f t="shared" si="72"/>
        <v>3.9049067776359581E-2</v>
      </c>
    </row>
    <row r="752" spans="1:18" x14ac:dyDescent="0.25">
      <c r="A752" s="46">
        <v>2020</v>
      </c>
      <c r="B752" s="56">
        <v>358</v>
      </c>
      <c r="C752" s="47" t="s">
        <v>82</v>
      </c>
      <c r="D752" s="47" t="s">
        <v>42</v>
      </c>
      <c r="E752" s="47" t="s">
        <v>43</v>
      </c>
      <c r="F752" s="46">
        <v>12750</v>
      </c>
      <c r="G752" s="46">
        <v>1245</v>
      </c>
      <c r="H752" s="46">
        <v>2625</v>
      </c>
      <c r="I752" s="46">
        <v>2495</v>
      </c>
      <c r="J752" s="46">
        <v>1305</v>
      </c>
      <c r="K752" s="46">
        <v>750</v>
      </c>
      <c r="L752" s="46">
        <v>4330</v>
      </c>
      <c r="M752">
        <f t="shared" si="67"/>
        <v>0.14512265487035125</v>
      </c>
      <c r="N752">
        <f t="shared" si="68"/>
        <v>0.30598150123266837</v>
      </c>
      <c r="O752">
        <f t="shared" si="69"/>
        <v>0.29082813164781235</v>
      </c>
      <c r="P752">
        <f t="shared" si="70"/>
        <v>0.15211651775566939</v>
      </c>
      <c r="Q752">
        <f t="shared" si="71"/>
        <v>8.742328606647666E-2</v>
      </c>
      <c r="R752">
        <f t="shared" si="72"/>
        <v>0.50472377155712533</v>
      </c>
    </row>
    <row r="753" spans="1:18" hidden="1" x14ac:dyDescent="0.25">
      <c r="A753" s="46">
        <v>2020</v>
      </c>
      <c r="B753" s="56">
        <v>358</v>
      </c>
      <c r="C753" s="47" t="s">
        <v>82</v>
      </c>
      <c r="D753" s="47" t="s">
        <v>42</v>
      </c>
      <c r="E753" s="47" t="s">
        <v>44</v>
      </c>
      <c r="F753" s="46">
        <v>2035</v>
      </c>
      <c r="G753" s="46">
        <v>285</v>
      </c>
      <c r="H753" s="46">
        <v>700</v>
      </c>
      <c r="I753" s="46">
        <v>600</v>
      </c>
      <c r="J753" s="46">
        <v>225</v>
      </c>
      <c r="K753" s="46">
        <v>115</v>
      </c>
      <c r="L753" s="46">
        <v>110</v>
      </c>
      <c r="M753">
        <f t="shared" si="67"/>
        <v>3.3220848705261131E-2</v>
      </c>
      <c r="N753">
        <f t="shared" si="68"/>
        <v>8.1595066995378218E-2</v>
      </c>
      <c r="O753">
        <f t="shared" si="69"/>
        <v>6.9938628853181334E-2</v>
      </c>
      <c r="P753">
        <f t="shared" si="70"/>
        <v>2.6226985819943E-2</v>
      </c>
      <c r="Q753">
        <f t="shared" si="71"/>
        <v>1.3404903863526422E-2</v>
      </c>
      <c r="R753">
        <f t="shared" si="72"/>
        <v>1.2822081956416579E-2</v>
      </c>
    </row>
    <row r="754" spans="1:18" hidden="1" x14ac:dyDescent="0.25">
      <c r="A754" s="46">
        <v>2020</v>
      </c>
      <c r="B754" s="56">
        <v>358</v>
      </c>
      <c r="C754" s="47" t="s">
        <v>82</v>
      </c>
      <c r="D754" s="47" t="s">
        <v>42</v>
      </c>
      <c r="E754" s="47" t="s">
        <v>45</v>
      </c>
      <c r="F754" s="46">
        <v>625</v>
      </c>
      <c r="G754" s="46">
        <v>85</v>
      </c>
      <c r="H754" s="46">
        <v>130</v>
      </c>
      <c r="I754" s="46">
        <v>175</v>
      </c>
      <c r="J754" s="46">
        <v>70</v>
      </c>
      <c r="K754" s="46">
        <v>45</v>
      </c>
      <c r="L754" s="46">
        <v>125</v>
      </c>
      <c r="M754">
        <f t="shared" si="67"/>
        <v>9.9079724208673559E-3</v>
      </c>
      <c r="N754">
        <f t="shared" si="68"/>
        <v>1.5153369584855955E-2</v>
      </c>
      <c r="O754">
        <f t="shared" si="69"/>
        <v>2.0398766748844555E-2</v>
      </c>
      <c r="P754">
        <f t="shared" si="70"/>
        <v>8.1595066995378222E-3</v>
      </c>
      <c r="Q754">
        <f t="shared" si="71"/>
        <v>5.2453971639886002E-3</v>
      </c>
      <c r="R754">
        <f t="shared" si="72"/>
        <v>1.4570547677746111E-2</v>
      </c>
    </row>
    <row r="755" spans="1:18" hidden="1" x14ac:dyDescent="0.25">
      <c r="A755" s="46">
        <v>2020</v>
      </c>
      <c r="B755" s="56">
        <v>358</v>
      </c>
      <c r="C755" s="47" t="s">
        <v>82</v>
      </c>
      <c r="D755" s="47" t="s">
        <v>42</v>
      </c>
      <c r="E755" s="47" t="s">
        <v>46</v>
      </c>
      <c r="F755" s="46">
        <v>1140</v>
      </c>
      <c r="G755" s="46">
        <v>245</v>
      </c>
      <c r="H755" s="46">
        <v>340</v>
      </c>
      <c r="I755" s="46">
        <v>280</v>
      </c>
      <c r="J755" s="46">
        <v>75</v>
      </c>
      <c r="K755" s="46">
        <v>25</v>
      </c>
      <c r="L755" s="46">
        <v>175</v>
      </c>
      <c r="M755">
        <f t="shared" si="67"/>
        <v>2.8558273448382378E-2</v>
      </c>
      <c r="N755">
        <f t="shared" si="68"/>
        <v>3.9631889683469423E-2</v>
      </c>
      <c r="O755">
        <f t="shared" si="69"/>
        <v>3.2638026798151289E-2</v>
      </c>
      <c r="P755">
        <f t="shared" si="70"/>
        <v>8.7423286066476667E-3</v>
      </c>
      <c r="Q755">
        <f t="shared" si="71"/>
        <v>2.914109535549222E-3</v>
      </c>
      <c r="R755">
        <f t="shared" si="72"/>
        <v>2.0398766748844555E-2</v>
      </c>
    </row>
    <row r="756" spans="1:18" hidden="1" x14ac:dyDescent="0.25">
      <c r="A756" s="46">
        <v>2020</v>
      </c>
      <c r="B756" s="56">
        <v>358</v>
      </c>
      <c r="C756" s="47" t="s">
        <v>82</v>
      </c>
      <c r="D756" s="47" t="s">
        <v>42</v>
      </c>
      <c r="E756" s="47" t="s">
        <v>47</v>
      </c>
      <c r="F756" s="46">
        <v>1350</v>
      </c>
      <c r="G756" s="46">
        <v>180</v>
      </c>
      <c r="H756" s="46">
        <v>380</v>
      </c>
      <c r="I756" s="46">
        <v>355</v>
      </c>
      <c r="J756" s="46">
        <v>180</v>
      </c>
      <c r="K756" s="46">
        <v>55</v>
      </c>
      <c r="L756" s="46">
        <v>205</v>
      </c>
      <c r="M756">
        <f t="shared" si="67"/>
        <v>2.0981588655954401E-2</v>
      </c>
      <c r="N756">
        <f t="shared" si="68"/>
        <v>4.429446494034818E-2</v>
      </c>
      <c r="O756">
        <f t="shared" si="69"/>
        <v>4.1380355404798952E-2</v>
      </c>
      <c r="P756">
        <f t="shared" si="70"/>
        <v>2.0981588655954401E-2</v>
      </c>
      <c r="Q756">
        <f t="shared" si="71"/>
        <v>6.4110409782082893E-3</v>
      </c>
      <c r="R756">
        <f t="shared" si="72"/>
        <v>2.3895698191503622E-2</v>
      </c>
    </row>
    <row r="757" spans="1:18" hidden="1" x14ac:dyDescent="0.25">
      <c r="A757" s="46">
        <v>2020</v>
      </c>
      <c r="B757" s="56">
        <v>358</v>
      </c>
      <c r="C757" s="47" t="s">
        <v>82</v>
      </c>
      <c r="D757" s="47" t="s">
        <v>42</v>
      </c>
      <c r="E757" s="47" t="s">
        <v>48</v>
      </c>
      <c r="F757" s="46">
        <v>4795</v>
      </c>
      <c r="G757" s="46">
        <v>370</v>
      </c>
      <c r="H757" s="46">
        <v>840</v>
      </c>
      <c r="I757" s="46">
        <v>865</v>
      </c>
      <c r="J757" s="46">
        <v>595</v>
      </c>
      <c r="K757" s="46">
        <v>400</v>
      </c>
      <c r="L757" s="46">
        <v>1730</v>
      </c>
      <c r="M757">
        <f t="shared" si="67"/>
        <v>4.3128821126128487E-2</v>
      </c>
      <c r="N757">
        <f t="shared" si="68"/>
        <v>9.7914080394453859E-2</v>
      </c>
      <c r="O757">
        <f t="shared" si="69"/>
        <v>0.10082818993000309</v>
      </c>
      <c r="P757">
        <f t="shared" si="70"/>
        <v>6.9355806946071491E-2</v>
      </c>
      <c r="Q757">
        <f t="shared" si="71"/>
        <v>4.6625752568787551E-2</v>
      </c>
      <c r="R757">
        <f t="shared" si="72"/>
        <v>0.20165637986000617</v>
      </c>
    </row>
    <row r="758" spans="1:18" hidden="1" x14ac:dyDescent="0.25">
      <c r="A758" s="46">
        <v>2020</v>
      </c>
      <c r="B758" s="56">
        <v>358</v>
      </c>
      <c r="C758" s="47" t="s">
        <v>82</v>
      </c>
      <c r="D758" s="47" t="s">
        <v>42</v>
      </c>
      <c r="E758" s="47" t="s">
        <v>49</v>
      </c>
      <c r="F758" s="46">
        <v>1955</v>
      </c>
      <c r="G758" s="46">
        <v>70</v>
      </c>
      <c r="H758" s="46">
        <v>205</v>
      </c>
      <c r="I758" s="46">
        <v>180</v>
      </c>
      <c r="J758" s="46">
        <v>135</v>
      </c>
      <c r="K758" s="46">
        <v>90</v>
      </c>
      <c r="L758" s="46">
        <v>1265</v>
      </c>
      <c r="M758">
        <f t="shared" si="67"/>
        <v>8.1595066995378222E-3</v>
      </c>
      <c r="N758">
        <f t="shared" si="68"/>
        <v>2.3895698191503622E-2</v>
      </c>
      <c r="O758">
        <f t="shared" si="69"/>
        <v>2.0981588655954401E-2</v>
      </c>
      <c r="P758">
        <f t="shared" si="70"/>
        <v>1.5736191491965801E-2</v>
      </c>
      <c r="Q758">
        <f t="shared" si="71"/>
        <v>1.04907943279772E-2</v>
      </c>
      <c r="R758">
        <f t="shared" si="72"/>
        <v>0.14745394249879062</v>
      </c>
    </row>
    <row r="759" spans="1:18" hidden="1" x14ac:dyDescent="0.25">
      <c r="A759" s="46">
        <v>2020</v>
      </c>
      <c r="B759" s="56">
        <v>358</v>
      </c>
      <c r="C759" s="47" t="s">
        <v>82</v>
      </c>
      <c r="D759" s="47" t="s">
        <v>42</v>
      </c>
      <c r="E759" s="47" t="s">
        <v>50</v>
      </c>
      <c r="F759" s="46">
        <v>855</v>
      </c>
      <c r="G759" s="46">
        <v>10</v>
      </c>
      <c r="H759" s="46">
        <v>30</v>
      </c>
      <c r="I759" s="46">
        <v>45</v>
      </c>
      <c r="J759" s="46">
        <v>30</v>
      </c>
      <c r="K759" s="46">
        <v>20</v>
      </c>
      <c r="L759" s="46">
        <v>720</v>
      </c>
      <c r="M759">
        <f t="shared" si="67"/>
        <v>1.1656438142196889E-3</v>
      </c>
      <c r="N759">
        <f t="shared" si="68"/>
        <v>3.4969314426590665E-3</v>
      </c>
      <c r="O759">
        <f t="shared" si="69"/>
        <v>5.2453971639886002E-3</v>
      </c>
      <c r="P759">
        <f t="shared" si="70"/>
        <v>3.4969314426590665E-3</v>
      </c>
      <c r="Q759">
        <f t="shared" si="71"/>
        <v>2.3312876284393778E-3</v>
      </c>
      <c r="R759">
        <f t="shared" si="72"/>
        <v>8.3926354623817603E-2</v>
      </c>
    </row>
    <row r="760" spans="1:18" hidden="1" x14ac:dyDescent="0.25">
      <c r="A760" s="46">
        <v>2020</v>
      </c>
      <c r="B760" s="56">
        <v>358</v>
      </c>
      <c r="C760" s="47" t="s">
        <v>82</v>
      </c>
      <c r="D760" s="47" t="s">
        <v>51</v>
      </c>
      <c r="E760" s="47" t="s">
        <v>43</v>
      </c>
      <c r="F760" s="46">
        <v>7020</v>
      </c>
      <c r="G760" s="46">
        <v>770</v>
      </c>
      <c r="H760" s="46">
        <v>1460</v>
      </c>
      <c r="I760" s="46">
        <v>1450</v>
      </c>
      <c r="J760" s="46">
        <v>705</v>
      </c>
      <c r="K760" s="46">
        <v>425</v>
      </c>
      <c r="L760" s="46">
        <v>2210</v>
      </c>
      <c r="M760">
        <f t="shared" si="67"/>
        <v>8.9754573694916046E-2</v>
      </c>
      <c r="N760">
        <f t="shared" si="68"/>
        <v>0.17018399687607458</v>
      </c>
      <c r="O760">
        <f t="shared" si="69"/>
        <v>0.16901835306185489</v>
      </c>
      <c r="P760">
        <f t="shared" si="70"/>
        <v>8.2177888902488061E-2</v>
      </c>
      <c r="Q760">
        <f t="shared" si="71"/>
        <v>4.9539862104336772E-2</v>
      </c>
      <c r="R760">
        <f t="shared" si="72"/>
        <v>0.25760728294255125</v>
      </c>
    </row>
    <row r="761" spans="1:18" hidden="1" x14ac:dyDescent="0.25">
      <c r="A761" s="46">
        <v>2020</v>
      </c>
      <c r="B761" s="56">
        <v>358</v>
      </c>
      <c r="C761" s="47" t="s">
        <v>82</v>
      </c>
      <c r="D761" s="47" t="s">
        <v>51</v>
      </c>
      <c r="E761" s="47" t="s">
        <v>44</v>
      </c>
      <c r="F761" s="46">
        <v>1050</v>
      </c>
      <c r="G761" s="46">
        <v>150</v>
      </c>
      <c r="H761" s="46">
        <v>365</v>
      </c>
      <c r="I761" s="46">
        <v>320</v>
      </c>
      <c r="J761" s="46">
        <v>100</v>
      </c>
      <c r="K761" s="46">
        <v>60</v>
      </c>
      <c r="L761" s="46">
        <v>55</v>
      </c>
      <c r="M761">
        <f t="shared" si="67"/>
        <v>1.7484657213295333E-2</v>
      </c>
      <c r="N761">
        <f t="shared" si="68"/>
        <v>4.2545999219018645E-2</v>
      </c>
      <c r="O761">
        <f t="shared" si="69"/>
        <v>3.7300602055030045E-2</v>
      </c>
      <c r="P761">
        <f t="shared" si="70"/>
        <v>1.1656438142196888E-2</v>
      </c>
      <c r="Q761">
        <f t="shared" si="71"/>
        <v>6.993862885318133E-3</v>
      </c>
      <c r="R761">
        <f t="shared" si="72"/>
        <v>6.4110409782082893E-3</v>
      </c>
    </row>
    <row r="762" spans="1:18" hidden="1" x14ac:dyDescent="0.25">
      <c r="A762" s="46">
        <v>2020</v>
      </c>
      <c r="B762" s="56">
        <v>358</v>
      </c>
      <c r="C762" s="47" t="s">
        <v>82</v>
      </c>
      <c r="D762" s="47" t="s">
        <v>51</v>
      </c>
      <c r="E762" s="47" t="s">
        <v>45</v>
      </c>
      <c r="F762" s="46">
        <v>355</v>
      </c>
      <c r="G762" s="46">
        <v>55</v>
      </c>
      <c r="H762" s="46">
        <v>75</v>
      </c>
      <c r="I762" s="46">
        <v>105</v>
      </c>
      <c r="J762" s="46">
        <v>30</v>
      </c>
      <c r="K762" s="46">
        <v>20</v>
      </c>
      <c r="L762" s="46">
        <v>70</v>
      </c>
      <c r="M762">
        <f t="shared" si="67"/>
        <v>6.4110409782082893E-3</v>
      </c>
      <c r="N762">
        <f t="shared" si="68"/>
        <v>8.7423286066476667E-3</v>
      </c>
      <c r="O762">
        <f t="shared" si="69"/>
        <v>1.2239260049306732E-2</v>
      </c>
      <c r="P762">
        <f t="shared" si="70"/>
        <v>3.4969314426590665E-3</v>
      </c>
      <c r="Q762">
        <f t="shared" si="71"/>
        <v>2.3312876284393778E-3</v>
      </c>
      <c r="R762">
        <f t="shared" si="72"/>
        <v>8.1595066995378222E-3</v>
      </c>
    </row>
    <row r="763" spans="1:18" hidden="1" x14ac:dyDescent="0.25">
      <c r="A763" s="46">
        <v>2020</v>
      </c>
      <c r="B763" s="56">
        <v>358</v>
      </c>
      <c r="C763" s="47" t="s">
        <v>82</v>
      </c>
      <c r="D763" s="47" t="s">
        <v>51</v>
      </c>
      <c r="E763" s="47" t="s">
        <v>46</v>
      </c>
      <c r="F763" s="46">
        <v>700</v>
      </c>
      <c r="G763" s="46">
        <v>160</v>
      </c>
      <c r="H763" s="46">
        <v>200</v>
      </c>
      <c r="I763" s="46">
        <v>190</v>
      </c>
      <c r="J763" s="46">
        <v>40</v>
      </c>
      <c r="K763" s="46">
        <v>10</v>
      </c>
      <c r="L763" s="46">
        <v>100</v>
      </c>
      <c r="M763">
        <f t="shared" si="67"/>
        <v>1.8650301027515023E-2</v>
      </c>
      <c r="N763">
        <f t="shared" si="68"/>
        <v>2.3312876284393776E-2</v>
      </c>
      <c r="O763">
        <f t="shared" si="69"/>
        <v>2.214723247017409E-2</v>
      </c>
      <c r="P763">
        <f t="shared" si="70"/>
        <v>4.6625752568787556E-3</v>
      </c>
      <c r="Q763">
        <f t="shared" si="71"/>
        <v>1.1656438142196889E-3</v>
      </c>
      <c r="R763">
        <f t="shared" si="72"/>
        <v>1.1656438142196888E-2</v>
      </c>
    </row>
    <row r="764" spans="1:18" hidden="1" x14ac:dyDescent="0.25">
      <c r="A764" s="46">
        <v>2020</v>
      </c>
      <c r="B764" s="56">
        <v>358</v>
      </c>
      <c r="C764" s="47" t="s">
        <v>82</v>
      </c>
      <c r="D764" s="47" t="s">
        <v>51</v>
      </c>
      <c r="E764" s="47" t="s">
        <v>47</v>
      </c>
      <c r="F764" s="46">
        <v>775</v>
      </c>
      <c r="G764" s="46">
        <v>100</v>
      </c>
      <c r="H764" s="46">
        <v>225</v>
      </c>
      <c r="I764" s="46">
        <v>200</v>
      </c>
      <c r="J764" s="46">
        <v>105</v>
      </c>
      <c r="K764" s="46">
        <v>25</v>
      </c>
      <c r="L764" s="46">
        <v>120</v>
      </c>
      <c r="M764">
        <f t="shared" si="67"/>
        <v>1.1656438142196888E-2</v>
      </c>
      <c r="N764">
        <f t="shared" si="68"/>
        <v>2.6226985819943E-2</v>
      </c>
      <c r="O764">
        <f t="shared" si="69"/>
        <v>2.3312876284393776E-2</v>
      </c>
      <c r="P764">
        <f t="shared" si="70"/>
        <v>1.2239260049306732E-2</v>
      </c>
      <c r="Q764">
        <f t="shared" si="71"/>
        <v>2.914109535549222E-3</v>
      </c>
      <c r="R764">
        <f t="shared" si="72"/>
        <v>1.3987725770636266E-2</v>
      </c>
    </row>
    <row r="765" spans="1:18" hidden="1" x14ac:dyDescent="0.25">
      <c r="A765" s="46">
        <v>2020</v>
      </c>
      <c r="B765" s="56">
        <v>358</v>
      </c>
      <c r="C765" s="47" t="s">
        <v>82</v>
      </c>
      <c r="D765" s="47" t="s">
        <v>51</v>
      </c>
      <c r="E765" s="47" t="s">
        <v>48</v>
      </c>
      <c r="F765" s="46">
        <v>2665</v>
      </c>
      <c r="G765" s="46">
        <v>250</v>
      </c>
      <c r="H765" s="46">
        <v>475</v>
      </c>
      <c r="I765" s="46">
        <v>515</v>
      </c>
      <c r="J765" s="46">
        <v>340</v>
      </c>
      <c r="K765" s="46">
        <v>235</v>
      </c>
      <c r="L765" s="46">
        <v>845</v>
      </c>
      <c r="M765">
        <f t="shared" si="67"/>
        <v>2.9141095355492221E-2</v>
      </c>
      <c r="N765">
        <f t="shared" si="68"/>
        <v>5.5368081175435221E-2</v>
      </c>
      <c r="O765">
        <f t="shared" si="69"/>
        <v>6.0030656432313978E-2</v>
      </c>
      <c r="P765">
        <f t="shared" si="70"/>
        <v>3.9631889683469423E-2</v>
      </c>
      <c r="Q765">
        <f t="shared" si="71"/>
        <v>2.7392629634162689E-2</v>
      </c>
      <c r="R765">
        <f t="shared" si="72"/>
        <v>9.8496902301563716E-2</v>
      </c>
    </row>
    <row r="766" spans="1:18" hidden="1" x14ac:dyDescent="0.25">
      <c r="A766" s="46">
        <v>2020</v>
      </c>
      <c r="B766" s="56">
        <v>358</v>
      </c>
      <c r="C766" s="47" t="s">
        <v>82</v>
      </c>
      <c r="D766" s="47" t="s">
        <v>51</v>
      </c>
      <c r="E766" s="47" t="s">
        <v>49</v>
      </c>
      <c r="F766" s="46">
        <v>1065</v>
      </c>
      <c r="G766" s="46">
        <v>50</v>
      </c>
      <c r="H766" s="46">
        <v>105</v>
      </c>
      <c r="I766" s="46">
        <v>100</v>
      </c>
      <c r="J766" s="46">
        <v>75</v>
      </c>
      <c r="K766" s="46">
        <v>65</v>
      </c>
      <c r="L766" s="46">
        <v>670</v>
      </c>
      <c r="M766">
        <f t="shared" si="67"/>
        <v>5.8282190710984439E-3</v>
      </c>
      <c r="N766">
        <f t="shared" si="68"/>
        <v>1.2239260049306732E-2</v>
      </c>
      <c r="O766">
        <f t="shared" si="69"/>
        <v>1.1656438142196888E-2</v>
      </c>
      <c r="P766">
        <f t="shared" si="70"/>
        <v>8.7423286066476667E-3</v>
      </c>
      <c r="Q766">
        <f t="shared" si="71"/>
        <v>7.5766847924279776E-3</v>
      </c>
      <c r="R766">
        <f t="shared" si="72"/>
        <v>7.8098135552719161E-2</v>
      </c>
    </row>
    <row r="767" spans="1:18" hidden="1" x14ac:dyDescent="0.25">
      <c r="A767" s="46">
        <v>2020</v>
      </c>
      <c r="B767" s="56">
        <v>358</v>
      </c>
      <c r="C767" s="47" t="s">
        <v>82</v>
      </c>
      <c r="D767" s="47" t="s">
        <v>51</v>
      </c>
      <c r="E767" s="47" t="s">
        <v>50</v>
      </c>
      <c r="F767" s="46">
        <v>415</v>
      </c>
      <c r="G767" s="46">
        <v>5</v>
      </c>
      <c r="H767" s="46">
        <v>15</v>
      </c>
      <c r="I767" s="46">
        <v>20</v>
      </c>
      <c r="J767" s="46">
        <v>15</v>
      </c>
      <c r="K767" s="46">
        <v>10</v>
      </c>
      <c r="L767" s="46">
        <v>350</v>
      </c>
      <c r="M767">
        <f t="shared" si="67"/>
        <v>5.8282190710984446E-4</v>
      </c>
      <c r="N767">
        <f t="shared" si="68"/>
        <v>1.7484657213295333E-3</v>
      </c>
      <c r="O767">
        <f t="shared" si="69"/>
        <v>2.3312876284393778E-3</v>
      </c>
      <c r="P767">
        <f t="shared" si="70"/>
        <v>1.7484657213295333E-3</v>
      </c>
      <c r="Q767">
        <f t="shared" si="71"/>
        <v>1.1656438142196889E-3</v>
      </c>
      <c r="R767">
        <f t="shared" si="72"/>
        <v>4.0797533497689109E-2</v>
      </c>
    </row>
    <row r="768" spans="1:18" hidden="1" x14ac:dyDescent="0.25">
      <c r="A768" s="46">
        <v>2020</v>
      </c>
      <c r="B768" s="56">
        <v>358</v>
      </c>
      <c r="C768" s="47" t="s">
        <v>82</v>
      </c>
      <c r="D768" s="47" t="s">
        <v>52</v>
      </c>
      <c r="E768" s="47" t="s">
        <v>43</v>
      </c>
      <c r="F768" s="46">
        <v>5730</v>
      </c>
      <c r="G768" s="46">
        <v>470</v>
      </c>
      <c r="H768" s="46">
        <v>1170</v>
      </c>
      <c r="I768" s="46">
        <v>1045</v>
      </c>
      <c r="J768" s="46">
        <v>595</v>
      </c>
      <c r="K768" s="46">
        <v>325</v>
      </c>
      <c r="L768" s="46">
        <v>2120</v>
      </c>
      <c r="M768">
        <f t="shared" si="67"/>
        <v>5.4785259268325379E-2</v>
      </c>
      <c r="N768">
        <f t="shared" si="68"/>
        <v>0.13638032626370361</v>
      </c>
      <c r="O768">
        <f t="shared" si="69"/>
        <v>0.12180977858595748</v>
      </c>
      <c r="P768">
        <f t="shared" si="70"/>
        <v>6.9355806946071491E-2</v>
      </c>
      <c r="Q768">
        <f t="shared" si="71"/>
        <v>3.7883423962139888E-2</v>
      </c>
      <c r="R768">
        <f t="shared" si="72"/>
        <v>0.24711648861457405</v>
      </c>
    </row>
    <row r="769" spans="1:18" hidden="1" x14ac:dyDescent="0.25">
      <c r="A769" s="46">
        <v>2020</v>
      </c>
      <c r="B769" s="56">
        <v>358</v>
      </c>
      <c r="C769" s="47" t="s">
        <v>82</v>
      </c>
      <c r="D769" s="47" t="s">
        <v>52</v>
      </c>
      <c r="E769" s="47" t="s">
        <v>44</v>
      </c>
      <c r="F769" s="46">
        <v>985</v>
      </c>
      <c r="G769" s="46">
        <v>135</v>
      </c>
      <c r="H769" s="46">
        <v>340</v>
      </c>
      <c r="I769" s="46">
        <v>285</v>
      </c>
      <c r="J769" s="46">
        <v>125</v>
      </c>
      <c r="K769" s="46">
        <v>55</v>
      </c>
      <c r="L769" s="46">
        <v>55</v>
      </c>
      <c r="M769">
        <f t="shared" si="67"/>
        <v>1.5736191491965801E-2</v>
      </c>
      <c r="N769">
        <f t="shared" si="68"/>
        <v>3.9631889683469423E-2</v>
      </c>
      <c r="O769">
        <f t="shared" si="69"/>
        <v>3.3220848705261131E-2</v>
      </c>
      <c r="P769">
        <f t="shared" si="70"/>
        <v>1.4570547677746111E-2</v>
      </c>
      <c r="Q769">
        <f t="shared" si="71"/>
        <v>6.4110409782082893E-3</v>
      </c>
      <c r="R769">
        <f t="shared" si="72"/>
        <v>6.4110409782082893E-3</v>
      </c>
    </row>
    <row r="770" spans="1:18" hidden="1" x14ac:dyDescent="0.25">
      <c r="A770" s="46">
        <v>2020</v>
      </c>
      <c r="B770" s="56">
        <v>358</v>
      </c>
      <c r="C770" s="47" t="s">
        <v>82</v>
      </c>
      <c r="D770" s="47" t="s">
        <v>52</v>
      </c>
      <c r="E770" s="47" t="s">
        <v>45</v>
      </c>
      <c r="F770" s="46">
        <v>270</v>
      </c>
      <c r="G770" s="46">
        <v>30</v>
      </c>
      <c r="H770" s="46">
        <v>55</v>
      </c>
      <c r="I770" s="46">
        <v>70</v>
      </c>
      <c r="J770" s="46">
        <v>40</v>
      </c>
      <c r="K770" s="46">
        <v>25</v>
      </c>
      <c r="L770" s="46">
        <v>55</v>
      </c>
      <c r="M770">
        <f t="shared" si="67"/>
        <v>3.4969314426590665E-3</v>
      </c>
      <c r="N770">
        <f t="shared" si="68"/>
        <v>6.4110409782082893E-3</v>
      </c>
      <c r="O770">
        <f t="shared" si="69"/>
        <v>8.1595066995378222E-3</v>
      </c>
      <c r="P770">
        <f t="shared" si="70"/>
        <v>4.6625752568787556E-3</v>
      </c>
      <c r="Q770">
        <f t="shared" si="71"/>
        <v>2.914109535549222E-3</v>
      </c>
      <c r="R770">
        <f t="shared" si="72"/>
        <v>6.4110409782082893E-3</v>
      </c>
    </row>
    <row r="771" spans="1:18" hidden="1" x14ac:dyDescent="0.25">
      <c r="A771" s="46">
        <v>2020</v>
      </c>
      <c r="B771" s="56">
        <v>358</v>
      </c>
      <c r="C771" s="47" t="s">
        <v>82</v>
      </c>
      <c r="D771" s="47" t="s">
        <v>52</v>
      </c>
      <c r="E771" s="47" t="s">
        <v>46</v>
      </c>
      <c r="F771" s="46">
        <v>440</v>
      </c>
      <c r="G771" s="46">
        <v>85</v>
      </c>
      <c r="H771" s="46">
        <v>140</v>
      </c>
      <c r="I771" s="46">
        <v>90</v>
      </c>
      <c r="J771" s="46">
        <v>35</v>
      </c>
      <c r="K771" s="46">
        <v>15</v>
      </c>
      <c r="L771" s="46">
        <v>75</v>
      </c>
      <c r="M771">
        <f t="shared" si="67"/>
        <v>9.9079724208673559E-3</v>
      </c>
      <c r="N771">
        <f t="shared" si="68"/>
        <v>1.6319013399075644E-2</v>
      </c>
      <c r="O771">
        <f t="shared" si="69"/>
        <v>1.04907943279772E-2</v>
      </c>
      <c r="P771">
        <f t="shared" si="70"/>
        <v>4.0797533497689111E-3</v>
      </c>
      <c r="Q771">
        <f t="shared" si="71"/>
        <v>1.7484657213295333E-3</v>
      </c>
      <c r="R771">
        <f t="shared" si="72"/>
        <v>8.7423286066476667E-3</v>
      </c>
    </row>
    <row r="772" spans="1:18" hidden="1" x14ac:dyDescent="0.25">
      <c r="A772" s="46">
        <v>2020</v>
      </c>
      <c r="B772" s="56">
        <v>358</v>
      </c>
      <c r="C772" s="47" t="s">
        <v>82</v>
      </c>
      <c r="D772" s="47" t="s">
        <v>52</v>
      </c>
      <c r="E772" s="47" t="s">
        <v>47</v>
      </c>
      <c r="F772" s="46">
        <v>575</v>
      </c>
      <c r="G772" s="46">
        <v>80</v>
      </c>
      <c r="H772" s="46">
        <v>150</v>
      </c>
      <c r="I772" s="46">
        <v>155</v>
      </c>
      <c r="J772" s="46">
        <v>75</v>
      </c>
      <c r="K772" s="46">
        <v>30</v>
      </c>
      <c r="L772" s="46">
        <v>85</v>
      </c>
      <c r="M772">
        <f t="shared" si="67"/>
        <v>9.3251505137575113E-3</v>
      </c>
      <c r="N772">
        <f t="shared" si="68"/>
        <v>1.7484657213295333E-2</v>
      </c>
      <c r="O772">
        <f t="shared" si="69"/>
        <v>1.806747912040518E-2</v>
      </c>
      <c r="P772">
        <f t="shared" si="70"/>
        <v>8.7423286066476667E-3</v>
      </c>
      <c r="Q772">
        <f t="shared" si="71"/>
        <v>3.4969314426590665E-3</v>
      </c>
      <c r="R772">
        <f t="shared" si="72"/>
        <v>9.9079724208673559E-3</v>
      </c>
    </row>
    <row r="773" spans="1:18" hidden="1" x14ac:dyDescent="0.25">
      <c r="A773" s="46">
        <v>2020</v>
      </c>
      <c r="B773" s="56">
        <v>358</v>
      </c>
      <c r="C773" s="47" t="s">
        <v>82</v>
      </c>
      <c r="D773" s="47" t="s">
        <v>52</v>
      </c>
      <c r="E773" s="47" t="s">
        <v>48</v>
      </c>
      <c r="F773" s="46">
        <v>2135</v>
      </c>
      <c r="G773" s="46">
        <v>120</v>
      </c>
      <c r="H773" s="46">
        <v>365</v>
      </c>
      <c r="I773" s="46">
        <v>350</v>
      </c>
      <c r="J773" s="46">
        <v>250</v>
      </c>
      <c r="K773" s="46">
        <v>160</v>
      </c>
      <c r="L773" s="46">
        <v>885</v>
      </c>
      <c r="M773">
        <f t="shared" si="67"/>
        <v>1.3987725770636266E-2</v>
      </c>
      <c r="N773">
        <f t="shared" si="68"/>
        <v>4.2545999219018645E-2</v>
      </c>
      <c r="O773">
        <f t="shared" si="69"/>
        <v>4.0797533497689109E-2</v>
      </c>
      <c r="P773">
        <f t="shared" si="70"/>
        <v>2.9141095355492221E-2</v>
      </c>
      <c r="Q773">
        <f t="shared" si="71"/>
        <v>1.8650301027515023E-2</v>
      </c>
      <c r="R773">
        <f t="shared" si="72"/>
        <v>0.10315947755844246</v>
      </c>
    </row>
    <row r="774" spans="1:18" hidden="1" x14ac:dyDescent="0.25">
      <c r="A774" s="46">
        <v>2020</v>
      </c>
      <c r="B774" s="56">
        <v>358</v>
      </c>
      <c r="C774" s="47" t="s">
        <v>82</v>
      </c>
      <c r="D774" s="47" t="s">
        <v>52</v>
      </c>
      <c r="E774" s="47" t="s">
        <v>49</v>
      </c>
      <c r="F774" s="46">
        <v>890</v>
      </c>
      <c r="G774" s="46">
        <v>20</v>
      </c>
      <c r="H774" s="46">
        <v>105</v>
      </c>
      <c r="I774" s="46">
        <v>80</v>
      </c>
      <c r="J774" s="46">
        <v>60</v>
      </c>
      <c r="K774" s="46">
        <v>30</v>
      </c>
      <c r="L774" s="46">
        <v>600</v>
      </c>
      <c r="M774">
        <f t="shared" si="67"/>
        <v>2.3312876284393778E-3</v>
      </c>
      <c r="N774">
        <f t="shared" si="68"/>
        <v>1.2239260049306732E-2</v>
      </c>
      <c r="O774">
        <f t="shared" si="69"/>
        <v>9.3251505137575113E-3</v>
      </c>
      <c r="P774">
        <f t="shared" si="70"/>
        <v>6.993862885318133E-3</v>
      </c>
      <c r="Q774">
        <f t="shared" si="71"/>
        <v>3.4969314426590665E-3</v>
      </c>
      <c r="R774">
        <f t="shared" si="72"/>
        <v>6.9938628853181334E-2</v>
      </c>
    </row>
    <row r="775" spans="1:18" hidden="1" x14ac:dyDescent="0.25">
      <c r="A775" s="46">
        <v>2020</v>
      </c>
      <c r="B775" s="56">
        <v>358</v>
      </c>
      <c r="C775" s="47" t="s">
        <v>82</v>
      </c>
      <c r="D775" s="47" t="s">
        <v>52</v>
      </c>
      <c r="E775" s="47" t="s">
        <v>50</v>
      </c>
      <c r="F775" s="46">
        <v>440</v>
      </c>
      <c r="G775" s="46">
        <v>5</v>
      </c>
      <c r="H775" s="46">
        <v>15</v>
      </c>
      <c r="I775" s="46">
        <v>25</v>
      </c>
      <c r="J775" s="46">
        <v>15</v>
      </c>
      <c r="K775" s="46">
        <v>15</v>
      </c>
      <c r="L775" s="46">
        <v>370</v>
      </c>
      <c r="M775">
        <f t="shared" si="67"/>
        <v>5.8282190710984446E-4</v>
      </c>
      <c r="N775">
        <f t="shared" si="68"/>
        <v>1.7484657213295333E-3</v>
      </c>
      <c r="O775">
        <f t="shared" si="69"/>
        <v>2.914109535549222E-3</v>
      </c>
      <c r="P775">
        <f t="shared" si="70"/>
        <v>1.7484657213295333E-3</v>
      </c>
      <c r="Q775">
        <f t="shared" si="71"/>
        <v>1.7484657213295333E-3</v>
      </c>
      <c r="R775">
        <f t="shared" si="72"/>
        <v>4.3128821126128487E-2</v>
      </c>
    </row>
    <row r="776" spans="1:18" x14ac:dyDescent="0.25">
      <c r="A776" s="46">
        <v>2020</v>
      </c>
      <c r="B776" s="56">
        <v>359</v>
      </c>
      <c r="C776" s="47" t="s">
        <v>83</v>
      </c>
      <c r="D776" s="47" t="s">
        <v>42</v>
      </c>
      <c r="E776" s="47" t="s">
        <v>43</v>
      </c>
      <c r="F776" s="46">
        <v>19980</v>
      </c>
      <c r="G776" s="46">
        <v>1115</v>
      </c>
      <c r="H776" s="46">
        <v>4645</v>
      </c>
      <c r="I776" s="46">
        <v>4925</v>
      </c>
      <c r="J776" s="46">
        <v>1950</v>
      </c>
      <c r="K776" s="46">
        <v>1200</v>
      </c>
      <c r="L776" s="46">
        <v>6140</v>
      </c>
      <c r="M776">
        <f t="shared" si="67"/>
        <v>0.12996928528549531</v>
      </c>
      <c r="N776">
        <f t="shared" si="68"/>
        <v>0.54144155170504549</v>
      </c>
      <c r="O776">
        <f t="shared" si="69"/>
        <v>0.5740795785031968</v>
      </c>
      <c r="P776">
        <f t="shared" si="70"/>
        <v>0.22730054377283931</v>
      </c>
      <c r="Q776">
        <f t="shared" si="71"/>
        <v>0.13987725770636267</v>
      </c>
      <c r="R776">
        <f t="shared" si="72"/>
        <v>0.71570530193088899</v>
      </c>
    </row>
    <row r="777" spans="1:18" hidden="1" x14ac:dyDescent="0.25">
      <c r="A777" s="46">
        <v>2020</v>
      </c>
      <c r="B777" s="56">
        <v>359</v>
      </c>
      <c r="C777" s="47" t="s">
        <v>83</v>
      </c>
      <c r="D777" s="47" t="s">
        <v>42</v>
      </c>
      <c r="E777" s="47" t="s">
        <v>44</v>
      </c>
      <c r="F777" s="46">
        <v>3565</v>
      </c>
      <c r="G777" s="46">
        <v>340</v>
      </c>
      <c r="H777" s="46">
        <v>1430</v>
      </c>
      <c r="I777" s="46">
        <v>1150</v>
      </c>
      <c r="J777" s="46">
        <v>330</v>
      </c>
      <c r="K777" s="46">
        <v>145</v>
      </c>
      <c r="L777" s="46">
        <v>170</v>
      </c>
      <c r="M777">
        <f t="shared" ref="M777:M840" si="73">G777/$F$8*100</f>
        <v>3.9631889683469423E-2</v>
      </c>
      <c r="N777">
        <f t="shared" ref="N777:N840" si="74">H777/$F$8*100</f>
        <v>0.16668706543341552</v>
      </c>
      <c r="O777">
        <f t="shared" ref="O777:O840" si="75">I777/$F$8*100</f>
        <v>0.13404903863526424</v>
      </c>
      <c r="P777">
        <f t="shared" ref="P777:P840" si="76">J777/$F$8*100</f>
        <v>3.8466245869249731E-2</v>
      </c>
      <c r="Q777">
        <f t="shared" ref="Q777:Q840" si="77">K777/$F$8*100</f>
        <v>1.6901835306185491E-2</v>
      </c>
      <c r="R777">
        <f t="shared" ref="R777:R840" si="78">L777/$F$8*100</f>
        <v>1.9815944841734712E-2</v>
      </c>
    </row>
    <row r="778" spans="1:18" hidden="1" x14ac:dyDescent="0.25">
      <c r="A778" s="46">
        <v>2020</v>
      </c>
      <c r="B778" s="56">
        <v>359</v>
      </c>
      <c r="C778" s="47" t="s">
        <v>83</v>
      </c>
      <c r="D778" s="47" t="s">
        <v>42</v>
      </c>
      <c r="E778" s="47" t="s">
        <v>45</v>
      </c>
      <c r="F778" s="46">
        <v>1005</v>
      </c>
      <c r="G778" s="46">
        <v>65</v>
      </c>
      <c r="H778" s="46">
        <v>275</v>
      </c>
      <c r="I778" s="46">
        <v>355</v>
      </c>
      <c r="J778" s="46">
        <v>90</v>
      </c>
      <c r="K778" s="46">
        <v>50</v>
      </c>
      <c r="L778" s="46">
        <v>170</v>
      </c>
      <c r="M778">
        <f t="shared" si="73"/>
        <v>7.5766847924279776E-3</v>
      </c>
      <c r="N778">
        <f t="shared" si="74"/>
        <v>3.2055204891041446E-2</v>
      </c>
      <c r="O778">
        <f t="shared" si="75"/>
        <v>4.1380355404798952E-2</v>
      </c>
      <c r="P778">
        <f t="shared" si="76"/>
        <v>1.04907943279772E-2</v>
      </c>
      <c r="Q778">
        <f t="shared" si="77"/>
        <v>5.8282190710984439E-3</v>
      </c>
      <c r="R778">
        <f t="shared" si="78"/>
        <v>1.9815944841734712E-2</v>
      </c>
    </row>
    <row r="779" spans="1:18" hidden="1" x14ac:dyDescent="0.25">
      <c r="A779" s="46">
        <v>2020</v>
      </c>
      <c r="B779" s="56">
        <v>359</v>
      </c>
      <c r="C779" s="47" t="s">
        <v>83</v>
      </c>
      <c r="D779" s="47" t="s">
        <v>42</v>
      </c>
      <c r="E779" s="47" t="s">
        <v>46</v>
      </c>
      <c r="F779" s="46">
        <v>1545</v>
      </c>
      <c r="G779" s="46">
        <v>135</v>
      </c>
      <c r="H779" s="46">
        <v>485</v>
      </c>
      <c r="I779" s="46">
        <v>515</v>
      </c>
      <c r="J779" s="46">
        <v>105</v>
      </c>
      <c r="K779" s="46">
        <v>40</v>
      </c>
      <c r="L779" s="46">
        <v>265</v>
      </c>
      <c r="M779">
        <f t="shared" si="73"/>
        <v>1.5736191491965801E-2</v>
      </c>
      <c r="N779">
        <f t="shared" si="74"/>
        <v>5.6533724989654914E-2</v>
      </c>
      <c r="O779">
        <f t="shared" si="75"/>
        <v>6.0030656432313978E-2</v>
      </c>
      <c r="P779">
        <f t="shared" si="76"/>
        <v>1.2239260049306732E-2</v>
      </c>
      <c r="Q779">
        <f t="shared" si="77"/>
        <v>4.6625752568787556E-3</v>
      </c>
      <c r="R779">
        <f t="shared" si="78"/>
        <v>3.0889561076821757E-2</v>
      </c>
    </row>
    <row r="780" spans="1:18" hidden="1" x14ac:dyDescent="0.25">
      <c r="A780" s="46">
        <v>2020</v>
      </c>
      <c r="B780" s="56">
        <v>359</v>
      </c>
      <c r="C780" s="47" t="s">
        <v>83</v>
      </c>
      <c r="D780" s="47" t="s">
        <v>42</v>
      </c>
      <c r="E780" s="47" t="s">
        <v>47</v>
      </c>
      <c r="F780" s="46">
        <v>1975</v>
      </c>
      <c r="G780" s="46">
        <v>130</v>
      </c>
      <c r="H780" s="46">
        <v>580</v>
      </c>
      <c r="I780" s="46">
        <v>675</v>
      </c>
      <c r="J780" s="46">
        <v>270</v>
      </c>
      <c r="K780" s="46">
        <v>95</v>
      </c>
      <c r="L780" s="46">
        <v>230</v>
      </c>
      <c r="M780">
        <f t="shared" si="73"/>
        <v>1.5153369584855955E-2</v>
      </c>
      <c r="N780">
        <f t="shared" si="74"/>
        <v>6.7607341224741963E-2</v>
      </c>
      <c r="O780">
        <f t="shared" si="75"/>
        <v>7.8680957459829004E-2</v>
      </c>
      <c r="P780">
        <f t="shared" si="76"/>
        <v>3.1472382983931603E-2</v>
      </c>
      <c r="Q780">
        <f t="shared" si="77"/>
        <v>1.1073616235087045E-2</v>
      </c>
      <c r="R780">
        <f t="shared" si="78"/>
        <v>2.6809807727052843E-2</v>
      </c>
    </row>
    <row r="781" spans="1:18" hidden="1" x14ac:dyDescent="0.25">
      <c r="A781" s="46">
        <v>2020</v>
      </c>
      <c r="B781" s="56">
        <v>359</v>
      </c>
      <c r="C781" s="47" t="s">
        <v>83</v>
      </c>
      <c r="D781" s="47" t="s">
        <v>42</v>
      </c>
      <c r="E781" s="47" t="s">
        <v>48</v>
      </c>
      <c r="F781" s="46">
        <v>7890</v>
      </c>
      <c r="G781" s="46">
        <v>365</v>
      </c>
      <c r="H781" s="46">
        <v>1505</v>
      </c>
      <c r="I781" s="46">
        <v>1835</v>
      </c>
      <c r="J781" s="46">
        <v>915</v>
      </c>
      <c r="K781" s="46">
        <v>660</v>
      </c>
      <c r="L781" s="46">
        <v>2605</v>
      </c>
      <c r="M781">
        <f t="shared" si="73"/>
        <v>4.2545999219018645E-2</v>
      </c>
      <c r="N781">
        <f t="shared" si="74"/>
        <v>0.17542939404006319</v>
      </c>
      <c r="O781">
        <f t="shared" si="75"/>
        <v>0.21389563990931293</v>
      </c>
      <c r="P781">
        <f t="shared" si="76"/>
        <v>0.10665640900110153</v>
      </c>
      <c r="Q781">
        <f t="shared" si="77"/>
        <v>7.6932491738499462E-2</v>
      </c>
      <c r="R781">
        <f t="shared" si="78"/>
        <v>0.30365021360422895</v>
      </c>
    </row>
    <row r="782" spans="1:18" hidden="1" x14ac:dyDescent="0.25">
      <c r="A782" s="46">
        <v>2020</v>
      </c>
      <c r="B782" s="56">
        <v>359</v>
      </c>
      <c r="C782" s="47" t="s">
        <v>83</v>
      </c>
      <c r="D782" s="47" t="s">
        <v>42</v>
      </c>
      <c r="E782" s="47" t="s">
        <v>49</v>
      </c>
      <c r="F782" s="46">
        <v>2895</v>
      </c>
      <c r="G782" s="46">
        <v>70</v>
      </c>
      <c r="H782" s="46">
        <v>330</v>
      </c>
      <c r="I782" s="46">
        <v>350</v>
      </c>
      <c r="J782" s="46">
        <v>205</v>
      </c>
      <c r="K782" s="46">
        <v>200</v>
      </c>
      <c r="L782" s="46">
        <v>1745</v>
      </c>
      <c r="M782">
        <f t="shared" si="73"/>
        <v>8.1595066995378222E-3</v>
      </c>
      <c r="N782">
        <f t="shared" si="74"/>
        <v>3.8466245869249731E-2</v>
      </c>
      <c r="O782">
        <f t="shared" si="75"/>
        <v>4.0797533497689109E-2</v>
      </c>
      <c r="P782">
        <f t="shared" si="76"/>
        <v>2.3895698191503622E-2</v>
      </c>
      <c r="Q782">
        <f t="shared" si="77"/>
        <v>2.3312876284393776E-2</v>
      </c>
      <c r="R782">
        <f t="shared" si="78"/>
        <v>0.20340484558133573</v>
      </c>
    </row>
    <row r="783" spans="1:18" hidden="1" x14ac:dyDescent="0.25">
      <c r="A783" s="46">
        <v>2020</v>
      </c>
      <c r="B783" s="56">
        <v>359</v>
      </c>
      <c r="C783" s="47" t="s">
        <v>83</v>
      </c>
      <c r="D783" s="47" t="s">
        <v>42</v>
      </c>
      <c r="E783" s="47" t="s">
        <v>50</v>
      </c>
      <c r="F783" s="46">
        <v>1105</v>
      </c>
      <c r="G783" s="46">
        <v>10</v>
      </c>
      <c r="H783" s="46">
        <v>45</v>
      </c>
      <c r="I783" s="46">
        <v>45</v>
      </c>
      <c r="J783" s="46">
        <v>30</v>
      </c>
      <c r="K783" s="46">
        <v>20</v>
      </c>
      <c r="L783" s="46">
        <v>955</v>
      </c>
      <c r="M783">
        <f t="shared" si="73"/>
        <v>1.1656438142196889E-3</v>
      </c>
      <c r="N783">
        <f t="shared" si="74"/>
        <v>5.2453971639886002E-3</v>
      </c>
      <c r="O783">
        <f t="shared" si="75"/>
        <v>5.2453971639886002E-3</v>
      </c>
      <c r="P783">
        <f t="shared" si="76"/>
        <v>3.4969314426590665E-3</v>
      </c>
      <c r="Q783">
        <f t="shared" si="77"/>
        <v>2.3312876284393778E-3</v>
      </c>
      <c r="R783">
        <f t="shared" si="78"/>
        <v>0.11131898425798029</v>
      </c>
    </row>
    <row r="784" spans="1:18" hidden="1" x14ac:dyDescent="0.25">
      <c r="A784" s="46">
        <v>2020</v>
      </c>
      <c r="B784" s="56">
        <v>359</v>
      </c>
      <c r="C784" s="47" t="s">
        <v>83</v>
      </c>
      <c r="D784" s="47" t="s">
        <v>51</v>
      </c>
      <c r="E784" s="47" t="s">
        <v>43</v>
      </c>
      <c r="F784" s="46">
        <v>11175</v>
      </c>
      <c r="G784" s="46">
        <v>615</v>
      </c>
      <c r="H784" s="46">
        <v>2485</v>
      </c>
      <c r="I784" s="46">
        <v>2995</v>
      </c>
      <c r="J784" s="46">
        <v>1175</v>
      </c>
      <c r="K784" s="46">
        <v>720</v>
      </c>
      <c r="L784" s="46">
        <v>3185</v>
      </c>
      <c r="M784">
        <f t="shared" si="73"/>
        <v>7.1687094574510862E-2</v>
      </c>
      <c r="N784">
        <f t="shared" si="74"/>
        <v>0.28966248783359272</v>
      </c>
      <c r="O784">
        <f t="shared" si="75"/>
        <v>0.3491103223587968</v>
      </c>
      <c r="P784">
        <f t="shared" si="76"/>
        <v>0.13696314817081343</v>
      </c>
      <c r="Q784">
        <f t="shared" si="77"/>
        <v>8.3926354623817603E-2</v>
      </c>
      <c r="R784">
        <f t="shared" si="78"/>
        <v>0.37125755482897094</v>
      </c>
    </row>
    <row r="785" spans="1:18" hidden="1" x14ac:dyDescent="0.25">
      <c r="A785" s="46">
        <v>2020</v>
      </c>
      <c r="B785" s="56">
        <v>359</v>
      </c>
      <c r="C785" s="47" t="s">
        <v>83</v>
      </c>
      <c r="D785" s="47" t="s">
        <v>51</v>
      </c>
      <c r="E785" s="47" t="s">
        <v>44</v>
      </c>
      <c r="F785" s="46">
        <v>1880</v>
      </c>
      <c r="G785" s="46">
        <v>175</v>
      </c>
      <c r="H785" s="46">
        <v>755</v>
      </c>
      <c r="I785" s="46">
        <v>615</v>
      </c>
      <c r="J785" s="46">
        <v>170</v>
      </c>
      <c r="K785" s="46">
        <v>70</v>
      </c>
      <c r="L785" s="46">
        <v>95</v>
      </c>
      <c r="M785">
        <f t="shared" si="73"/>
        <v>2.0398766748844555E-2</v>
      </c>
      <c r="N785">
        <f t="shared" si="74"/>
        <v>8.8006107973586503E-2</v>
      </c>
      <c r="O785">
        <f t="shared" si="75"/>
        <v>7.1687094574510862E-2</v>
      </c>
      <c r="P785">
        <f t="shared" si="76"/>
        <v>1.9815944841734712E-2</v>
      </c>
      <c r="Q785">
        <f t="shared" si="77"/>
        <v>8.1595066995378222E-3</v>
      </c>
      <c r="R785">
        <f t="shared" si="78"/>
        <v>1.1073616235087045E-2</v>
      </c>
    </row>
    <row r="786" spans="1:18" hidden="1" x14ac:dyDescent="0.25">
      <c r="A786" s="46">
        <v>2020</v>
      </c>
      <c r="B786" s="56">
        <v>359</v>
      </c>
      <c r="C786" s="47" t="s">
        <v>83</v>
      </c>
      <c r="D786" s="47" t="s">
        <v>51</v>
      </c>
      <c r="E786" s="47" t="s">
        <v>45</v>
      </c>
      <c r="F786" s="46">
        <v>550</v>
      </c>
      <c r="G786" s="46">
        <v>40</v>
      </c>
      <c r="H786" s="46">
        <v>140</v>
      </c>
      <c r="I786" s="46">
        <v>210</v>
      </c>
      <c r="J786" s="46">
        <v>45</v>
      </c>
      <c r="K786" s="46">
        <v>25</v>
      </c>
      <c r="L786" s="46">
        <v>90</v>
      </c>
      <c r="M786">
        <f t="shared" si="73"/>
        <v>4.6625752568787556E-3</v>
      </c>
      <c r="N786">
        <f t="shared" si="74"/>
        <v>1.6319013399075644E-2</v>
      </c>
      <c r="O786">
        <f t="shared" si="75"/>
        <v>2.4478520098613465E-2</v>
      </c>
      <c r="P786">
        <f t="shared" si="76"/>
        <v>5.2453971639886002E-3</v>
      </c>
      <c r="Q786">
        <f t="shared" si="77"/>
        <v>2.914109535549222E-3</v>
      </c>
      <c r="R786">
        <f t="shared" si="78"/>
        <v>1.04907943279772E-2</v>
      </c>
    </row>
    <row r="787" spans="1:18" hidden="1" x14ac:dyDescent="0.25">
      <c r="A787" s="46">
        <v>2020</v>
      </c>
      <c r="B787" s="56">
        <v>359</v>
      </c>
      <c r="C787" s="47" t="s">
        <v>83</v>
      </c>
      <c r="D787" s="47" t="s">
        <v>51</v>
      </c>
      <c r="E787" s="47" t="s">
        <v>46</v>
      </c>
      <c r="F787" s="46">
        <v>920</v>
      </c>
      <c r="G787" s="46">
        <v>75</v>
      </c>
      <c r="H787" s="46">
        <v>255</v>
      </c>
      <c r="I787" s="46">
        <v>365</v>
      </c>
      <c r="J787" s="46">
        <v>60</v>
      </c>
      <c r="K787" s="46">
        <v>30</v>
      </c>
      <c r="L787" s="46">
        <v>135</v>
      </c>
      <c r="M787">
        <f t="shared" si="73"/>
        <v>8.7423286066476667E-3</v>
      </c>
      <c r="N787">
        <f t="shared" si="74"/>
        <v>2.9723917262602068E-2</v>
      </c>
      <c r="O787">
        <f t="shared" si="75"/>
        <v>4.2545999219018645E-2</v>
      </c>
      <c r="P787">
        <f t="shared" si="76"/>
        <v>6.993862885318133E-3</v>
      </c>
      <c r="Q787">
        <f t="shared" si="77"/>
        <v>3.4969314426590665E-3</v>
      </c>
      <c r="R787">
        <f t="shared" si="78"/>
        <v>1.5736191491965801E-2</v>
      </c>
    </row>
    <row r="788" spans="1:18" hidden="1" x14ac:dyDescent="0.25">
      <c r="A788" s="46">
        <v>2020</v>
      </c>
      <c r="B788" s="56">
        <v>359</v>
      </c>
      <c r="C788" s="47" t="s">
        <v>83</v>
      </c>
      <c r="D788" s="47" t="s">
        <v>51</v>
      </c>
      <c r="E788" s="47" t="s">
        <v>47</v>
      </c>
      <c r="F788" s="46">
        <v>1165</v>
      </c>
      <c r="G788" s="46">
        <v>75</v>
      </c>
      <c r="H788" s="46">
        <v>310</v>
      </c>
      <c r="I788" s="46">
        <v>425</v>
      </c>
      <c r="J788" s="46">
        <v>165</v>
      </c>
      <c r="K788" s="46">
        <v>55</v>
      </c>
      <c r="L788" s="46">
        <v>135</v>
      </c>
      <c r="M788">
        <f t="shared" si="73"/>
        <v>8.7423286066476667E-3</v>
      </c>
      <c r="N788">
        <f t="shared" si="74"/>
        <v>3.613495824081036E-2</v>
      </c>
      <c r="O788">
        <f t="shared" si="75"/>
        <v>4.9539862104336772E-2</v>
      </c>
      <c r="P788">
        <f t="shared" si="76"/>
        <v>1.9233122934624865E-2</v>
      </c>
      <c r="Q788">
        <f t="shared" si="77"/>
        <v>6.4110409782082893E-3</v>
      </c>
      <c r="R788">
        <f t="shared" si="78"/>
        <v>1.5736191491965801E-2</v>
      </c>
    </row>
    <row r="789" spans="1:18" hidden="1" x14ac:dyDescent="0.25">
      <c r="A789" s="46">
        <v>2020</v>
      </c>
      <c r="B789" s="56">
        <v>359</v>
      </c>
      <c r="C789" s="47" t="s">
        <v>83</v>
      </c>
      <c r="D789" s="47" t="s">
        <v>51</v>
      </c>
      <c r="E789" s="47" t="s">
        <v>48</v>
      </c>
      <c r="F789" s="46">
        <v>4480</v>
      </c>
      <c r="G789" s="46">
        <v>200</v>
      </c>
      <c r="H789" s="46">
        <v>825</v>
      </c>
      <c r="I789" s="46">
        <v>1140</v>
      </c>
      <c r="J789" s="46">
        <v>590</v>
      </c>
      <c r="K789" s="46">
        <v>405</v>
      </c>
      <c r="L789" s="46">
        <v>1315</v>
      </c>
      <c r="M789">
        <f t="shared" si="73"/>
        <v>2.3312876284393776E-2</v>
      </c>
      <c r="N789">
        <f t="shared" si="74"/>
        <v>9.6165614673124331E-2</v>
      </c>
      <c r="O789">
        <f t="shared" si="75"/>
        <v>0.13288339482104453</v>
      </c>
      <c r="P789">
        <f t="shared" si="76"/>
        <v>6.8772985038961648E-2</v>
      </c>
      <c r="Q789">
        <f t="shared" si="77"/>
        <v>4.7208574475897401E-2</v>
      </c>
      <c r="R789">
        <f t="shared" si="78"/>
        <v>0.15328216156988908</v>
      </c>
    </row>
    <row r="790" spans="1:18" hidden="1" x14ac:dyDescent="0.25">
      <c r="A790" s="46">
        <v>2020</v>
      </c>
      <c r="B790" s="56">
        <v>359</v>
      </c>
      <c r="C790" s="47" t="s">
        <v>83</v>
      </c>
      <c r="D790" s="47" t="s">
        <v>51</v>
      </c>
      <c r="E790" s="47" t="s">
        <v>49</v>
      </c>
      <c r="F790" s="46">
        <v>1640</v>
      </c>
      <c r="G790" s="46">
        <v>45</v>
      </c>
      <c r="H790" s="46">
        <v>180</v>
      </c>
      <c r="I790" s="46">
        <v>215</v>
      </c>
      <c r="J790" s="46">
        <v>125</v>
      </c>
      <c r="K790" s="46">
        <v>125</v>
      </c>
      <c r="L790" s="46">
        <v>945</v>
      </c>
      <c r="M790">
        <f t="shared" si="73"/>
        <v>5.2453971639886002E-3</v>
      </c>
      <c r="N790">
        <f t="shared" si="74"/>
        <v>2.0981588655954401E-2</v>
      </c>
      <c r="O790">
        <f t="shared" si="75"/>
        <v>2.5061342005723308E-2</v>
      </c>
      <c r="P790">
        <f t="shared" si="76"/>
        <v>1.4570547677746111E-2</v>
      </c>
      <c r="Q790">
        <f t="shared" si="77"/>
        <v>1.4570547677746111E-2</v>
      </c>
      <c r="R790">
        <f t="shared" si="78"/>
        <v>0.1101533404437606</v>
      </c>
    </row>
    <row r="791" spans="1:18" hidden="1" x14ac:dyDescent="0.25">
      <c r="A791" s="46">
        <v>2020</v>
      </c>
      <c r="B791" s="56">
        <v>359</v>
      </c>
      <c r="C791" s="47" t="s">
        <v>83</v>
      </c>
      <c r="D791" s="47" t="s">
        <v>51</v>
      </c>
      <c r="E791" s="47" t="s">
        <v>50</v>
      </c>
      <c r="F791" s="46">
        <v>545</v>
      </c>
      <c r="G791" s="46">
        <v>5</v>
      </c>
      <c r="H791" s="46">
        <v>20</v>
      </c>
      <c r="I791" s="46">
        <v>20</v>
      </c>
      <c r="J791" s="46">
        <v>15</v>
      </c>
      <c r="K791" s="46">
        <v>10</v>
      </c>
      <c r="L791" s="46">
        <v>475</v>
      </c>
      <c r="M791">
        <f t="shared" si="73"/>
        <v>5.8282190710984446E-4</v>
      </c>
      <c r="N791">
        <f t="shared" si="74"/>
        <v>2.3312876284393778E-3</v>
      </c>
      <c r="O791">
        <f t="shared" si="75"/>
        <v>2.3312876284393778E-3</v>
      </c>
      <c r="P791">
        <f t="shared" si="76"/>
        <v>1.7484657213295333E-3</v>
      </c>
      <c r="Q791">
        <f t="shared" si="77"/>
        <v>1.1656438142196889E-3</v>
      </c>
      <c r="R791">
        <f t="shared" si="78"/>
        <v>5.5368081175435221E-2</v>
      </c>
    </row>
    <row r="792" spans="1:18" hidden="1" x14ac:dyDescent="0.25">
      <c r="A792" s="46">
        <v>2020</v>
      </c>
      <c r="B792" s="56">
        <v>359</v>
      </c>
      <c r="C792" s="47" t="s">
        <v>83</v>
      </c>
      <c r="D792" s="47" t="s">
        <v>52</v>
      </c>
      <c r="E792" s="47" t="s">
        <v>43</v>
      </c>
      <c r="F792" s="46">
        <v>8805</v>
      </c>
      <c r="G792" s="46">
        <v>500</v>
      </c>
      <c r="H792" s="46">
        <v>2160</v>
      </c>
      <c r="I792" s="46">
        <v>1930</v>
      </c>
      <c r="J792" s="46">
        <v>775</v>
      </c>
      <c r="K792" s="46">
        <v>480</v>
      </c>
      <c r="L792" s="46">
        <v>2955</v>
      </c>
      <c r="M792">
        <f t="shared" si="73"/>
        <v>5.8282190710984443E-2</v>
      </c>
      <c r="N792">
        <f t="shared" si="74"/>
        <v>0.25177906387145282</v>
      </c>
      <c r="O792">
        <f t="shared" si="75"/>
        <v>0.22496925614439994</v>
      </c>
      <c r="P792">
        <f t="shared" si="76"/>
        <v>9.0337395602025888E-2</v>
      </c>
      <c r="Q792">
        <f t="shared" si="77"/>
        <v>5.5950903082545064E-2</v>
      </c>
      <c r="R792">
        <f t="shared" si="78"/>
        <v>0.34444774710191806</v>
      </c>
    </row>
    <row r="793" spans="1:18" hidden="1" x14ac:dyDescent="0.25">
      <c r="A793" s="46">
        <v>2020</v>
      </c>
      <c r="B793" s="56">
        <v>359</v>
      </c>
      <c r="C793" s="47" t="s">
        <v>83</v>
      </c>
      <c r="D793" s="47" t="s">
        <v>52</v>
      </c>
      <c r="E793" s="47" t="s">
        <v>44</v>
      </c>
      <c r="F793" s="46">
        <v>1685</v>
      </c>
      <c r="G793" s="46">
        <v>165</v>
      </c>
      <c r="H793" s="46">
        <v>680</v>
      </c>
      <c r="I793" s="46">
        <v>535</v>
      </c>
      <c r="J793" s="46">
        <v>160</v>
      </c>
      <c r="K793" s="46">
        <v>70</v>
      </c>
      <c r="L793" s="46">
        <v>75</v>
      </c>
      <c r="M793">
        <f t="shared" si="73"/>
        <v>1.9233122934624865E-2</v>
      </c>
      <c r="N793">
        <f t="shared" si="74"/>
        <v>7.9263779366938847E-2</v>
      </c>
      <c r="O793">
        <f t="shared" si="75"/>
        <v>6.2361944060753356E-2</v>
      </c>
      <c r="P793">
        <f t="shared" si="76"/>
        <v>1.8650301027515023E-2</v>
      </c>
      <c r="Q793">
        <f t="shared" si="77"/>
        <v>8.1595066995378222E-3</v>
      </c>
      <c r="R793">
        <f t="shared" si="78"/>
        <v>8.7423286066476667E-3</v>
      </c>
    </row>
    <row r="794" spans="1:18" hidden="1" x14ac:dyDescent="0.25">
      <c r="A794" s="46">
        <v>2020</v>
      </c>
      <c r="B794" s="56">
        <v>359</v>
      </c>
      <c r="C794" s="47" t="s">
        <v>83</v>
      </c>
      <c r="D794" s="47" t="s">
        <v>52</v>
      </c>
      <c r="E794" s="47" t="s">
        <v>45</v>
      </c>
      <c r="F794" s="46">
        <v>455</v>
      </c>
      <c r="G794" s="46">
        <v>30</v>
      </c>
      <c r="H794" s="46">
        <v>135</v>
      </c>
      <c r="I794" s="46">
        <v>145</v>
      </c>
      <c r="J794" s="46">
        <v>45</v>
      </c>
      <c r="K794" s="46">
        <v>20</v>
      </c>
      <c r="L794" s="46">
        <v>80</v>
      </c>
      <c r="M794">
        <f t="shared" si="73"/>
        <v>3.4969314426590665E-3</v>
      </c>
      <c r="N794">
        <f t="shared" si="74"/>
        <v>1.5736191491965801E-2</v>
      </c>
      <c r="O794">
        <f t="shared" si="75"/>
        <v>1.6901835306185491E-2</v>
      </c>
      <c r="P794">
        <f t="shared" si="76"/>
        <v>5.2453971639886002E-3</v>
      </c>
      <c r="Q794">
        <f t="shared" si="77"/>
        <v>2.3312876284393778E-3</v>
      </c>
      <c r="R794">
        <f t="shared" si="78"/>
        <v>9.3251505137575113E-3</v>
      </c>
    </row>
    <row r="795" spans="1:18" hidden="1" x14ac:dyDescent="0.25">
      <c r="A795" s="46">
        <v>2020</v>
      </c>
      <c r="B795" s="56">
        <v>359</v>
      </c>
      <c r="C795" s="47" t="s">
        <v>83</v>
      </c>
      <c r="D795" s="47" t="s">
        <v>52</v>
      </c>
      <c r="E795" s="47" t="s">
        <v>46</v>
      </c>
      <c r="F795" s="46">
        <v>625</v>
      </c>
      <c r="G795" s="46">
        <v>60</v>
      </c>
      <c r="H795" s="46">
        <v>230</v>
      </c>
      <c r="I795" s="46">
        <v>150</v>
      </c>
      <c r="J795" s="46">
        <v>45</v>
      </c>
      <c r="K795" s="46">
        <v>10</v>
      </c>
      <c r="L795" s="46">
        <v>130</v>
      </c>
      <c r="M795">
        <f t="shared" si="73"/>
        <v>6.993862885318133E-3</v>
      </c>
      <c r="N795">
        <f t="shared" si="74"/>
        <v>2.6809807727052843E-2</v>
      </c>
      <c r="O795">
        <f t="shared" si="75"/>
        <v>1.7484657213295333E-2</v>
      </c>
      <c r="P795">
        <f t="shared" si="76"/>
        <v>5.2453971639886002E-3</v>
      </c>
      <c r="Q795">
        <f t="shared" si="77"/>
        <v>1.1656438142196889E-3</v>
      </c>
      <c r="R795">
        <f t="shared" si="78"/>
        <v>1.5153369584855955E-2</v>
      </c>
    </row>
    <row r="796" spans="1:18" hidden="1" x14ac:dyDescent="0.25">
      <c r="A796" s="46">
        <v>2020</v>
      </c>
      <c r="B796" s="56">
        <v>359</v>
      </c>
      <c r="C796" s="47" t="s">
        <v>83</v>
      </c>
      <c r="D796" s="47" t="s">
        <v>52</v>
      </c>
      <c r="E796" s="47" t="s">
        <v>47</v>
      </c>
      <c r="F796" s="46">
        <v>810</v>
      </c>
      <c r="G796" s="46">
        <v>55</v>
      </c>
      <c r="H796" s="46">
        <v>270</v>
      </c>
      <c r="I796" s="46">
        <v>245</v>
      </c>
      <c r="J796" s="46">
        <v>105</v>
      </c>
      <c r="K796" s="46">
        <v>40</v>
      </c>
      <c r="L796" s="46">
        <v>95</v>
      </c>
      <c r="M796">
        <f t="shared" si="73"/>
        <v>6.4110409782082893E-3</v>
      </c>
      <c r="N796">
        <f t="shared" si="74"/>
        <v>3.1472382983931603E-2</v>
      </c>
      <c r="O796">
        <f t="shared" si="75"/>
        <v>2.8558273448382378E-2</v>
      </c>
      <c r="P796">
        <f t="shared" si="76"/>
        <v>1.2239260049306732E-2</v>
      </c>
      <c r="Q796">
        <f t="shared" si="77"/>
        <v>4.6625752568787556E-3</v>
      </c>
      <c r="R796">
        <f t="shared" si="78"/>
        <v>1.1073616235087045E-2</v>
      </c>
    </row>
    <row r="797" spans="1:18" hidden="1" x14ac:dyDescent="0.25">
      <c r="A797" s="46">
        <v>2020</v>
      </c>
      <c r="B797" s="56">
        <v>359</v>
      </c>
      <c r="C797" s="47" t="s">
        <v>83</v>
      </c>
      <c r="D797" s="47" t="s">
        <v>52</v>
      </c>
      <c r="E797" s="47" t="s">
        <v>48</v>
      </c>
      <c r="F797" s="46">
        <v>3410</v>
      </c>
      <c r="G797" s="46">
        <v>160</v>
      </c>
      <c r="H797" s="46">
        <v>680</v>
      </c>
      <c r="I797" s="46">
        <v>695</v>
      </c>
      <c r="J797" s="46">
        <v>325</v>
      </c>
      <c r="K797" s="46">
        <v>255</v>
      </c>
      <c r="L797" s="46">
        <v>1290</v>
      </c>
      <c r="M797">
        <f t="shared" si="73"/>
        <v>1.8650301027515023E-2</v>
      </c>
      <c r="N797">
        <f t="shared" si="74"/>
        <v>7.9263779366938847E-2</v>
      </c>
      <c r="O797">
        <f t="shared" si="75"/>
        <v>8.1012245088268375E-2</v>
      </c>
      <c r="P797">
        <f t="shared" si="76"/>
        <v>3.7883423962139888E-2</v>
      </c>
      <c r="Q797">
        <f t="shared" si="77"/>
        <v>2.9723917262602068E-2</v>
      </c>
      <c r="R797">
        <f t="shared" si="78"/>
        <v>0.15036805203433987</v>
      </c>
    </row>
    <row r="798" spans="1:18" hidden="1" x14ac:dyDescent="0.25">
      <c r="A798" s="46">
        <v>2020</v>
      </c>
      <c r="B798" s="56">
        <v>359</v>
      </c>
      <c r="C798" s="47" t="s">
        <v>83</v>
      </c>
      <c r="D798" s="47" t="s">
        <v>52</v>
      </c>
      <c r="E798" s="47" t="s">
        <v>49</v>
      </c>
      <c r="F798" s="46">
        <v>1260</v>
      </c>
      <c r="G798" s="46">
        <v>25</v>
      </c>
      <c r="H798" s="46">
        <v>150</v>
      </c>
      <c r="I798" s="46">
        <v>130</v>
      </c>
      <c r="J798" s="46">
        <v>80</v>
      </c>
      <c r="K798" s="46">
        <v>70</v>
      </c>
      <c r="L798" s="46">
        <v>800</v>
      </c>
      <c r="M798">
        <f t="shared" si="73"/>
        <v>2.914109535549222E-3</v>
      </c>
      <c r="N798">
        <f t="shared" si="74"/>
        <v>1.7484657213295333E-2</v>
      </c>
      <c r="O798">
        <f t="shared" si="75"/>
        <v>1.5153369584855955E-2</v>
      </c>
      <c r="P798">
        <f t="shared" si="76"/>
        <v>9.3251505137575113E-3</v>
      </c>
      <c r="Q798">
        <f t="shared" si="77"/>
        <v>8.1595066995378222E-3</v>
      </c>
      <c r="R798">
        <f t="shared" si="78"/>
        <v>9.3251505137575103E-2</v>
      </c>
    </row>
    <row r="799" spans="1:18" hidden="1" x14ac:dyDescent="0.25">
      <c r="A799" s="46">
        <v>2020</v>
      </c>
      <c r="B799" s="56">
        <v>359</v>
      </c>
      <c r="C799" s="47" t="s">
        <v>83</v>
      </c>
      <c r="D799" s="47" t="s">
        <v>52</v>
      </c>
      <c r="E799" s="47" t="s">
        <v>50</v>
      </c>
      <c r="F799" s="46">
        <v>560</v>
      </c>
      <c r="G799" s="46">
        <v>5</v>
      </c>
      <c r="H799" s="46">
        <v>25</v>
      </c>
      <c r="I799" s="46">
        <v>30</v>
      </c>
      <c r="J799" s="46">
        <v>15</v>
      </c>
      <c r="K799" s="46">
        <v>5</v>
      </c>
      <c r="L799" s="46">
        <v>480</v>
      </c>
      <c r="M799">
        <f t="shared" si="73"/>
        <v>5.8282190710984446E-4</v>
      </c>
      <c r="N799">
        <f t="shared" si="74"/>
        <v>2.914109535549222E-3</v>
      </c>
      <c r="O799">
        <f t="shared" si="75"/>
        <v>3.4969314426590665E-3</v>
      </c>
      <c r="P799">
        <f t="shared" si="76"/>
        <v>1.7484657213295333E-3</v>
      </c>
      <c r="Q799">
        <f t="shared" si="77"/>
        <v>5.8282190710984446E-4</v>
      </c>
      <c r="R799">
        <f t="shared" si="78"/>
        <v>5.5950903082545064E-2</v>
      </c>
    </row>
    <row r="800" spans="1:18" x14ac:dyDescent="0.25">
      <c r="A800" s="46">
        <v>2020</v>
      </c>
      <c r="B800" s="56">
        <v>360</v>
      </c>
      <c r="C800" s="47" t="s">
        <v>84</v>
      </c>
      <c r="D800" s="47" t="s">
        <v>42</v>
      </c>
      <c r="E800" s="47" t="s">
        <v>43</v>
      </c>
      <c r="F800" s="46">
        <v>6015</v>
      </c>
      <c r="G800" s="46">
        <v>385</v>
      </c>
      <c r="H800" s="46">
        <v>1355</v>
      </c>
      <c r="I800" s="46">
        <v>1450</v>
      </c>
      <c r="J800" s="46">
        <v>670</v>
      </c>
      <c r="K800" s="46">
        <v>290</v>
      </c>
      <c r="L800" s="46">
        <v>1870</v>
      </c>
      <c r="M800">
        <f t="shared" si="73"/>
        <v>4.4877286847458023E-2</v>
      </c>
      <c r="N800">
        <f t="shared" si="74"/>
        <v>0.15794473682676785</v>
      </c>
      <c r="O800">
        <f t="shared" si="75"/>
        <v>0.16901835306185489</v>
      </c>
      <c r="P800">
        <f t="shared" si="76"/>
        <v>7.8098135552719161E-2</v>
      </c>
      <c r="Q800">
        <f t="shared" si="77"/>
        <v>3.3803670612370981E-2</v>
      </c>
      <c r="R800">
        <f t="shared" si="78"/>
        <v>0.21797539325908183</v>
      </c>
    </row>
    <row r="801" spans="1:18" hidden="1" x14ac:dyDescent="0.25">
      <c r="A801" s="46">
        <v>2020</v>
      </c>
      <c r="B801" s="56">
        <v>360</v>
      </c>
      <c r="C801" s="47" t="s">
        <v>84</v>
      </c>
      <c r="D801" s="47" t="s">
        <v>42</v>
      </c>
      <c r="E801" s="47" t="s">
        <v>44</v>
      </c>
      <c r="F801" s="46">
        <v>1070</v>
      </c>
      <c r="G801" s="46">
        <v>110</v>
      </c>
      <c r="H801" s="46">
        <v>390</v>
      </c>
      <c r="I801" s="46">
        <v>345</v>
      </c>
      <c r="J801" s="46">
        <v>125</v>
      </c>
      <c r="K801" s="46">
        <v>40</v>
      </c>
      <c r="L801" s="46">
        <v>55</v>
      </c>
      <c r="M801">
        <f t="shared" si="73"/>
        <v>1.2822081956416579E-2</v>
      </c>
      <c r="N801">
        <f t="shared" si="74"/>
        <v>4.5460108754567866E-2</v>
      </c>
      <c r="O801">
        <f t="shared" si="75"/>
        <v>4.0214711590579266E-2</v>
      </c>
      <c r="P801">
        <f t="shared" si="76"/>
        <v>1.4570547677746111E-2</v>
      </c>
      <c r="Q801">
        <f t="shared" si="77"/>
        <v>4.6625752568787556E-3</v>
      </c>
      <c r="R801">
        <f t="shared" si="78"/>
        <v>6.4110409782082893E-3</v>
      </c>
    </row>
    <row r="802" spans="1:18" hidden="1" x14ac:dyDescent="0.25">
      <c r="A802" s="46">
        <v>2020</v>
      </c>
      <c r="B802" s="56">
        <v>360</v>
      </c>
      <c r="C802" s="47" t="s">
        <v>84</v>
      </c>
      <c r="D802" s="47" t="s">
        <v>42</v>
      </c>
      <c r="E802" s="47" t="s">
        <v>45</v>
      </c>
      <c r="F802" s="46">
        <v>340</v>
      </c>
      <c r="G802" s="46">
        <v>25</v>
      </c>
      <c r="H802" s="46">
        <v>85</v>
      </c>
      <c r="I802" s="46">
        <v>105</v>
      </c>
      <c r="J802" s="46">
        <v>40</v>
      </c>
      <c r="K802" s="46">
        <v>20</v>
      </c>
      <c r="L802" s="46">
        <v>65</v>
      </c>
      <c r="M802">
        <f t="shared" si="73"/>
        <v>2.914109535549222E-3</v>
      </c>
      <c r="N802">
        <f t="shared" si="74"/>
        <v>9.9079724208673559E-3</v>
      </c>
      <c r="O802">
        <f t="shared" si="75"/>
        <v>1.2239260049306732E-2</v>
      </c>
      <c r="P802">
        <f t="shared" si="76"/>
        <v>4.6625752568787556E-3</v>
      </c>
      <c r="Q802">
        <f t="shared" si="77"/>
        <v>2.3312876284393778E-3</v>
      </c>
      <c r="R802">
        <f t="shared" si="78"/>
        <v>7.5766847924279776E-3</v>
      </c>
    </row>
    <row r="803" spans="1:18" hidden="1" x14ac:dyDescent="0.25">
      <c r="A803" s="46">
        <v>2020</v>
      </c>
      <c r="B803" s="56">
        <v>360</v>
      </c>
      <c r="C803" s="47" t="s">
        <v>84</v>
      </c>
      <c r="D803" s="47" t="s">
        <v>42</v>
      </c>
      <c r="E803" s="47" t="s">
        <v>46</v>
      </c>
      <c r="F803" s="46">
        <v>450</v>
      </c>
      <c r="G803" s="46">
        <v>45</v>
      </c>
      <c r="H803" s="46">
        <v>125</v>
      </c>
      <c r="I803" s="46">
        <v>175</v>
      </c>
      <c r="J803" s="46">
        <v>35</v>
      </c>
      <c r="K803" s="46">
        <v>10</v>
      </c>
      <c r="L803" s="46">
        <v>60</v>
      </c>
      <c r="M803">
        <f t="shared" si="73"/>
        <v>5.2453971639886002E-3</v>
      </c>
      <c r="N803">
        <f t="shared" si="74"/>
        <v>1.4570547677746111E-2</v>
      </c>
      <c r="O803">
        <f t="shared" si="75"/>
        <v>2.0398766748844555E-2</v>
      </c>
      <c r="P803">
        <f t="shared" si="76"/>
        <v>4.0797533497689111E-3</v>
      </c>
      <c r="Q803">
        <f t="shared" si="77"/>
        <v>1.1656438142196889E-3</v>
      </c>
      <c r="R803">
        <f t="shared" si="78"/>
        <v>6.993862885318133E-3</v>
      </c>
    </row>
    <row r="804" spans="1:18" hidden="1" x14ac:dyDescent="0.25">
      <c r="A804" s="46">
        <v>2020</v>
      </c>
      <c r="B804" s="56">
        <v>360</v>
      </c>
      <c r="C804" s="47" t="s">
        <v>84</v>
      </c>
      <c r="D804" s="47" t="s">
        <v>42</v>
      </c>
      <c r="E804" s="47" t="s">
        <v>47</v>
      </c>
      <c r="F804" s="46">
        <v>600</v>
      </c>
      <c r="G804" s="46">
        <v>50</v>
      </c>
      <c r="H804" s="46">
        <v>165</v>
      </c>
      <c r="I804" s="46">
        <v>200</v>
      </c>
      <c r="J804" s="46">
        <v>80</v>
      </c>
      <c r="K804" s="46">
        <v>30</v>
      </c>
      <c r="L804" s="46">
        <v>75</v>
      </c>
      <c r="M804">
        <f t="shared" si="73"/>
        <v>5.8282190710984439E-3</v>
      </c>
      <c r="N804">
        <f t="shared" si="74"/>
        <v>1.9233122934624865E-2</v>
      </c>
      <c r="O804">
        <f t="shared" si="75"/>
        <v>2.3312876284393776E-2</v>
      </c>
      <c r="P804">
        <f t="shared" si="76"/>
        <v>9.3251505137575113E-3</v>
      </c>
      <c r="Q804">
        <f t="shared" si="77"/>
        <v>3.4969314426590665E-3</v>
      </c>
      <c r="R804">
        <f t="shared" si="78"/>
        <v>8.7423286066476667E-3</v>
      </c>
    </row>
    <row r="805" spans="1:18" hidden="1" x14ac:dyDescent="0.25">
      <c r="A805" s="46">
        <v>2020</v>
      </c>
      <c r="B805" s="56">
        <v>360</v>
      </c>
      <c r="C805" s="47" t="s">
        <v>84</v>
      </c>
      <c r="D805" s="47" t="s">
        <v>42</v>
      </c>
      <c r="E805" s="47" t="s">
        <v>48</v>
      </c>
      <c r="F805" s="46">
        <v>2265</v>
      </c>
      <c r="G805" s="46">
        <v>135</v>
      </c>
      <c r="H805" s="46">
        <v>460</v>
      </c>
      <c r="I805" s="46">
        <v>485</v>
      </c>
      <c r="J805" s="46">
        <v>285</v>
      </c>
      <c r="K805" s="46">
        <v>140</v>
      </c>
      <c r="L805" s="46">
        <v>760</v>
      </c>
      <c r="M805">
        <f t="shared" si="73"/>
        <v>1.5736191491965801E-2</v>
      </c>
      <c r="N805">
        <f t="shared" si="74"/>
        <v>5.3619615454105686E-2</v>
      </c>
      <c r="O805">
        <f t="shared" si="75"/>
        <v>5.6533724989654914E-2</v>
      </c>
      <c r="P805">
        <f t="shared" si="76"/>
        <v>3.3220848705261131E-2</v>
      </c>
      <c r="Q805">
        <f t="shared" si="77"/>
        <v>1.6319013399075644E-2</v>
      </c>
      <c r="R805">
        <f t="shared" si="78"/>
        <v>8.858892988069636E-2</v>
      </c>
    </row>
    <row r="806" spans="1:18" hidden="1" x14ac:dyDescent="0.25">
      <c r="A806" s="46">
        <v>2020</v>
      </c>
      <c r="B806" s="56">
        <v>360</v>
      </c>
      <c r="C806" s="47" t="s">
        <v>84</v>
      </c>
      <c r="D806" s="47" t="s">
        <v>42</v>
      </c>
      <c r="E806" s="47" t="s">
        <v>49</v>
      </c>
      <c r="F806" s="46">
        <v>925</v>
      </c>
      <c r="G806" s="46">
        <v>25</v>
      </c>
      <c r="H806" s="46">
        <v>100</v>
      </c>
      <c r="I806" s="46">
        <v>115</v>
      </c>
      <c r="J806" s="46">
        <v>80</v>
      </c>
      <c r="K806" s="46">
        <v>40</v>
      </c>
      <c r="L806" s="46">
        <v>560</v>
      </c>
      <c r="M806">
        <f t="shared" si="73"/>
        <v>2.914109535549222E-3</v>
      </c>
      <c r="N806">
        <f t="shared" si="74"/>
        <v>1.1656438142196888E-2</v>
      </c>
      <c r="O806">
        <f t="shared" si="75"/>
        <v>1.3404903863526422E-2</v>
      </c>
      <c r="P806">
        <f t="shared" si="76"/>
        <v>9.3251505137575113E-3</v>
      </c>
      <c r="Q806">
        <f t="shared" si="77"/>
        <v>4.6625752568787556E-3</v>
      </c>
      <c r="R806">
        <f t="shared" si="78"/>
        <v>6.5276053596302577E-2</v>
      </c>
    </row>
    <row r="807" spans="1:18" hidden="1" x14ac:dyDescent="0.25">
      <c r="A807" s="46">
        <v>2020</v>
      </c>
      <c r="B807" s="56">
        <v>360</v>
      </c>
      <c r="C807" s="47" t="s">
        <v>84</v>
      </c>
      <c r="D807" s="47" t="s">
        <v>42</v>
      </c>
      <c r="E807" s="47" t="s">
        <v>50</v>
      </c>
      <c r="F807" s="46">
        <v>370</v>
      </c>
      <c r="G807" s="46">
        <v>0</v>
      </c>
      <c r="H807" s="46">
        <v>25</v>
      </c>
      <c r="I807" s="46">
        <v>20</v>
      </c>
      <c r="J807" s="46">
        <v>25</v>
      </c>
      <c r="K807" s="46">
        <v>10</v>
      </c>
      <c r="L807" s="46">
        <v>290</v>
      </c>
      <c r="M807">
        <f t="shared" si="73"/>
        <v>0</v>
      </c>
      <c r="N807">
        <f t="shared" si="74"/>
        <v>2.914109535549222E-3</v>
      </c>
      <c r="O807">
        <f t="shared" si="75"/>
        <v>2.3312876284393778E-3</v>
      </c>
      <c r="P807">
        <f t="shared" si="76"/>
        <v>2.914109535549222E-3</v>
      </c>
      <c r="Q807">
        <f t="shared" si="77"/>
        <v>1.1656438142196889E-3</v>
      </c>
      <c r="R807">
        <f t="shared" si="78"/>
        <v>3.3803670612370981E-2</v>
      </c>
    </row>
    <row r="808" spans="1:18" hidden="1" x14ac:dyDescent="0.25">
      <c r="A808" s="46">
        <v>2020</v>
      </c>
      <c r="B808" s="56">
        <v>360</v>
      </c>
      <c r="C808" s="47" t="s">
        <v>84</v>
      </c>
      <c r="D808" s="47" t="s">
        <v>51</v>
      </c>
      <c r="E808" s="47" t="s">
        <v>43</v>
      </c>
      <c r="F808" s="46">
        <v>3150</v>
      </c>
      <c r="G808" s="46">
        <v>195</v>
      </c>
      <c r="H808" s="46">
        <v>675</v>
      </c>
      <c r="I808" s="46">
        <v>855</v>
      </c>
      <c r="J808" s="46">
        <v>380</v>
      </c>
      <c r="K808" s="46">
        <v>145</v>
      </c>
      <c r="L808" s="46">
        <v>895</v>
      </c>
      <c r="M808">
        <f t="shared" si="73"/>
        <v>2.2730054377283933E-2</v>
      </c>
      <c r="N808">
        <f t="shared" si="74"/>
        <v>7.8680957459829004E-2</v>
      </c>
      <c r="O808">
        <f t="shared" si="75"/>
        <v>9.9662546115783401E-2</v>
      </c>
      <c r="P808">
        <f t="shared" si="76"/>
        <v>4.429446494034818E-2</v>
      </c>
      <c r="Q808">
        <f t="shared" si="77"/>
        <v>1.6901835306185491E-2</v>
      </c>
      <c r="R808">
        <f t="shared" si="78"/>
        <v>0.10432512137266214</v>
      </c>
    </row>
    <row r="809" spans="1:18" hidden="1" x14ac:dyDescent="0.25">
      <c r="A809" s="46">
        <v>2020</v>
      </c>
      <c r="B809" s="56">
        <v>360</v>
      </c>
      <c r="C809" s="47" t="s">
        <v>84</v>
      </c>
      <c r="D809" s="47" t="s">
        <v>51</v>
      </c>
      <c r="E809" s="47" t="s">
        <v>44</v>
      </c>
      <c r="F809" s="46">
        <v>555</v>
      </c>
      <c r="G809" s="46">
        <v>55</v>
      </c>
      <c r="H809" s="46">
        <v>195</v>
      </c>
      <c r="I809" s="46">
        <v>185</v>
      </c>
      <c r="J809" s="46">
        <v>65</v>
      </c>
      <c r="K809" s="46">
        <v>20</v>
      </c>
      <c r="L809" s="46">
        <v>30</v>
      </c>
      <c r="M809">
        <f t="shared" si="73"/>
        <v>6.4110409782082893E-3</v>
      </c>
      <c r="N809">
        <f t="shared" si="74"/>
        <v>2.2730054377283933E-2</v>
      </c>
      <c r="O809">
        <f t="shared" si="75"/>
        <v>2.1564410563064244E-2</v>
      </c>
      <c r="P809">
        <f t="shared" si="76"/>
        <v>7.5766847924279776E-3</v>
      </c>
      <c r="Q809">
        <f t="shared" si="77"/>
        <v>2.3312876284393778E-3</v>
      </c>
      <c r="R809">
        <f t="shared" si="78"/>
        <v>3.4969314426590665E-3</v>
      </c>
    </row>
    <row r="810" spans="1:18" hidden="1" x14ac:dyDescent="0.25">
      <c r="A810" s="46">
        <v>2020</v>
      </c>
      <c r="B810" s="56">
        <v>360</v>
      </c>
      <c r="C810" s="47" t="s">
        <v>84</v>
      </c>
      <c r="D810" s="47" t="s">
        <v>51</v>
      </c>
      <c r="E810" s="47" t="s">
        <v>45</v>
      </c>
      <c r="F810" s="46">
        <v>180</v>
      </c>
      <c r="G810" s="46">
        <v>10</v>
      </c>
      <c r="H810" s="46">
        <v>50</v>
      </c>
      <c r="I810" s="46">
        <v>65</v>
      </c>
      <c r="J810" s="46">
        <v>15</v>
      </c>
      <c r="K810" s="46">
        <v>10</v>
      </c>
      <c r="L810" s="46">
        <v>30</v>
      </c>
      <c r="M810">
        <f t="shared" si="73"/>
        <v>1.1656438142196889E-3</v>
      </c>
      <c r="N810">
        <f t="shared" si="74"/>
        <v>5.8282190710984439E-3</v>
      </c>
      <c r="O810">
        <f t="shared" si="75"/>
        <v>7.5766847924279776E-3</v>
      </c>
      <c r="P810">
        <f t="shared" si="76"/>
        <v>1.7484657213295333E-3</v>
      </c>
      <c r="Q810">
        <f t="shared" si="77"/>
        <v>1.1656438142196889E-3</v>
      </c>
      <c r="R810">
        <f t="shared" si="78"/>
        <v>3.4969314426590665E-3</v>
      </c>
    </row>
    <row r="811" spans="1:18" hidden="1" x14ac:dyDescent="0.25">
      <c r="A811" s="46">
        <v>2020</v>
      </c>
      <c r="B811" s="56">
        <v>360</v>
      </c>
      <c r="C811" s="47" t="s">
        <v>84</v>
      </c>
      <c r="D811" s="47" t="s">
        <v>51</v>
      </c>
      <c r="E811" s="47" t="s">
        <v>46</v>
      </c>
      <c r="F811" s="46">
        <v>260</v>
      </c>
      <c r="G811" s="46">
        <v>20</v>
      </c>
      <c r="H811" s="46">
        <v>55</v>
      </c>
      <c r="I811" s="46">
        <v>120</v>
      </c>
      <c r="J811" s="46">
        <v>25</v>
      </c>
      <c r="K811" s="46">
        <v>5</v>
      </c>
      <c r="L811" s="46">
        <v>30</v>
      </c>
      <c r="M811">
        <f t="shared" si="73"/>
        <v>2.3312876284393778E-3</v>
      </c>
      <c r="N811">
        <f t="shared" si="74"/>
        <v>6.4110409782082893E-3</v>
      </c>
      <c r="O811">
        <f t="shared" si="75"/>
        <v>1.3987725770636266E-2</v>
      </c>
      <c r="P811">
        <f t="shared" si="76"/>
        <v>2.914109535549222E-3</v>
      </c>
      <c r="Q811">
        <f t="shared" si="77"/>
        <v>5.8282190710984446E-4</v>
      </c>
      <c r="R811">
        <f t="shared" si="78"/>
        <v>3.4969314426590665E-3</v>
      </c>
    </row>
    <row r="812" spans="1:18" hidden="1" x14ac:dyDescent="0.25">
      <c r="A812" s="46">
        <v>2020</v>
      </c>
      <c r="B812" s="56">
        <v>360</v>
      </c>
      <c r="C812" s="47" t="s">
        <v>84</v>
      </c>
      <c r="D812" s="47" t="s">
        <v>51</v>
      </c>
      <c r="E812" s="47" t="s">
        <v>47</v>
      </c>
      <c r="F812" s="46">
        <v>335</v>
      </c>
      <c r="G812" s="46">
        <v>30</v>
      </c>
      <c r="H812" s="46">
        <v>85</v>
      </c>
      <c r="I812" s="46">
        <v>125</v>
      </c>
      <c r="J812" s="46">
        <v>40</v>
      </c>
      <c r="K812" s="46">
        <v>10</v>
      </c>
      <c r="L812" s="46">
        <v>45</v>
      </c>
      <c r="M812">
        <f t="shared" si="73"/>
        <v>3.4969314426590665E-3</v>
      </c>
      <c r="N812">
        <f t="shared" si="74"/>
        <v>9.9079724208673559E-3</v>
      </c>
      <c r="O812">
        <f t="shared" si="75"/>
        <v>1.4570547677746111E-2</v>
      </c>
      <c r="P812">
        <f t="shared" si="76"/>
        <v>4.6625752568787556E-3</v>
      </c>
      <c r="Q812">
        <f t="shared" si="77"/>
        <v>1.1656438142196889E-3</v>
      </c>
      <c r="R812">
        <f t="shared" si="78"/>
        <v>5.2453971639886002E-3</v>
      </c>
    </row>
    <row r="813" spans="1:18" hidden="1" x14ac:dyDescent="0.25">
      <c r="A813" s="46">
        <v>2020</v>
      </c>
      <c r="B813" s="56">
        <v>360</v>
      </c>
      <c r="C813" s="47" t="s">
        <v>84</v>
      </c>
      <c r="D813" s="47" t="s">
        <v>51</v>
      </c>
      <c r="E813" s="47" t="s">
        <v>48</v>
      </c>
      <c r="F813" s="46">
        <v>1170</v>
      </c>
      <c r="G813" s="46">
        <v>75</v>
      </c>
      <c r="H813" s="46">
        <v>215</v>
      </c>
      <c r="I813" s="46">
        <v>285</v>
      </c>
      <c r="J813" s="46">
        <v>170</v>
      </c>
      <c r="K813" s="46">
        <v>70</v>
      </c>
      <c r="L813" s="46">
        <v>355</v>
      </c>
      <c r="M813">
        <f t="shared" si="73"/>
        <v>8.7423286066476667E-3</v>
      </c>
      <c r="N813">
        <f t="shared" si="74"/>
        <v>2.5061342005723308E-2</v>
      </c>
      <c r="O813">
        <f t="shared" si="75"/>
        <v>3.3220848705261131E-2</v>
      </c>
      <c r="P813">
        <f t="shared" si="76"/>
        <v>1.9815944841734712E-2</v>
      </c>
      <c r="Q813">
        <f t="shared" si="77"/>
        <v>8.1595066995378222E-3</v>
      </c>
      <c r="R813">
        <f t="shared" si="78"/>
        <v>4.1380355404798952E-2</v>
      </c>
    </row>
    <row r="814" spans="1:18" hidden="1" x14ac:dyDescent="0.25">
      <c r="A814" s="46">
        <v>2020</v>
      </c>
      <c r="B814" s="56">
        <v>360</v>
      </c>
      <c r="C814" s="47" t="s">
        <v>84</v>
      </c>
      <c r="D814" s="47" t="s">
        <v>51</v>
      </c>
      <c r="E814" s="47" t="s">
        <v>49</v>
      </c>
      <c r="F814" s="46">
        <v>480</v>
      </c>
      <c r="G814" s="46">
        <v>10</v>
      </c>
      <c r="H814" s="46">
        <v>65</v>
      </c>
      <c r="I814" s="46">
        <v>65</v>
      </c>
      <c r="J814" s="46">
        <v>50</v>
      </c>
      <c r="K814" s="46">
        <v>25</v>
      </c>
      <c r="L814" s="46">
        <v>265</v>
      </c>
      <c r="M814">
        <f t="shared" si="73"/>
        <v>1.1656438142196889E-3</v>
      </c>
      <c r="N814">
        <f t="shared" si="74"/>
        <v>7.5766847924279776E-3</v>
      </c>
      <c r="O814">
        <f t="shared" si="75"/>
        <v>7.5766847924279776E-3</v>
      </c>
      <c r="P814">
        <f t="shared" si="76"/>
        <v>5.8282190710984439E-3</v>
      </c>
      <c r="Q814">
        <f t="shared" si="77"/>
        <v>2.914109535549222E-3</v>
      </c>
      <c r="R814">
        <f t="shared" si="78"/>
        <v>3.0889561076821757E-2</v>
      </c>
    </row>
    <row r="815" spans="1:18" hidden="1" x14ac:dyDescent="0.25">
      <c r="A815" s="46">
        <v>2020</v>
      </c>
      <c r="B815" s="56">
        <v>360</v>
      </c>
      <c r="C815" s="47" t="s">
        <v>84</v>
      </c>
      <c r="D815" s="47" t="s">
        <v>51</v>
      </c>
      <c r="E815" s="47" t="s">
        <v>50</v>
      </c>
      <c r="F815" s="46">
        <v>175</v>
      </c>
      <c r="G815" s="46">
        <v>0</v>
      </c>
      <c r="H815" s="46">
        <v>10</v>
      </c>
      <c r="I815" s="46">
        <v>10</v>
      </c>
      <c r="J815" s="46">
        <v>15</v>
      </c>
      <c r="K815" s="46">
        <v>5</v>
      </c>
      <c r="L815" s="46">
        <v>135</v>
      </c>
      <c r="M815">
        <f t="shared" si="73"/>
        <v>0</v>
      </c>
      <c r="N815">
        <f t="shared" si="74"/>
        <v>1.1656438142196889E-3</v>
      </c>
      <c r="O815">
        <f t="shared" si="75"/>
        <v>1.1656438142196889E-3</v>
      </c>
      <c r="P815">
        <f t="shared" si="76"/>
        <v>1.7484657213295333E-3</v>
      </c>
      <c r="Q815">
        <f t="shared" si="77"/>
        <v>5.8282190710984446E-4</v>
      </c>
      <c r="R815">
        <f t="shared" si="78"/>
        <v>1.5736191491965801E-2</v>
      </c>
    </row>
    <row r="816" spans="1:18" hidden="1" x14ac:dyDescent="0.25">
      <c r="A816" s="46">
        <v>2020</v>
      </c>
      <c r="B816" s="56">
        <v>360</v>
      </c>
      <c r="C816" s="47" t="s">
        <v>84</v>
      </c>
      <c r="D816" s="47" t="s">
        <v>52</v>
      </c>
      <c r="E816" s="47" t="s">
        <v>43</v>
      </c>
      <c r="F816" s="46">
        <v>2870</v>
      </c>
      <c r="G816" s="46">
        <v>190</v>
      </c>
      <c r="H816" s="46">
        <v>680</v>
      </c>
      <c r="I816" s="46">
        <v>595</v>
      </c>
      <c r="J816" s="46">
        <v>285</v>
      </c>
      <c r="K816" s="46">
        <v>145</v>
      </c>
      <c r="L816" s="46">
        <v>975</v>
      </c>
      <c r="M816">
        <f t="shared" si="73"/>
        <v>2.214723247017409E-2</v>
      </c>
      <c r="N816">
        <f t="shared" si="74"/>
        <v>7.9263779366938847E-2</v>
      </c>
      <c r="O816">
        <f t="shared" si="75"/>
        <v>6.9355806946071491E-2</v>
      </c>
      <c r="P816">
        <f t="shared" si="76"/>
        <v>3.3220848705261131E-2</v>
      </c>
      <c r="Q816">
        <f t="shared" si="77"/>
        <v>1.6901835306185491E-2</v>
      </c>
      <c r="R816">
        <f t="shared" si="78"/>
        <v>0.11365027188641966</v>
      </c>
    </row>
    <row r="817" spans="1:18" hidden="1" x14ac:dyDescent="0.25">
      <c r="A817" s="46">
        <v>2020</v>
      </c>
      <c r="B817" s="56">
        <v>360</v>
      </c>
      <c r="C817" s="47" t="s">
        <v>84</v>
      </c>
      <c r="D817" s="47" t="s">
        <v>52</v>
      </c>
      <c r="E817" s="47" t="s">
        <v>44</v>
      </c>
      <c r="F817" s="46">
        <v>515</v>
      </c>
      <c r="G817" s="46">
        <v>55</v>
      </c>
      <c r="H817" s="46">
        <v>195</v>
      </c>
      <c r="I817" s="46">
        <v>160</v>
      </c>
      <c r="J817" s="46">
        <v>60</v>
      </c>
      <c r="K817" s="46">
        <v>20</v>
      </c>
      <c r="L817" s="46">
        <v>25</v>
      </c>
      <c r="M817">
        <f t="shared" si="73"/>
        <v>6.4110409782082893E-3</v>
      </c>
      <c r="N817">
        <f t="shared" si="74"/>
        <v>2.2730054377283933E-2</v>
      </c>
      <c r="O817">
        <f t="shared" si="75"/>
        <v>1.8650301027515023E-2</v>
      </c>
      <c r="P817">
        <f t="shared" si="76"/>
        <v>6.993862885318133E-3</v>
      </c>
      <c r="Q817">
        <f t="shared" si="77"/>
        <v>2.3312876284393778E-3</v>
      </c>
      <c r="R817">
        <f t="shared" si="78"/>
        <v>2.914109535549222E-3</v>
      </c>
    </row>
    <row r="818" spans="1:18" hidden="1" x14ac:dyDescent="0.25">
      <c r="A818" s="46">
        <v>2020</v>
      </c>
      <c r="B818" s="56">
        <v>360</v>
      </c>
      <c r="C818" s="47" t="s">
        <v>84</v>
      </c>
      <c r="D818" s="47" t="s">
        <v>52</v>
      </c>
      <c r="E818" s="47" t="s">
        <v>45</v>
      </c>
      <c r="F818" s="46">
        <v>160</v>
      </c>
      <c r="G818" s="46">
        <v>15</v>
      </c>
      <c r="H818" s="46">
        <v>40</v>
      </c>
      <c r="I818" s="46">
        <v>40</v>
      </c>
      <c r="J818" s="46">
        <v>25</v>
      </c>
      <c r="K818" s="46">
        <v>10</v>
      </c>
      <c r="L818" s="46">
        <v>30</v>
      </c>
      <c r="M818">
        <f t="shared" si="73"/>
        <v>1.7484657213295333E-3</v>
      </c>
      <c r="N818">
        <f t="shared" si="74"/>
        <v>4.6625752568787556E-3</v>
      </c>
      <c r="O818">
        <f t="shared" si="75"/>
        <v>4.6625752568787556E-3</v>
      </c>
      <c r="P818">
        <f t="shared" si="76"/>
        <v>2.914109535549222E-3</v>
      </c>
      <c r="Q818">
        <f t="shared" si="77"/>
        <v>1.1656438142196889E-3</v>
      </c>
      <c r="R818">
        <f t="shared" si="78"/>
        <v>3.4969314426590665E-3</v>
      </c>
    </row>
    <row r="819" spans="1:18" hidden="1" x14ac:dyDescent="0.25">
      <c r="A819" s="46">
        <v>2020</v>
      </c>
      <c r="B819" s="56">
        <v>360</v>
      </c>
      <c r="C819" s="47" t="s">
        <v>84</v>
      </c>
      <c r="D819" s="47" t="s">
        <v>52</v>
      </c>
      <c r="E819" s="47" t="s">
        <v>46</v>
      </c>
      <c r="F819" s="46">
        <v>195</v>
      </c>
      <c r="G819" s="46">
        <v>25</v>
      </c>
      <c r="H819" s="46">
        <v>75</v>
      </c>
      <c r="I819" s="46">
        <v>55</v>
      </c>
      <c r="J819" s="46">
        <v>10</v>
      </c>
      <c r="K819" s="46">
        <v>5</v>
      </c>
      <c r="L819" s="46">
        <v>30</v>
      </c>
      <c r="M819">
        <f t="shared" si="73"/>
        <v>2.914109535549222E-3</v>
      </c>
      <c r="N819">
        <f t="shared" si="74"/>
        <v>8.7423286066476667E-3</v>
      </c>
      <c r="O819">
        <f t="shared" si="75"/>
        <v>6.4110409782082893E-3</v>
      </c>
      <c r="P819">
        <f t="shared" si="76"/>
        <v>1.1656438142196889E-3</v>
      </c>
      <c r="Q819">
        <f t="shared" si="77"/>
        <v>5.8282190710984446E-4</v>
      </c>
      <c r="R819">
        <f t="shared" si="78"/>
        <v>3.4969314426590665E-3</v>
      </c>
    </row>
    <row r="820" spans="1:18" hidden="1" x14ac:dyDescent="0.25">
      <c r="A820" s="46">
        <v>2020</v>
      </c>
      <c r="B820" s="56">
        <v>360</v>
      </c>
      <c r="C820" s="47" t="s">
        <v>84</v>
      </c>
      <c r="D820" s="47" t="s">
        <v>52</v>
      </c>
      <c r="E820" s="47" t="s">
        <v>47</v>
      </c>
      <c r="F820" s="46">
        <v>265</v>
      </c>
      <c r="G820" s="46">
        <v>20</v>
      </c>
      <c r="H820" s="46">
        <v>80</v>
      </c>
      <c r="I820" s="46">
        <v>75</v>
      </c>
      <c r="J820" s="46">
        <v>40</v>
      </c>
      <c r="K820" s="46">
        <v>15</v>
      </c>
      <c r="L820" s="46">
        <v>30</v>
      </c>
      <c r="M820">
        <f t="shared" si="73"/>
        <v>2.3312876284393778E-3</v>
      </c>
      <c r="N820">
        <f t="shared" si="74"/>
        <v>9.3251505137575113E-3</v>
      </c>
      <c r="O820">
        <f t="shared" si="75"/>
        <v>8.7423286066476667E-3</v>
      </c>
      <c r="P820">
        <f t="shared" si="76"/>
        <v>4.6625752568787556E-3</v>
      </c>
      <c r="Q820">
        <f t="shared" si="77"/>
        <v>1.7484657213295333E-3</v>
      </c>
      <c r="R820">
        <f t="shared" si="78"/>
        <v>3.4969314426590665E-3</v>
      </c>
    </row>
    <row r="821" spans="1:18" hidden="1" x14ac:dyDescent="0.25">
      <c r="A821" s="46">
        <v>2020</v>
      </c>
      <c r="B821" s="56">
        <v>360</v>
      </c>
      <c r="C821" s="47" t="s">
        <v>84</v>
      </c>
      <c r="D821" s="47" t="s">
        <v>52</v>
      </c>
      <c r="E821" s="47" t="s">
        <v>48</v>
      </c>
      <c r="F821" s="46">
        <v>1095</v>
      </c>
      <c r="G821" s="46">
        <v>65</v>
      </c>
      <c r="H821" s="46">
        <v>240</v>
      </c>
      <c r="I821" s="46">
        <v>200</v>
      </c>
      <c r="J821" s="46">
        <v>120</v>
      </c>
      <c r="K821" s="46">
        <v>70</v>
      </c>
      <c r="L821" s="46">
        <v>405</v>
      </c>
      <c r="M821">
        <f t="shared" si="73"/>
        <v>7.5766847924279776E-3</v>
      </c>
      <c r="N821">
        <f t="shared" si="74"/>
        <v>2.7975451541272532E-2</v>
      </c>
      <c r="O821">
        <f t="shared" si="75"/>
        <v>2.3312876284393776E-2</v>
      </c>
      <c r="P821">
        <f t="shared" si="76"/>
        <v>1.3987725770636266E-2</v>
      </c>
      <c r="Q821">
        <f t="shared" si="77"/>
        <v>8.1595066995378222E-3</v>
      </c>
      <c r="R821">
        <f t="shared" si="78"/>
        <v>4.7208574475897401E-2</v>
      </c>
    </row>
    <row r="822" spans="1:18" hidden="1" x14ac:dyDescent="0.25">
      <c r="A822" s="46">
        <v>2020</v>
      </c>
      <c r="B822" s="56">
        <v>360</v>
      </c>
      <c r="C822" s="47" t="s">
        <v>84</v>
      </c>
      <c r="D822" s="47" t="s">
        <v>52</v>
      </c>
      <c r="E822" s="47" t="s">
        <v>49</v>
      </c>
      <c r="F822" s="46">
        <v>445</v>
      </c>
      <c r="G822" s="46">
        <v>10</v>
      </c>
      <c r="H822" s="46">
        <v>35</v>
      </c>
      <c r="I822" s="46">
        <v>55</v>
      </c>
      <c r="J822" s="46">
        <v>30</v>
      </c>
      <c r="K822" s="46">
        <v>15</v>
      </c>
      <c r="L822" s="46">
        <v>295</v>
      </c>
      <c r="M822">
        <f t="shared" si="73"/>
        <v>1.1656438142196889E-3</v>
      </c>
      <c r="N822">
        <f t="shared" si="74"/>
        <v>4.0797533497689111E-3</v>
      </c>
      <c r="O822">
        <f t="shared" si="75"/>
        <v>6.4110409782082893E-3</v>
      </c>
      <c r="P822">
        <f t="shared" si="76"/>
        <v>3.4969314426590665E-3</v>
      </c>
      <c r="Q822">
        <f t="shared" si="77"/>
        <v>1.7484657213295333E-3</v>
      </c>
      <c r="R822">
        <f t="shared" si="78"/>
        <v>3.4386492519480824E-2</v>
      </c>
    </row>
    <row r="823" spans="1:18" hidden="1" x14ac:dyDescent="0.25">
      <c r="A823" s="46">
        <v>2020</v>
      </c>
      <c r="B823" s="56">
        <v>360</v>
      </c>
      <c r="C823" s="47" t="s">
        <v>84</v>
      </c>
      <c r="D823" s="47" t="s">
        <v>52</v>
      </c>
      <c r="E823" s="47" t="s">
        <v>50</v>
      </c>
      <c r="F823" s="46">
        <v>195</v>
      </c>
      <c r="G823" s="46">
        <v>0</v>
      </c>
      <c r="H823" s="46">
        <v>15</v>
      </c>
      <c r="I823" s="46">
        <v>5</v>
      </c>
      <c r="J823" s="46">
        <v>10</v>
      </c>
      <c r="K823" s="46">
        <v>5</v>
      </c>
      <c r="L823" s="46">
        <v>155</v>
      </c>
      <c r="M823">
        <f t="shared" si="73"/>
        <v>0</v>
      </c>
      <c r="N823">
        <f t="shared" si="74"/>
        <v>1.7484657213295333E-3</v>
      </c>
      <c r="O823">
        <f t="shared" si="75"/>
        <v>5.8282190710984446E-4</v>
      </c>
      <c r="P823">
        <f t="shared" si="76"/>
        <v>1.1656438142196889E-3</v>
      </c>
      <c r="Q823">
        <f t="shared" si="77"/>
        <v>5.8282190710984446E-4</v>
      </c>
      <c r="R823">
        <f t="shared" si="78"/>
        <v>1.806747912040518E-2</v>
      </c>
    </row>
    <row r="824" spans="1:18" x14ac:dyDescent="0.25">
      <c r="A824" s="46">
        <v>2020</v>
      </c>
      <c r="B824" s="56">
        <v>361</v>
      </c>
      <c r="C824" s="47" t="s">
        <v>85</v>
      </c>
      <c r="D824" s="47" t="s">
        <v>42</v>
      </c>
      <c r="E824" s="47" t="s">
        <v>43</v>
      </c>
      <c r="F824" s="46">
        <v>11465</v>
      </c>
      <c r="G824" s="46">
        <v>540</v>
      </c>
      <c r="H824" s="46">
        <v>2035</v>
      </c>
      <c r="I824" s="46">
        <v>2665</v>
      </c>
      <c r="J824" s="46">
        <v>915</v>
      </c>
      <c r="K824" s="46">
        <v>540</v>
      </c>
      <c r="L824" s="46">
        <v>4770</v>
      </c>
      <c r="M824">
        <f t="shared" si="73"/>
        <v>6.2944765967863206E-2</v>
      </c>
      <c r="N824">
        <f t="shared" si="74"/>
        <v>0.2372085161937067</v>
      </c>
      <c r="O824">
        <f t="shared" si="75"/>
        <v>0.31064407648954712</v>
      </c>
      <c r="P824">
        <f t="shared" si="76"/>
        <v>0.10665640900110153</v>
      </c>
      <c r="Q824">
        <f t="shared" si="77"/>
        <v>6.2944765967863206E-2</v>
      </c>
      <c r="R824">
        <f t="shared" si="78"/>
        <v>0.55601209938279161</v>
      </c>
    </row>
    <row r="825" spans="1:18" hidden="1" x14ac:dyDescent="0.25">
      <c r="A825" s="46">
        <v>2020</v>
      </c>
      <c r="B825" s="56">
        <v>361</v>
      </c>
      <c r="C825" s="47" t="s">
        <v>85</v>
      </c>
      <c r="D825" s="47" t="s">
        <v>42</v>
      </c>
      <c r="E825" s="47" t="s">
        <v>44</v>
      </c>
      <c r="F825" s="46">
        <v>1765</v>
      </c>
      <c r="G825" s="46">
        <v>150</v>
      </c>
      <c r="H825" s="46">
        <v>640</v>
      </c>
      <c r="I825" s="46">
        <v>600</v>
      </c>
      <c r="J825" s="46">
        <v>155</v>
      </c>
      <c r="K825" s="46">
        <v>85</v>
      </c>
      <c r="L825" s="46">
        <v>135</v>
      </c>
      <c r="M825">
        <f t="shared" si="73"/>
        <v>1.7484657213295333E-2</v>
      </c>
      <c r="N825">
        <f t="shared" si="74"/>
        <v>7.460120411006009E-2</v>
      </c>
      <c r="O825">
        <f t="shared" si="75"/>
        <v>6.9938628853181334E-2</v>
      </c>
      <c r="P825">
        <f t="shared" si="76"/>
        <v>1.806747912040518E-2</v>
      </c>
      <c r="Q825">
        <f t="shared" si="77"/>
        <v>9.9079724208673559E-3</v>
      </c>
      <c r="R825">
        <f t="shared" si="78"/>
        <v>1.5736191491965801E-2</v>
      </c>
    </row>
    <row r="826" spans="1:18" hidden="1" x14ac:dyDescent="0.25">
      <c r="A826" s="46">
        <v>2020</v>
      </c>
      <c r="B826" s="56">
        <v>361</v>
      </c>
      <c r="C826" s="47" t="s">
        <v>85</v>
      </c>
      <c r="D826" s="47" t="s">
        <v>42</v>
      </c>
      <c r="E826" s="47" t="s">
        <v>45</v>
      </c>
      <c r="F826" s="46">
        <v>555</v>
      </c>
      <c r="G826" s="46">
        <v>25</v>
      </c>
      <c r="H826" s="46">
        <v>145</v>
      </c>
      <c r="I826" s="46">
        <v>160</v>
      </c>
      <c r="J826" s="46">
        <v>35</v>
      </c>
      <c r="K826" s="46">
        <v>30</v>
      </c>
      <c r="L826" s="46">
        <v>165</v>
      </c>
      <c r="M826">
        <f t="shared" si="73"/>
        <v>2.914109535549222E-3</v>
      </c>
      <c r="N826">
        <f t="shared" si="74"/>
        <v>1.6901835306185491E-2</v>
      </c>
      <c r="O826">
        <f t="shared" si="75"/>
        <v>1.8650301027515023E-2</v>
      </c>
      <c r="P826">
        <f t="shared" si="76"/>
        <v>4.0797533497689111E-3</v>
      </c>
      <c r="Q826">
        <f t="shared" si="77"/>
        <v>3.4969314426590665E-3</v>
      </c>
      <c r="R826">
        <f t="shared" si="78"/>
        <v>1.9233122934624865E-2</v>
      </c>
    </row>
    <row r="827" spans="1:18" hidden="1" x14ac:dyDescent="0.25">
      <c r="A827" s="46">
        <v>2020</v>
      </c>
      <c r="B827" s="56">
        <v>361</v>
      </c>
      <c r="C827" s="47" t="s">
        <v>85</v>
      </c>
      <c r="D827" s="47" t="s">
        <v>42</v>
      </c>
      <c r="E827" s="47" t="s">
        <v>46</v>
      </c>
      <c r="F827" s="46">
        <v>1005</v>
      </c>
      <c r="G827" s="46">
        <v>65</v>
      </c>
      <c r="H827" s="46">
        <v>245</v>
      </c>
      <c r="I827" s="46">
        <v>385</v>
      </c>
      <c r="J827" s="46">
        <v>40</v>
      </c>
      <c r="K827" s="46">
        <v>20</v>
      </c>
      <c r="L827" s="46">
        <v>245</v>
      </c>
      <c r="M827">
        <f t="shared" si="73"/>
        <v>7.5766847924279776E-3</v>
      </c>
      <c r="N827">
        <f t="shared" si="74"/>
        <v>2.8558273448382378E-2</v>
      </c>
      <c r="O827">
        <f t="shared" si="75"/>
        <v>4.4877286847458023E-2</v>
      </c>
      <c r="P827">
        <f t="shared" si="76"/>
        <v>4.6625752568787556E-3</v>
      </c>
      <c r="Q827">
        <f t="shared" si="77"/>
        <v>2.3312876284393778E-3</v>
      </c>
      <c r="R827">
        <f t="shared" si="78"/>
        <v>2.8558273448382378E-2</v>
      </c>
    </row>
    <row r="828" spans="1:18" hidden="1" x14ac:dyDescent="0.25">
      <c r="A828" s="46">
        <v>2020</v>
      </c>
      <c r="B828" s="56">
        <v>361</v>
      </c>
      <c r="C828" s="47" t="s">
        <v>85</v>
      </c>
      <c r="D828" s="47" t="s">
        <v>42</v>
      </c>
      <c r="E828" s="47" t="s">
        <v>47</v>
      </c>
      <c r="F828" s="46">
        <v>1190</v>
      </c>
      <c r="G828" s="46">
        <v>70</v>
      </c>
      <c r="H828" s="46">
        <v>250</v>
      </c>
      <c r="I828" s="46">
        <v>410</v>
      </c>
      <c r="J828" s="46">
        <v>165</v>
      </c>
      <c r="K828" s="46">
        <v>65</v>
      </c>
      <c r="L828" s="46">
        <v>230</v>
      </c>
      <c r="M828">
        <f t="shared" si="73"/>
        <v>8.1595066995378222E-3</v>
      </c>
      <c r="N828">
        <f t="shared" si="74"/>
        <v>2.9141095355492221E-2</v>
      </c>
      <c r="O828">
        <f t="shared" si="75"/>
        <v>4.7791396383007244E-2</v>
      </c>
      <c r="P828">
        <f t="shared" si="76"/>
        <v>1.9233122934624865E-2</v>
      </c>
      <c r="Q828">
        <f t="shared" si="77"/>
        <v>7.5766847924279776E-3</v>
      </c>
      <c r="R828">
        <f t="shared" si="78"/>
        <v>2.6809807727052843E-2</v>
      </c>
    </row>
    <row r="829" spans="1:18" hidden="1" x14ac:dyDescent="0.25">
      <c r="A829" s="46">
        <v>2020</v>
      </c>
      <c r="B829" s="56">
        <v>361</v>
      </c>
      <c r="C829" s="47" t="s">
        <v>85</v>
      </c>
      <c r="D829" s="47" t="s">
        <v>42</v>
      </c>
      <c r="E829" s="47" t="s">
        <v>48</v>
      </c>
      <c r="F829" s="46">
        <v>4265</v>
      </c>
      <c r="G829" s="46">
        <v>190</v>
      </c>
      <c r="H829" s="46">
        <v>595</v>
      </c>
      <c r="I829" s="46">
        <v>910</v>
      </c>
      <c r="J829" s="46">
        <v>405</v>
      </c>
      <c r="K829" s="46">
        <v>265</v>
      </c>
      <c r="L829" s="46">
        <v>1890</v>
      </c>
      <c r="M829">
        <f t="shared" si="73"/>
        <v>2.214723247017409E-2</v>
      </c>
      <c r="N829">
        <f t="shared" si="74"/>
        <v>6.9355806946071491E-2</v>
      </c>
      <c r="O829">
        <f t="shared" si="75"/>
        <v>0.10607358709399169</v>
      </c>
      <c r="P829">
        <f t="shared" si="76"/>
        <v>4.7208574475897401E-2</v>
      </c>
      <c r="Q829">
        <f t="shared" si="77"/>
        <v>3.0889561076821757E-2</v>
      </c>
      <c r="R829">
        <f t="shared" si="78"/>
        <v>0.2203066808875212</v>
      </c>
    </row>
    <row r="830" spans="1:18" hidden="1" x14ac:dyDescent="0.25">
      <c r="A830" s="46">
        <v>2020</v>
      </c>
      <c r="B830" s="56">
        <v>361</v>
      </c>
      <c r="C830" s="47" t="s">
        <v>85</v>
      </c>
      <c r="D830" s="47" t="s">
        <v>42</v>
      </c>
      <c r="E830" s="47" t="s">
        <v>49</v>
      </c>
      <c r="F830" s="46">
        <v>1875</v>
      </c>
      <c r="G830" s="46">
        <v>35</v>
      </c>
      <c r="H830" s="46">
        <v>140</v>
      </c>
      <c r="I830" s="46">
        <v>175</v>
      </c>
      <c r="J830" s="46">
        <v>105</v>
      </c>
      <c r="K830" s="46">
        <v>55</v>
      </c>
      <c r="L830" s="46">
        <v>1360</v>
      </c>
      <c r="M830">
        <f t="shared" si="73"/>
        <v>4.0797533497689111E-3</v>
      </c>
      <c r="N830">
        <f t="shared" si="74"/>
        <v>1.6319013399075644E-2</v>
      </c>
      <c r="O830">
        <f t="shared" si="75"/>
        <v>2.0398766748844555E-2</v>
      </c>
      <c r="P830">
        <f t="shared" si="76"/>
        <v>1.2239260049306732E-2</v>
      </c>
      <c r="Q830">
        <f t="shared" si="77"/>
        <v>6.4110409782082893E-3</v>
      </c>
      <c r="R830">
        <f t="shared" si="78"/>
        <v>0.15852755873387769</v>
      </c>
    </row>
    <row r="831" spans="1:18" hidden="1" x14ac:dyDescent="0.25">
      <c r="A831" s="46">
        <v>2020</v>
      </c>
      <c r="B831" s="56">
        <v>361</v>
      </c>
      <c r="C831" s="47" t="s">
        <v>85</v>
      </c>
      <c r="D831" s="47" t="s">
        <v>42</v>
      </c>
      <c r="E831" s="47" t="s">
        <v>50</v>
      </c>
      <c r="F831" s="46">
        <v>815</v>
      </c>
      <c r="G831" s="46">
        <v>0</v>
      </c>
      <c r="H831" s="46">
        <v>20</v>
      </c>
      <c r="I831" s="46">
        <v>25</v>
      </c>
      <c r="J831" s="46">
        <v>15</v>
      </c>
      <c r="K831" s="46">
        <v>10</v>
      </c>
      <c r="L831" s="46">
        <v>740</v>
      </c>
      <c r="M831">
        <f t="shared" si="73"/>
        <v>0</v>
      </c>
      <c r="N831">
        <f t="shared" si="74"/>
        <v>2.3312876284393778E-3</v>
      </c>
      <c r="O831">
        <f t="shared" si="75"/>
        <v>2.914109535549222E-3</v>
      </c>
      <c r="P831">
        <f t="shared" si="76"/>
        <v>1.7484657213295333E-3</v>
      </c>
      <c r="Q831">
        <f t="shared" si="77"/>
        <v>1.1656438142196889E-3</v>
      </c>
      <c r="R831">
        <f t="shared" si="78"/>
        <v>8.6257642252256975E-2</v>
      </c>
    </row>
    <row r="832" spans="1:18" hidden="1" x14ac:dyDescent="0.25">
      <c r="A832" s="46">
        <v>2020</v>
      </c>
      <c r="B832" s="56">
        <v>361</v>
      </c>
      <c r="C832" s="47" t="s">
        <v>85</v>
      </c>
      <c r="D832" s="47" t="s">
        <v>51</v>
      </c>
      <c r="E832" s="47" t="s">
        <v>43</v>
      </c>
      <c r="F832" s="46">
        <v>6165</v>
      </c>
      <c r="G832" s="46">
        <v>305</v>
      </c>
      <c r="H832" s="46">
        <v>1065</v>
      </c>
      <c r="I832" s="46">
        <v>1660</v>
      </c>
      <c r="J832" s="46">
        <v>535</v>
      </c>
      <c r="K832" s="46">
        <v>285</v>
      </c>
      <c r="L832" s="46">
        <v>2315</v>
      </c>
      <c r="M832">
        <f t="shared" si="73"/>
        <v>3.555213633370051E-2</v>
      </c>
      <c r="N832">
        <f t="shared" si="74"/>
        <v>0.12414106621439687</v>
      </c>
      <c r="O832">
        <f t="shared" si="75"/>
        <v>0.19349687316046835</v>
      </c>
      <c r="P832">
        <f t="shared" si="76"/>
        <v>6.2361944060753356E-2</v>
      </c>
      <c r="Q832">
        <f t="shared" si="77"/>
        <v>3.3220848705261131E-2</v>
      </c>
      <c r="R832">
        <f t="shared" si="78"/>
        <v>0.26984654299185795</v>
      </c>
    </row>
    <row r="833" spans="1:18" hidden="1" x14ac:dyDescent="0.25">
      <c r="A833" s="46">
        <v>2020</v>
      </c>
      <c r="B833" s="56">
        <v>361</v>
      </c>
      <c r="C833" s="47" t="s">
        <v>85</v>
      </c>
      <c r="D833" s="47" t="s">
        <v>51</v>
      </c>
      <c r="E833" s="47" t="s">
        <v>44</v>
      </c>
      <c r="F833" s="46">
        <v>885</v>
      </c>
      <c r="G833" s="46">
        <v>75</v>
      </c>
      <c r="H833" s="46">
        <v>320</v>
      </c>
      <c r="I833" s="46">
        <v>300</v>
      </c>
      <c r="J833" s="46">
        <v>80</v>
      </c>
      <c r="K833" s="46">
        <v>45</v>
      </c>
      <c r="L833" s="46">
        <v>65</v>
      </c>
      <c r="M833">
        <f t="shared" si="73"/>
        <v>8.7423286066476667E-3</v>
      </c>
      <c r="N833">
        <f t="shared" si="74"/>
        <v>3.7300602055030045E-2</v>
      </c>
      <c r="O833">
        <f t="shared" si="75"/>
        <v>3.4969314426590667E-2</v>
      </c>
      <c r="P833">
        <f t="shared" si="76"/>
        <v>9.3251505137575113E-3</v>
      </c>
      <c r="Q833">
        <f t="shared" si="77"/>
        <v>5.2453971639886002E-3</v>
      </c>
      <c r="R833">
        <f t="shared" si="78"/>
        <v>7.5766847924279776E-3</v>
      </c>
    </row>
    <row r="834" spans="1:18" hidden="1" x14ac:dyDescent="0.25">
      <c r="A834" s="46">
        <v>2020</v>
      </c>
      <c r="B834" s="56">
        <v>361</v>
      </c>
      <c r="C834" s="47" t="s">
        <v>85</v>
      </c>
      <c r="D834" s="47" t="s">
        <v>51</v>
      </c>
      <c r="E834" s="47" t="s">
        <v>45</v>
      </c>
      <c r="F834" s="46">
        <v>295</v>
      </c>
      <c r="G834" s="46">
        <v>15</v>
      </c>
      <c r="H834" s="46">
        <v>75</v>
      </c>
      <c r="I834" s="46">
        <v>95</v>
      </c>
      <c r="J834" s="46">
        <v>20</v>
      </c>
      <c r="K834" s="46">
        <v>15</v>
      </c>
      <c r="L834" s="46">
        <v>75</v>
      </c>
      <c r="M834">
        <f t="shared" si="73"/>
        <v>1.7484657213295333E-3</v>
      </c>
      <c r="N834">
        <f t="shared" si="74"/>
        <v>8.7423286066476667E-3</v>
      </c>
      <c r="O834">
        <f t="shared" si="75"/>
        <v>1.1073616235087045E-2</v>
      </c>
      <c r="P834">
        <f t="shared" si="76"/>
        <v>2.3312876284393778E-3</v>
      </c>
      <c r="Q834">
        <f t="shared" si="77"/>
        <v>1.7484657213295333E-3</v>
      </c>
      <c r="R834">
        <f t="shared" si="78"/>
        <v>8.7423286066476667E-3</v>
      </c>
    </row>
    <row r="835" spans="1:18" hidden="1" x14ac:dyDescent="0.25">
      <c r="A835" s="46">
        <v>2020</v>
      </c>
      <c r="B835" s="56">
        <v>361</v>
      </c>
      <c r="C835" s="47" t="s">
        <v>85</v>
      </c>
      <c r="D835" s="47" t="s">
        <v>51</v>
      </c>
      <c r="E835" s="47" t="s">
        <v>46</v>
      </c>
      <c r="F835" s="46">
        <v>580</v>
      </c>
      <c r="G835" s="46">
        <v>25</v>
      </c>
      <c r="H835" s="46">
        <v>120</v>
      </c>
      <c r="I835" s="46">
        <v>280</v>
      </c>
      <c r="J835" s="46">
        <v>20</v>
      </c>
      <c r="K835" s="46">
        <v>10</v>
      </c>
      <c r="L835" s="46">
        <v>120</v>
      </c>
      <c r="M835">
        <f t="shared" si="73"/>
        <v>2.914109535549222E-3</v>
      </c>
      <c r="N835">
        <f t="shared" si="74"/>
        <v>1.3987725770636266E-2</v>
      </c>
      <c r="O835">
        <f t="shared" si="75"/>
        <v>3.2638026798151289E-2</v>
      </c>
      <c r="P835">
        <f t="shared" si="76"/>
        <v>2.3312876284393778E-3</v>
      </c>
      <c r="Q835">
        <f t="shared" si="77"/>
        <v>1.1656438142196889E-3</v>
      </c>
      <c r="R835">
        <f t="shared" si="78"/>
        <v>1.3987725770636266E-2</v>
      </c>
    </row>
    <row r="836" spans="1:18" hidden="1" x14ac:dyDescent="0.25">
      <c r="A836" s="46">
        <v>2020</v>
      </c>
      <c r="B836" s="56">
        <v>361</v>
      </c>
      <c r="C836" s="47" t="s">
        <v>85</v>
      </c>
      <c r="D836" s="47" t="s">
        <v>51</v>
      </c>
      <c r="E836" s="47" t="s">
        <v>47</v>
      </c>
      <c r="F836" s="46">
        <v>710</v>
      </c>
      <c r="G836" s="46">
        <v>35</v>
      </c>
      <c r="H836" s="46">
        <v>135</v>
      </c>
      <c r="I836" s="46">
        <v>280</v>
      </c>
      <c r="J836" s="46">
        <v>95</v>
      </c>
      <c r="K836" s="46">
        <v>35</v>
      </c>
      <c r="L836" s="46">
        <v>130</v>
      </c>
      <c r="M836">
        <f t="shared" si="73"/>
        <v>4.0797533497689111E-3</v>
      </c>
      <c r="N836">
        <f t="shared" si="74"/>
        <v>1.5736191491965801E-2</v>
      </c>
      <c r="O836">
        <f t="shared" si="75"/>
        <v>3.2638026798151289E-2</v>
      </c>
      <c r="P836">
        <f t="shared" si="76"/>
        <v>1.1073616235087045E-2</v>
      </c>
      <c r="Q836">
        <f t="shared" si="77"/>
        <v>4.0797533497689111E-3</v>
      </c>
      <c r="R836">
        <f t="shared" si="78"/>
        <v>1.5153369584855955E-2</v>
      </c>
    </row>
    <row r="837" spans="1:18" hidden="1" x14ac:dyDescent="0.25">
      <c r="A837" s="46">
        <v>2020</v>
      </c>
      <c r="B837" s="56">
        <v>361</v>
      </c>
      <c r="C837" s="47" t="s">
        <v>85</v>
      </c>
      <c r="D837" s="47" t="s">
        <v>51</v>
      </c>
      <c r="E837" s="47" t="s">
        <v>48</v>
      </c>
      <c r="F837" s="46">
        <v>2340</v>
      </c>
      <c r="G837" s="46">
        <v>125</v>
      </c>
      <c r="H837" s="46">
        <v>320</v>
      </c>
      <c r="I837" s="46">
        <v>590</v>
      </c>
      <c r="J837" s="46">
        <v>255</v>
      </c>
      <c r="K837" s="46">
        <v>140</v>
      </c>
      <c r="L837" s="46">
        <v>905</v>
      </c>
      <c r="M837">
        <f t="shared" si="73"/>
        <v>1.4570547677746111E-2</v>
      </c>
      <c r="N837">
        <f t="shared" si="74"/>
        <v>3.7300602055030045E-2</v>
      </c>
      <c r="O837">
        <f t="shared" si="75"/>
        <v>6.8772985038961648E-2</v>
      </c>
      <c r="P837">
        <f t="shared" si="76"/>
        <v>2.9723917262602068E-2</v>
      </c>
      <c r="Q837">
        <f t="shared" si="77"/>
        <v>1.6319013399075644E-2</v>
      </c>
      <c r="R837">
        <f t="shared" si="78"/>
        <v>0.10549076518688183</v>
      </c>
    </row>
    <row r="838" spans="1:18" hidden="1" x14ac:dyDescent="0.25">
      <c r="A838" s="46">
        <v>2020</v>
      </c>
      <c r="B838" s="56">
        <v>361</v>
      </c>
      <c r="C838" s="47" t="s">
        <v>85</v>
      </c>
      <c r="D838" s="47" t="s">
        <v>51</v>
      </c>
      <c r="E838" s="47" t="s">
        <v>49</v>
      </c>
      <c r="F838" s="46">
        <v>965</v>
      </c>
      <c r="G838" s="46">
        <v>25</v>
      </c>
      <c r="H838" s="46">
        <v>80</v>
      </c>
      <c r="I838" s="46">
        <v>95</v>
      </c>
      <c r="J838" s="46">
        <v>60</v>
      </c>
      <c r="K838" s="46">
        <v>30</v>
      </c>
      <c r="L838" s="46">
        <v>670</v>
      </c>
      <c r="M838">
        <f t="shared" si="73"/>
        <v>2.914109535549222E-3</v>
      </c>
      <c r="N838">
        <f t="shared" si="74"/>
        <v>9.3251505137575113E-3</v>
      </c>
      <c r="O838">
        <f t="shared" si="75"/>
        <v>1.1073616235087045E-2</v>
      </c>
      <c r="P838">
        <f t="shared" si="76"/>
        <v>6.993862885318133E-3</v>
      </c>
      <c r="Q838">
        <f t="shared" si="77"/>
        <v>3.4969314426590665E-3</v>
      </c>
      <c r="R838">
        <f t="shared" si="78"/>
        <v>7.8098135552719161E-2</v>
      </c>
    </row>
    <row r="839" spans="1:18" hidden="1" x14ac:dyDescent="0.25">
      <c r="A839" s="46">
        <v>2020</v>
      </c>
      <c r="B839" s="56">
        <v>361</v>
      </c>
      <c r="C839" s="47" t="s">
        <v>85</v>
      </c>
      <c r="D839" s="47" t="s">
        <v>51</v>
      </c>
      <c r="E839" s="47" t="s">
        <v>50</v>
      </c>
      <c r="F839" s="46">
        <v>385</v>
      </c>
      <c r="G839" s="46">
        <v>0</v>
      </c>
      <c r="H839" s="46">
        <v>10</v>
      </c>
      <c r="I839" s="46">
        <v>15</v>
      </c>
      <c r="J839" s="46">
        <v>5</v>
      </c>
      <c r="K839" s="46">
        <v>5</v>
      </c>
      <c r="L839" s="46">
        <v>350</v>
      </c>
      <c r="M839">
        <f t="shared" si="73"/>
        <v>0</v>
      </c>
      <c r="N839">
        <f t="shared" si="74"/>
        <v>1.1656438142196889E-3</v>
      </c>
      <c r="O839">
        <f t="shared" si="75"/>
        <v>1.7484657213295333E-3</v>
      </c>
      <c r="P839">
        <f t="shared" si="76"/>
        <v>5.8282190710984446E-4</v>
      </c>
      <c r="Q839">
        <f t="shared" si="77"/>
        <v>5.8282190710984446E-4</v>
      </c>
      <c r="R839">
        <f t="shared" si="78"/>
        <v>4.0797533497689109E-2</v>
      </c>
    </row>
    <row r="840" spans="1:18" hidden="1" x14ac:dyDescent="0.25">
      <c r="A840" s="46">
        <v>2020</v>
      </c>
      <c r="B840" s="56">
        <v>361</v>
      </c>
      <c r="C840" s="47" t="s">
        <v>85</v>
      </c>
      <c r="D840" s="47" t="s">
        <v>52</v>
      </c>
      <c r="E840" s="47" t="s">
        <v>43</v>
      </c>
      <c r="F840" s="46">
        <v>5300</v>
      </c>
      <c r="G840" s="46">
        <v>235</v>
      </c>
      <c r="H840" s="46">
        <v>970</v>
      </c>
      <c r="I840" s="46">
        <v>1005</v>
      </c>
      <c r="J840" s="46">
        <v>380</v>
      </c>
      <c r="K840" s="46">
        <v>255</v>
      </c>
      <c r="L840" s="46">
        <v>2455</v>
      </c>
      <c r="M840">
        <f t="shared" si="73"/>
        <v>2.7392629634162689E-2</v>
      </c>
      <c r="N840">
        <f t="shared" si="74"/>
        <v>0.11306744997930983</v>
      </c>
      <c r="O840">
        <f t="shared" si="75"/>
        <v>0.11714720332907873</v>
      </c>
      <c r="P840">
        <f t="shared" si="76"/>
        <v>4.429446494034818E-2</v>
      </c>
      <c r="Q840">
        <f t="shared" si="77"/>
        <v>2.9723917262602068E-2</v>
      </c>
      <c r="R840">
        <f t="shared" si="78"/>
        <v>0.28616555639093361</v>
      </c>
    </row>
    <row r="841" spans="1:18" hidden="1" x14ac:dyDescent="0.25">
      <c r="A841" s="46">
        <v>2020</v>
      </c>
      <c r="B841" s="56">
        <v>361</v>
      </c>
      <c r="C841" s="47" t="s">
        <v>85</v>
      </c>
      <c r="D841" s="47" t="s">
        <v>52</v>
      </c>
      <c r="E841" s="47" t="s">
        <v>44</v>
      </c>
      <c r="F841" s="46">
        <v>875</v>
      </c>
      <c r="G841" s="46">
        <v>75</v>
      </c>
      <c r="H841" s="46">
        <v>320</v>
      </c>
      <c r="I841" s="46">
        <v>305</v>
      </c>
      <c r="J841" s="46">
        <v>70</v>
      </c>
      <c r="K841" s="46">
        <v>40</v>
      </c>
      <c r="L841" s="46">
        <v>70</v>
      </c>
      <c r="M841">
        <f t="shared" ref="M841:M904" si="79">G841/$F$8*100</f>
        <v>8.7423286066476667E-3</v>
      </c>
      <c r="N841">
        <f t="shared" ref="N841:N904" si="80">H841/$F$8*100</f>
        <v>3.7300602055030045E-2</v>
      </c>
      <c r="O841">
        <f t="shared" ref="O841:O904" si="81">I841/$F$8*100</f>
        <v>3.555213633370051E-2</v>
      </c>
      <c r="P841">
        <f t="shared" ref="P841:P904" si="82">J841/$F$8*100</f>
        <v>8.1595066995378222E-3</v>
      </c>
      <c r="Q841">
        <f t="shared" ref="Q841:Q904" si="83">K841/$F$8*100</f>
        <v>4.6625752568787556E-3</v>
      </c>
      <c r="R841">
        <f t="shared" ref="R841:R904" si="84">L841/$F$8*100</f>
        <v>8.1595066995378222E-3</v>
      </c>
    </row>
    <row r="842" spans="1:18" hidden="1" x14ac:dyDescent="0.25">
      <c r="A842" s="46">
        <v>2020</v>
      </c>
      <c r="B842" s="56">
        <v>361</v>
      </c>
      <c r="C842" s="47" t="s">
        <v>85</v>
      </c>
      <c r="D842" s="47" t="s">
        <v>52</v>
      </c>
      <c r="E842" s="47" t="s">
        <v>45</v>
      </c>
      <c r="F842" s="46">
        <v>260</v>
      </c>
      <c r="G842" s="46">
        <v>10</v>
      </c>
      <c r="H842" s="46">
        <v>70</v>
      </c>
      <c r="I842" s="46">
        <v>65</v>
      </c>
      <c r="J842" s="46">
        <v>15</v>
      </c>
      <c r="K842" s="46">
        <v>15</v>
      </c>
      <c r="L842" s="46">
        <v>90</v>
      </c>
      <c r="M842">
        <f t="shared" si="79"/>
        <v>1.1656438142196889E-3</v>
      </c>
      <c r="N842">
        <f t="shared" si="80"/>
        <v>8.1595066995378222E-3</v>
      </c>
      <c r="O842">
        <f t="shared" si="81"/>
        <v>7.5766847924279776E-3</v>
      </c>
      <c r="P842">
        <f t="shared" si="82"/>
        <v>1.7484657213295333E-3</v>
      </c>
      <c r="Q842">
        <f t="shared" si="83"/>
        <v>1.7484657213295333E-3</v>
      </c>
      <c r="R842">
        <f t="shared" si="84"/>
        <v>1.04907943279772E-2</v>
      </c>
    </row>
    <row r="843" spans="1:18" hidden="1" x14ac:dyDescent="0.25">
      <c r="A843" s="46">
        <v>2020</v>
      </c>
      <c r="B843" s="56">
        <v>361</v>
      </c>
      <c r="C843" s="47" t="s">
        <v>85</v>
      </c>
      <c r="D843" s="47" t="s">
        <v>52</v>
      </c>
      <c r="E843" s="47" t="s">
        <v>46</v>
      </c>
      <c r="F843" s="46">
        <v>425</v>
      </c>
      <c r="G843" s="46">
        <v>40</v>
      </c>
      <c r="H843" s="46">
        <v>125</v>
      </c>
      <c r="I843" s="46">
        <v>105</v>
      </c>
      <c r="J843" s="46">
        <v>20</v>
      </c>
      <c r="K843" s="46">
        <v>10</v>
      </c>
      <c r="L843" s="46">
        <v>125</v>
      </c>
      <c r="M843">
        <f t="shared" si="79"/>
        <v>4.6625752568787556E-3</v>
      </c>
      <c r="N843">
        <f t="shared" si="80"/>
        <v>1.4570547677746111E-2</v>
      </c>
      <c r="O843">
        <f t="shared" si="81"/>
        <v>1.2239260049306732E-2</v>
      </c>
      <c r="P843">
        <f t="shared" si="82"/>
        <v>2.3312876284393778E-3</v>
      </c>
      <c r="Q843">
        <f t="shared" si="83"/>
        <v>1.1656438142196889E-3</v>
      </c>
      <c r="R843">
        <f t="shared" si="84"/>
        <v>1.4570547677746111E-2</v>
      </c>
    </row>
    <row r="844" spans="1:18" hidden="1" x14ac:dyDescent="0.25">
      <c r="A844" s="46">
        <v>2020</v>
      </c>
      <c r="B844" s="56">
        <v>361</v>
      </c>
      <c r="C844" s="47" t="s">
        <v>85</v>
      </c>
      <c r="D844" s="47" t="s">
        <v>52</v>
      </c>
      <c r="E844" s="47" t="s">
        <v>47</v>
      </c>
      <c r="F844" s="46">
        <v>475</v>
      </c>
      <c r="G844" s="46">
        <v>35</v>
      </c>
      <c r="H844" s="46">
        <v>115</v>
      </c>
      <c r="I844" s="46">
        <v>130</v>
      </c>
      <c r="J844" s="46">
        <v>70</v>
      </c>
      <c r="K844" s="46">
        <v>30</v>
      </c>
      <c r="L844" s="46">
        <v>105</v>
      </c>
      <c r="M844">
        <f t="shared" si="79"/>
        <v>4.0797533497689111E-3</v>
      </c>
      <c r="N844">
        <f t="shared" si="80"/>
        <v>1.3404903863526422E-2</v>
      </c>
      <c r="O844">
        <f t="shared" si="81"/>
        <v>1.5153369584855955E-2</v>
      </c>
      <c r="P844">
        <f t="shared" si="82"/>
        <v>8.1595066995378222E-3</v>
      </c>
      <c r="Q844">
        <f t="shared" si="83"/>
        <v>3.4969314426590665E-3</v>
      </c>
      <c r="R844">
        <f t="shared" si="84"/>
        <v>1.2239260049306732E-2</v>
      </c>
    </row>
    <row r="845" spans="1:18" hidden="1" x14ac:dyDescent="0.25">
      <c r="A845" s="46">
        <v>2020</v>
      </c>
      <c r="B845" s="56">
        <v>361</v>
      </c>
      <c r="C845" s="47" t="s">
        <v>85</v>
      </c>
      <c r="D845" s="47" t="s">
        <v>52</v>
      </c>
      <c r="E845" s="47" t="s">
        <v>48</v>
      </c>
      <c r="F845" s="46">
        <v>1925</v>
      </c>
      <c r="G845" s="46">
        <v>65</v>
      </c>
      <c r="H845" s="46">
        <v>275</v>
      </c>
      <c r="I845" s="46">
        <v>320</v>
      </c>
      <c r="J845" s="46">
        <v>150</v>
      </c>
      <c r="K845" s="46">
        <v>130</v>
      </c>
      <c r="L845" s="46">
        <v>990</v>
      </c>
      <c r="M845">
        <f t="shared" si="79"/>
        <v>7.5766847924279776E-3</v>
      </c>
      <c r="N845">
        <f t="shared" si="80"/>
        <v>3.2055204891041446E-2</v>
      </c>
      <c r="O845">
        <f t="shared" si="81"/>
        <v>3.7300602055030045E-2</v>
      </c>
      <c r="P845">
        <f t="shared" si="82"/>
        <v>1.7484657213295333E-2</v>
      </c>
      <c r="Q845">
        <f t="shared" si="83"/>
        <v>1.5153369584855955E-2</v>
      </c>
      <c r="R845">
        <f t="shared" si="84"/>
        <v>0.1153987376077492</v>
      </c>
    </row>
    <row r="846" spans="1:18" hidden="1" x14ac:dyDescent="0.25">
      <c r="A846" s="46">
        <v>2020</v>
      </c>
      <c r="B846" s="56">
        <v>361</v>
      </c>
      <c r="C846" s="47" t="s">
        <v>85</v>
      </c>
      <c r="D846" s="47" t="s">
        <v>52</v>
      </c>
      <c r="E846" s="47" t="s">
        <v>49</v>
      </c>
      <c r="F846" s="46">
        <v>910</v>
      </c>
      <c r="G846" s="46">
        <v>10</v>
      </c>
      <c r="H846" s="46">
        <v>60</v>
      </c>
      <c r="I846" s="46">
        <v>80</v>
      </c>
      <c r="J846" s="46">
        <v>40</v>
      </c>
      <c r="K846" s="46">
        <v>25</v>
      </c>
      <c r="L846" s="46">
        <v>690</v>
      </c>
      <c r="M846">
        <f t="shared" si="79"/>
        <v>1.1656438142196889E-3</v>
      </c>
      <c r="N846">
        <f t="shared" si="80"/>
        <v>6.993862885318133E-3</v>
      </c>
      <c r="O846">
        <f t="shared" si="81"/>
        <v>9.3251505137575113E-3</v>
      </c>
      <c r="P846">
        <f t="shared" si="82"/>
        <v>4.6625752568787556E-3</v>
      </c>
      <c r="Q846">
        <f t="shared" si="83"/>
        <v>2.914109535549222E-3</v>
      </c>
      <c r="R846">
        <f t="shared" si="84"/>
        <v>8.0429423181158533E-2</v>
      </c>
    </row>
    <row r="847" spans="1:18" hidden="1" x14ac:dyDescent="0.25">
      <c r="A847" s="46">
        <v>2020</v>
      </c>
      <c r="B847" s="56">
        <v>361</v>
      </c>
      <c r="C847" s="47" t="s">
        <v>85</v>
      </c>
      <c r="D847" s="47" t="s">
        <v>52</v>
      </c>
      <c r="E847" s="47" t="s">
        <v>50</v>
      </c>
      <c r="F847" s="46">
        <v>430</v>
      </c>
      <c r="G847" s="46">
        <v>0</v>
      </c>
      <c r="H847" s="46">
        <v>10</v>
      </c>
      <c r="I847" s="46">
        <v>10</v>
      </c>
      <c r="J847" s="46">
        <v>10</v>
      </c>
      <c r="K847" s="46">
        <v>5</v>
      </c>
      <c r="L847" s="46">
        <v>390</v>
      </c>
      <c r="M847">
        <f t="shared" si="79"/>
        <v>0</v>
      </c>
      <c r="N847">
        <f t="shared" si="80"/>
        <v>1.1656438142196889E-3</v>
      </c>
      <c r="O847">
        <f t="shared" si="81"/>
        <v>1.1656438142196889E-3</v>
      </c>
      <c r="P847">
        <f t="shared" si="82"/>
        <v>1.1656438142196889E-3</v>
      </c>
      <c r="Q847">
        <f t="shared" si="83"/>
        <v>5.8282190710984446E-4</v>
      </c>
      <c r="R847">
        <f t="shared" si="84"/>
        <v>4.5460108754567866E-2</v>
      </c>
    </row>
    <row r="848" spans="1:18" x14ac:dyDescent="0.25">
      <c r="A848" s="46">
        <v>2020</v>
      </c>
      <c r="B848" s="56">
        <v>4</v>
      </c>
      <c r="C848" s="47" t="s">
        <v>86</v>
      </c>
      <c r="D848" s="47" t="s">
        <v>42</v>
      </c>
      <c r="E848" s="47" t="s">
        <v>43</v>
      </c>
      <c r="F848" s="46">
        <v>277435</v>
      </c>
      <c r="G848" s="46">
        <v>18710</v>
      </c>
      <c r="H848" s="46">
        <v>61580</v>
      </c>
      <c r="I848" s="46">
        <v>60765</v>
      </c>
      <c r="J848" s="46">
        <v>27710</v>
      </c>
      <c r="K848" s="46">
        <v>16755</v>
      </c>
      <c r="L848" s="46">
        <v>91920</v>
      </c>
      <c r="M848">
        <f t="shared" si="79"/>
        <v>2.1809195764050378</v>
      </c>
      <c r="N848">
        <f t="shared" si="80"/>
        <v>7.1780346079648432</v>
      </c>
      <c r="O848">
        <f t="shared" si="81"/>
        <v>7.0830346371059392</v>
      </c>
      <c r="P848">
        <f t="shared" si="82"/>
        <v>3.229999009202758</v>
      </c>
      <c r="Q848">
        <f t="shared" si="83"/>
        <v>1.9530362107250887</v>
      </c>
      <c r="R848">
        <f t="shared" si="84"/>
        <v>10.71459794030738</v>
      </c>
    </row>
    <row r="849" spans="1:18" hidden="1" x14ac:dyDescent="0.25">
      <c r="A849" s="46">
        <v>2020</v>
      </c>
      <c r="B849" s="56">
        <v>4</v>
      </c>
      <c r="C849" s="47" t="s">
        <v>86</v>
      </c>
      <c r="D849" s="47" t="s">
        <v>42</v>
      </c>
      <c r="E849" s="47" t="s">
        <v>44</v>
      </c>
      <c r="F849" s="46">
        <v>46545</v>
      </c>
      <c r="G849" s="46">
        <v>5160</v>
      </c>
      <c r="H849" s="46">
        <v>17345</v>
      </c>
      <c r="I849" s="46">
        <v>14480</v>
      </c>
      <c r="J849" s="46">
        <v>4695</v>
      </c>
      <c r="K849" s="46">
        <v>2115</v>
      </c>
      <c r="L849" s="46">
        <v>2750</v>
      </c>
      <c r="M849">
        <f t="shared" si="79"/>
        <v>0.60147220813735947</v>
      </c>
      <c r="N849">
        <f t="shared" si="80"/>
        <v>2.02180919576405</v>
      </c>
      <c r="O849">
        <f t="shared" si="81"/>
        <v>1.6878522429901093</v>
      </c>
      <c r="P849">
        <f t="shared" si="82"/>
        <v>0.54726977077614392</v>
      </c>
      <c r="Q849">
        <f t="shared" si="83"/>
        <v>0.24653366670746418</v>
      </c>
      <c r="R849">
        <f t="shared" si="84"/>
        <v>0.32055204891041444</v>
      </c>
    </row>
    <row r="850" spans="1:18" hidden="1" x14ac:dyDescent="0.25">
      <c r="A850" s="46">
        <v>2020</v>
      </c>
      <c r="B850" s="56">
        <v>4</v>
      </c>
      <c r="C850" s="47" t="s">
        <v>86</v>
      </c>
      <c r="D850" s="47" t="s">
        <v>42</v>
      </c>
      <c r="E850" s="47" t="s">
        <v>45</v>
      </c>
      <c r="F850" s="46">
        <v>13665</v>
      </c>
      <c r="G850" s="46">
        <v>1330</v>
      </c>
      <c r="H850" s="46">
        <v>3140</v>
      </c>
      <c r="I850" s="46">
        <v>4095</v>
      </c>
      <c r="J850" s="46">
        <v>1270</v>
      </c>
      <c r="K850" s="46">
        <v>670</v>
      </c>
      <c r="L850" s="46">
        <v>3160</v>
      </c>
      <c r="M850">
        <f t="shared" si="79"/>
        <v>0.15503062729121861</v>
      </c>
      <c r="N850">
        <f t="shared" si="80"/>
        <v>0.3660121576649823</v>
      </c>
      <c r="O850">
        <f t="shared" si="81"/>
        <v>0.47733114192296267</v>
      </c>
      <c r="P850">
        <f t="shared" si="82"/>
        <v>0.1480367644059005</v>
      </c>
      <c r="Q850">
        <f t="shared" si="83"/>
        <v>7.8098135552719161E-2</v>
      </c>
      <c r="R850">
        <f t="shared" si="84"/>
        <v>0.36834344529342167</v>
      </c>
    </row>
    <row r="851" spans="1:18" hidden="1" x14ac:dyDescent="0.25">
      <c r="A851" s="46">
        <v>2020</v>
      </c>
      <c r="B851" s="56">
        <v>4</v>
      </c>
      <c r="C851" s="47" t="s">
        <v>86</v>
      </c>
      <c r="D851" s="47" t="s">
        <v>42</v>
      </c>
      <c r="E851" s="47" t="s">
        <v>46</v>
      </c>
      <c r="F851" s="46">
        <v>23135</v>
      </c>
      <c r="G851" s="46">
        <v>2775</v>
      </c>
      <c r="H851" s="46">
        <v>7735</v>
      </c>
      <c r="I851" s="46">
        <v>6675</v>
      </c>
      <c r="J851" s="46">
        <v>1310</v>
      </c>
      <c r="K851" s="46">
        <v>570</v>
      </c>
      <c r="L851" s="46">
        <v>4070</v>
      </c>
      <c r="M851">
        <f t="shared" si="79"/>
        <v>0.32346615844596366</v>
      </c>
      <c r="N851">
        <f t="shared" si="80"/>
        <v>0.90162549029892936</v>
      </c>
      <c r="O851">
        <f t="shared" si="81"/>
        <v>0.77806724599164234</v>
      </c>
      <c r="P851">
        <f t="shared" si="82"/>
        <v>0.15269933966277924</v>
      </c>
      <c r="Q851">
        <f t="shared" si="83"/>
        <v>6.6441697410522263E-2</v>
      </c>
      <c r="R851">
        <f t="shared" si="84"/>
        <v>0.4744170323874134</v>
      </c>
    </row>
    <row r="852" spans="1:18" hidden="1" x14ac:dyDescent="0.25">
      <c r="A852" s="46">
        <v>2020</v>
      </c>
      <c r="B852" s="56">
        <v>4</v>
      </c>
      <c r="C852" s="47" t="s">
        <v>86</v>
      </c>
      <c r="D852" s="47" t="s">
        <v>42</v>
      </c>
      <c r="E852" s="47" t="s">
        <v>47</v>
      </c>
      <c r="F852" s="46">
        <v>28470</v>
      </c>
      <c r="G852" s="46">
        <v>2290</v>
      </c>
      <c r="H852" s="46">
        <v>8115</v>
      </c>
      <c r="I852" s="46">
        <v>8595</v>
      </c>
      <c r="J852" s="46">
        <v>3870</v>
      </c>
      <c r="K852" s="46">
        <v>1520</v>
      </c>
      <c r="L852" s="46">
        <v>4085</v>
      </c>
      <c r="M852">
        <f t="shared" si="79"/>
        <v>0.26693243345630874</v>
      </c>
      <c r="N852">
        <f t="shared" si="80"/>
        <v>0.94591995523927752</v>
      </c>
      <c r="O852">
        <f t="shared" si="81"/>
        <v>1.0018708583218228</v>
      </c>
      <c r="P852">
        <f t="shared" si="82"/>
        <v>0.45110415610301957</v>
      </c>
      <c r="Q852">
        <f t="shared" si="83"/>
        <v>0.17717785976139272</v>
      </c>
      <c r="R852">
        <f t="shared" si="84"/>
        <v>0.47616549810874287</v>
      </c>
    </row>
    <row r="853" spans="1:18" hidden="1" x14ac:dyDescent="0.25">
      <c r="A853" s="46">
        <v>2020</v>
      </c>
      <c r="B853" s="56">
        <v>4</v>
      </c>
      <c r="C853" s="47" t="s">
        <v>86</v>
      </c>
      <c r="D853" s="47" t="s">
        <v>42</v>
      </c>
      <c r="E853" s="47" t="s">
        <v>48</v>
      </c>
      <c r="F853" s="46">
        <v>104265</v>
      </c>
      <c r="G853" s="46">
        <v>5650</v>
      </c>
      <c r="H853" s="46">
        <v>19765</v>
      </c>
      <c r="I853" s="46">
        <v>21555</v>
      </c>
      <c r="J853" s="46">
        <v>12810</v>
      </c>
      <c r="K853" s="46">
        <v>8730</v>
      </c>
      <c r="L853" s="46">
        <v>35755</v>
      </c>
      <c r="M853">
        <f t="shared" si="79"/>
        <v>0.65858875503412428</v>
      </c>
      <c r="N853">
        <f t="shared" si="80"/>
        <v>2.3038949988052151</v>
      </c>
      <c r="O853">
        <f t="shared" si="81"/>
        <v>2.5125452415505394</v>
      </c>
      <c r="P853">
        <f t="shared" si="82"/>
        <v>1.4931897260154214</v>
      </c>
      <c r="Q853">
        <f t="shared" si="83"/>
        <v>1.0176070498137884</v>
      </c>
      <c r="R853">
        <f t="shared" si="84"/>
        <v>4.1677594577424975</v>
      </c>
    </row>
    <row r="854" spans="1:18" hidden="1" x14ac:dyDescent="0.25">
      <c r="A854" s="46">
        <v>2020</v>
      </c>
      <c r="B854" s="56">
        <v>4</v>
      </c>
      <c r="C854" s="47" t="s">
        <v>86</v>
      </c>
      <c r="D854" s="47" t="s">
        <v>42</v>
      </c>
      <c r="E854" s="47" t="s">
        <v>49</v>
      </c>
      <c r="F854" s="46">
        <v>42450</v>
      </c>
      <c r="G854" s="46">
        <v>1310</v>
      </c>
      <c r="H854" s="46">
        <v>4740</v>
      </c>
      <c r="I854" s="46">
        <v>4535</v>
      </c>
      <c r="J854" s="46">
        <v>3130</v>
      </c>
      <c r="K854" s="46">
        <v>2560</v>
      </c>
      <c r="L854" s="46">
        <v>26180</v>
      </c>
      <c r="M854">
        <f t="shared" si="79"/>
        <v>0.15269933966277924</v>
      </c>
      <c r="N854">
        <f t="shared" si="80"/>
        <v>0.55251516794013245</v>
      </c>
      <c r="O854">
        <f t="shared" si="81"/>
        <v>0.52861946974862895</v>
      </c>
      <c r="P854">
        <f t="shared" si="82"/>
        <v>0.36484651385076267</v>
      </c>
      <c r="Q854">
        <f t="shared" si="83"/>
        <v>0.29840481644024036</v>
      </c>
      <c r="R854">
        <f t="shared" si="84"/>
        <v>3.0516555056271453</v>
      </c>
    </row>
    <row r="855" spans="1:18" hidden="1" x14ac:dyDescent="0.25">
      <c r="A855" s="46">
        <v>2020</v>
      </c>
      <c r="B855" s="56">
        <v>4</v>
      </c>
      <c r="C855" s="47" t="s">
        <v>86</v>
      </c>
      <c r="D855" s="47" t="s">
        <v>42</v>
      </c>
      <c r="E855" s="47" t="s">
        <v>50</v>
      </c>
      <c r="F855" s="46">
        <v>18905</v>
      </c>
      <c r="G855" s="46">
        <v>195</v>
      </c>
      <c r="H855" s="46">
        <v>745</v>
      </c>
      <c r="I855" s="46">
        <v>830</v>
      </c>
      <c r="J855" s="46">
        <v>630</v>
      </c>
      <c r="K855" s="46">
        <v>585</v>
      </c>
      <c r="L855" s="46">
        <v>15920</v>
      </c>
      <c r="M855">
        <f t="shared" si="79"/>
        <v>2.2730054377283933E-2</v>
      </c>
      <c r="N855">
        <f t="shared" si="80"/>
        <v>8.6840464159366818E-2</v>
      </c>
      <c r="O855">
        <f t="shared" si="81"/>
        <v>9.6748436580234173E-2</v>
      </c>
      <c r="P855">
        <f t="shared" si="82"/>
        <v>7.3435560295840405E-2</v>
      </c>
      <c r="Q855">
        <f t="shared" si="83"/>
        <v>6.8190163131851805E-2</v>
      </c>
      <c r="R855">
        <f t="shared" si="84"/>
        <v>1.8557049522377447</v>
      </c>
    </row>
    <row r="856" spans="1:18" hidden="1" x14ac:dyDescent="0.25">
      <c r="A856" s="46">
        <v>2020</v>
      </c>
      <c r="B856" s="56">
        <v>4</v>
      </c>
      <c r="C856" s="47" t="s">
        <v>86</v>
      </c>
      <c r="D856" s="47" t="s">
        <v>51</v>
      </c>
      <c r="E856" s="47" t="s">
        <v>43</v>
      </c>
      <c r="F856" s="46">
        <v>153465</v>
      </c>
      <c r="G856" s="46">
        <v>10465</v>
      </c>
      <c r="H856" s="46">
        <v>33720</v>
      </c>
      <c r="I856" s="46">
        <v>35670</v>
      </c>
      <c r="J856" s="46">
        <v>15725</v>
      </c>
      <c r="K856" s="46">
        <v>9485</v>
      </c>
      <c r="L856" s="46">
        <v>48405</v>
      </c>
      <c r="M856">
        <f t="shared" si="79"/>
        <v>1.2198462515809045</v>
      </c>
      <c r="N856">
        <f t="shared" si="80"/>
        <v>3.9305509415487911</v>
      </c>
      <c r="O856">
        <f t="shared" si="81"/>
        <v>4.15785148532163</v>
      </c>
      <c r="P856">
        <f t="shared" si="82"/>
        <v>1.8329748978604608</v>
      </c>
      <c r="Q856">
        <f t="shared" si="83"/>
        <v>1.1056131577873749</v>
      </c>
      <c r="R856">
        <f t="shared" si="84"/>
        <v>5.6422988827304037</v>
      </c>
    </row>
    <row r="857" spans="1:18" hidden="1" x14ac:dyDescent="0.25">
      <c r="A857" s="46">
        <v>2020</v>
      </c>
      <c r="B857" s="56">
        <v>4</v>
      </c>
      <c r="C857" s="47" t="s">
        <v>86</v>
      </c>
      <c r="D857" s="47" t="s">
        <v>51</v>
      </c>
      <c r="E857" s="47" t="s">
        <v>44</v>
      </c>
      <c r="F857" s="46">
        <v>23915</v>
      </c>
      <c r="G857" s="46">
        <v>2625</v>
      </c>
      <c r="H857" s="46">
        <v>8945</v>
      </c>
      <c r="I857" s="46">
        <v>7470</v>
      </c>
      <c r="J857" s="46">
        <v>2365</v>
      </c>
      <c r="K857" s="46">
        <v>1120</v>
      </c>
      <c r="L857" s="46">
        <v>1390</v>
      </c>
      <c r="M857">
        <f t="shared" si="79"/>
        <v>0.30598150123266837</v>
      </c>
      <c r="N857">
        <f t="shared" si="80"/>
        <v>1.0426683918195117</v>
      </c>
      <c r="O857">
        <f t="shared" si="81"/>
        <v>0.87073592922210763</v>
      </c>
      <c r="P857">
        <f t="shared" si="82"/>
        <v>0.27567476206295644</v>
      </c>
      <c r="Q857">
        <f t="shared" si="83"/>
        <v>0.13055210719260515</v>
      </c>
      <c r="R857">
        <f t="shared" si="84"/>
        <v>0.16202449017653675</v>
      </c>
    </row>
    <row r="858" spans="1:18" hidden="1" x14ac:dyDescent="0.25">
      <c r="A858" s="46">
        <v>2020</v>
      </c>
      <c r="B858" s="56">
        <v>4</v>
      </c>
      <c r="C858" s="47" t="s">
        <v>86</v>
      </c>
      <c r="D858" s="47" t="s">
        <v>51</v>
      </c>
      <c r="E858" s="47" t="s">
        <v>45</v>
      </c>
      <c r="F858" s="46">
        <v>7425</v>
      </c>
      <c r="G858" s="46">
        <v>775</v>
      </c>
      <c r="H858" s="46">
        <v>1750</v>
      </c>
      <c r="I858" s="46">
        <v>2270</v>
      </c>
      <c r="J858" s="46">
        <v>660</v>
      </c>
      <c r="K858" s="46">
        <v>345</v>
      </c>
      <c r="L858" s="46">
        <v>1625</v>
      </c>
      <c r="M858">
        <f t="shared" si="79"/>
        <v>9.0337395602025888E-2</v>
      </c>
      <c r="N858">
        <f t="shared" si="80"/>
        <v>0.20398766748844555</v>
      </c>
      <c r="O858">
        <f t="shared" si="81"/>
        <v>0.26460114582786937</v>
      </c>
      <c r="P858">
        <f t="shared" si="82"/>
        <v>7.6932491738499462E-2</v>
      </c>
      <c r="Q858">
        <f t="shared" si="83"/>
        <v>4.0214711590579266E-2</v>
      </c>
      <c r="R858">
        <f t="shared" si="84"/>
        <v>0.18941711981069945</v>
      </c>
    </row>
    <row r="859" spans="1:18" hidden="1" x14ac:dyDescent="0.25">
      <c r="A859" s="46">
        <v>2020</v>
      </c>
      <c r="B859" s="56">
        <v>4</v>
      </c>
      <c r="C859" s="47" t="s">
        <v>86</v>
      </c>
      <c r="D859" s="47" t="s">
        <v>51</v>
      </c>
      <c r="E859" s="47" t="s">
        <v>46</v>
      </c>
      <c r="F859" s="46">
        <v>13525</v>
      </c>
      <c r="G859" s="46">
        <v>1570</v>
      </c>
      <c r="H859" s="46">
        <v>4200</v>
      </c>
      <c r="I859" s="46">
        <v>4610</v>
      </c>
      <c r="J859" s="46">
        <v>730</v>
      </c>
      <c r="K859" s="46">
        <v>315</v>
      </c>
      <c r="L859" s="46">
        <v>2095</v>
      </c>
      <c r="M859">
        <f t="shared" si="79"/>
        <v>0.18300607883249115</v>
      </c>
      <c r="N859">
        <f t="shared" si="80"/>
        <v>0.48957040197226931</v>
      </c>
      <c r="O859">
        <f t="shared" si="81"/>
        <v>0.53736179835527664</v>
      </c>
      <c r="P859">
        <f t="shared" si="82"/>
        <v>8.5091998438037289E-2</v>
      </c>
      <c r="Q859">
        <f t="shared" si="83"/>
        <v>3.6717780147920202E-2</v>
      </c>
      <c r="R859">
        <f t="shared" si="84"/>
        <v>0.24420237907902481</v>
      </c>
    </row>
    <row r="860" spans="1:18" hidden="1" x14ac:dyDescent="0.25">
      <c r="A860" s="46">
        <v>2020</v>
      </c>
      <c r="B860" s="56">
        <v>4</v>
      </c>
      <c r="C860" s="47" t="s">
        <v>86</v>
      </c>
      <c r="D860" s="47" t="s">
        <v>51</v>
      </c>
      <c r="E860" s="47" t="s">
        <v>47</v>
      </c>
      <c r="F860" s="46">
        <v>16435</v>
      </c>
      <c r="G860" s="46">
        <v>1355</v>
      </c>
      <c r="H860" s="46">
        <v>4470</v>
      </c>
      <c r="I860" s="46">
        <v>5430</v>
      </c>
      <c r="J860" s="46">
        <v>2165</v>
      </c>
      <c r="K860" s="46">
        <v>815</v>
      </c>
      <c r="L860" s="46">
        <v>2195</v>
      </c>
      <c r="M860">
        <f t="shared" si="79"/>
        <v>0.15794473682676785</v>
      </c>
      <c r="N860">
        <f t="shared" si="80"/>
        <v>0.52104278495620093</v>
      </c>
      <c r="O860">
        <f t="shared" si="81"/>
        <v>0.63294459112129109</v>
      </c>
      <c r="P860">
        <f t="shared" si="82"/>
        <v>0.25236188577856267</v>
      </c>
      <c r="Q860">
        <f t="shared" si="83"/>
        <v>9.4999970858904645E-2</v>
      </c>
      <c r="R860">
        <f t="shared" si="84"/>
        <v>0.25585881722122172</v>
      </c>
    </row>
    <row r="861" spans="1:18" hidden="1" x14ac:dyDescent="0.25">
      <c r="A861" s="46">
        <v>2020</v>
      </c>
      <c r="B861" s="56">
        <v>4</v>
      </c>
      <c r="C861" s="47" t="s">
        <v>86</v>
      </c>
      <c r="D861" s="47" t="s">
        <v>51</v>
      </c>
      <c r="E861" s="47" t="s">
        <v>48</v>
      </c>
      <c r="F861" s="46">
        <v>58690</v>
      </c>
      <c r="G861" s="46">
        <v>3310</v>
      </c>
      <c r="H861" s="46">
        <v>11200</v>
      </c>
      <c r="I861" s="46">
        <v>12835</v>
      </c>
      <c r="J861" s="46">
        <v>7610</v>
      </c>
      <c r="K861" s="46">
        <v>5095</v>
      </c>
      <c r="L861" s="46">
        <v>18640</v>
      </c>
      <c r="M861">
        <f t="shared" si="79"/>
        <v>0.38582810250671706</v>
      </c>
      <c r="N861">
        <f t="shared" si="80"/>
        <v>1.3055210719260515</v>
      </c>
      <c r="O861">
        <f t="shared" si="81"/>
        <v>1.4961038355509706</v>
      </c>
      <c r="P861">
        <f t="shared" si="82"/>
        <v>0.88705494262118312</v>
      </c>
      <c r="Q861">
        <f t="shared" si="83"/>
        <v>0.59389552334493145</v>
      </c>
      <c r="R861">
        <f t="shared" si="84"/>
        <v>2.1727600697054998</v>
      </c>
    </row>
    <row r="862" spans="1:18" hidden="1" x14ac:dyDescent="0.25">
      <c r="A862" s="46">
        <v>2020</v>
      </c>
      <c r="B862" s="56">
        <v>4</v>
      </c>
      <c r="C862" s="47" t="s">
        <v>86</v>
      </c>
      <c r="D862" s="47" t="s">
        <v>51</v>
      </c>
      <c r="E862" s="47" t="s">
        <v>49</v>
      </c>
      <c r="F862" s="46">
        <v>23980</v>
      </c>
      <c r="G862" s="46">
        <v>740</v>
      </c>
      <c r="H862" s="46">
        <v>2760</v>
      </c>
      <c r="I862" s="46">
        <v>2660</v>
      </c>
      <c r="J862" s="46">
        <v>1860</v>
      </c>
      <c r="K862" s="46">
        <v>1510</v>
      </c>
      <c r="L862" s="46">
        <v>14455</v>
      </c>
      <c r="M862">
        <f t="shared" si="79"/>
        <v>8.6257642252256975E-2</v>
      </c>
      <c r="N862">
        <f t="shared" si="80"/>
        <v>0.32171769272463413</v>
      </c>
      <c r="O862">
        <f t="shared" si="81"/>
        <v>0.31006125458243722</v>
      </c>
      <c r="P862">
        <f t="shared" si="82"/>
        <v>0.21680974944486212</v>
      </c>
      <c r="Q862">
        <f t="shared" si="83"/>
        <v>0.17601221594717301</v>
      </c>
      <c r="R862">
        <f t="shared" si="84"/>
        <v>1.6849381334545603</v>
      </c>
    </row>
    <row r="863" spans="1:18" hidden="1" x14ac:dyDescent="0.25">
      <c r="A863" s="46">
        <v>2020</v>
      </c>
      <c r="B863" s="56">
        <v>4</v>
      </c>
      <c r="C863" s="47" t="s">
        <v>86</v>
      </c>
      <c r="D863" s="47" t="s">
        <v>51</v>
      </c>
      <c r="E863" s="47" t="s">
        <v>50</v>
      </c>
      <c r="F863" s="46">
        <v>9500</v>
      </c>
      <c r="G863" s="46">
        <v>90</v>
      </c>
      <c r="H863" s="46">
        <v>390</v>
      </c>
      <c r="I863" s="46">
        <v>400</v>
      </c>
      <c r="J863" s="46">
        <v>335</v>
      </c>
      <c r="K863" s="46">
        <v>285</v>
      </c>
      <c r="L863" s="46">
        <v>8000</v>
      </c>
      <c r="M863">
        <f t="shared" si="79"/>
        <v>1.04907943279772E-2</v>
      </c>
      <c r="N863">
        <f t="shared" si="80"/>
        <v>4.5460108754567866E-2</v>
      </c>
      <c r="O863">
        <f t="shared" si="81"/>
        <v>4.6625752568787551E-2</v>
      </c>
      <c r="P863">
        <f t="shared" si="82"/>
        <v>3.9049067776359581E-2</v>
      </c>
      <c r="Q863">
        <f t="shared" si="83"/>
        <v>3.3220848705261131E-2</v>
      </c>
      <c r="R863">
        <f t="shared" si="84"/>
        <v>0.93251505137575108</v>
      </c>
    </row>
    <row r="864" spans="1:18" hidden="1" x14ac:dyDescent="0.25">
      <c r="A864" s="46">
        <v>2020</v>
      </c>
      <c r="B864" s="56">
        <v>4</v>
      </c>
      <c r="C864" s="47" t="s">
        <v>86</v>
      </c>
      <c r="D864" s="47" t="s">
        <v>52</v>
      </c>
      <c r="E864" s="47" t="s">
        <v>43</v>
      </c>
      <c r="F864" s="46">
        <v>123970</v>
      </c>
      <c r="G864" s="46">
        <v>8245</v>
      </c>
      <c r="H864" s="46">
        <v>27860</v>
      </c>
      <c r="I864" s="46">
        <v>25095</v>
      </c>
      <c r="J864" s="46">
        <v>11985</v>
      </c>
      <c r="K864" s="46">
        <v>7265</v>
      </c>
      <c r="L864" s="46">
        <v>43515</v>
      </c>
      <c r="M864">
        <f t="shared" si="79"/>
        <v>0.96107332482413355</v>
      </c>
      <c r="N864">
        <f t="shared" si="80"/>
        <v>3.2474836664160533</v>
      </c>
      <c r="O864">
        <f t="shared" si="81"/>
        <v>2.9251831517843092</v>
      </c>
      <c r="P864">
        <f t="shared" si="82"/>
        <v>1.3970241113422972</v>
      </c>
      <c r="Q864">
        <f t="shared" si="83"/>
        <v>0.84684023103060391</v>
      </c>
      <c r="R864">
        <f t="shared" si="84"/>
        <v>5.0722990575769762</v>
      </c>
    </row>
    <row r="865" spans="1:18" hidden="1" x14ac:dyDescent="0.25">
      <c r="A865" s="46">
        <v>2020</v>
      </c>
      <c r="B865" s="56">
        <v>4</v>
      </c>
      <c r="C865" s="47" t="s">
        <v>86</v>
      </c>
      <c r="D865" s="47" t="s">
        <v>52</v>
      </c>
      <c r="E865" s="47" t="s">
        <v>44</v>
      </c>
      <c r="F865" s="46">
        <v>22630</v>
      </c>
      <c r="G865" s="46">
        <v>2535</v>
      </c>
      <c r="H865" s="46">
        <v>8400</v>
      </c>
      <c r="I865" s="46">
        <v>7010</v>
      </c>
      <c r="J865" s="46">
        <v>2330</v>
      </c>
      <c r="K865" s="46">
        <v>995</v>
      </c>
      <c r="L865" s="46">
        <v>1360</v>
      </c>
      <c r="M865">
        <f t="shared" si="79"/>
        <v>0.29549070690469115</v>
      </c>
      <c r="N865">
        <f t="shared" si="80"/>
        <v>0.97914080394453862</v>
      </c>
      <c r="O865">
        <f t="shared" si="81"/>
        <v>0.81711631376800187</v>
      </c>
      <c r="P865">
        <f t="shared" si="82"/>
        <v>0.27159500871318748</v>
      </c>
      <c r="Q865">
        <f t="shared" si="83"/>
        <v>0.11598155951485904</v>
      </c>
      <c r="R865">
        <f t="shared" si="84"/>
        <v>0.15852755873387769</v>
      </c>
    </row>
    <row r="866" spans="1:18" hidden="1" x14ac:dyDescent="0.25">
      <c r="A866" s="46">
        <v>2020</v>
      </c>
      <c r="B866" s="56">
        <v>4</v>
      </c>
      <c r="C866" s="47" t="s">
        <v>86</v>
      </c>
      <c r="D866" s="47" t="s">
        <v>52</v>
      </c>
      <c r="E866" s="47" t="s">
        <v>45</v>
      </c>
      <c r="F866" s="46">
        <v>6245</v>
      </c>
      <c r="G866" s="46">
        <v>555</v>
      </c>
      <c r="H866" s="46">
        <v>1390</v>
      </c>
      <c r="I866" s="46">
        <v>1825</v>
      </c>
      <c r="J866" s="46">
        <v>615</v>
      </c>
      <c r="K866" s="46">
        <v>325</v>
      </c>
      <c r="L866" s="46">
        <v>1535</v>
      </c>
      <c r="M866">
        <f t="shared" si="79"/>
        <v>6.4693231689192734E-2</v>
      </c>
      <c r="N866">
        <f t="shared" si="80"/>
        <v>0.16202449017653675</v>
      </c>
      <c r="O866">
        <f t="shared" si="81"/>
        <v>0.21272999609509322</v>
      </c>
      <c r="P866">
        <f t="shared" si="82"/>
        <v>7.1687094574510862E-2</v>
      </c>
      <c r="Q866">
        <f t="shared" si="83"/>
        <v>3.7883423962139888E-2</v>
      </c>
      <c r="R866">
        <f t="shared" si="84"/>
        <v>0.17892632548272225</v>
      </c>
    </row>
    <row r="867" spans="1:18" hidden="1" x14ac:dyDescent="0.25">
      <c r="A867" s="46">
        <v>2020</v>
      </c>
      <c r="B867" s="56">
        <v>4</v>
      </c>
      <c r="C867" s="47" t="s">
        <v>86</v>
      </c>
      <c r="D867" s="47" t="s">
        <v>52</v>
      </c>
      <c r="E867" s="47" t="s">
        <v>46</v>
      </c>
      <c r="F867" s="46">
        <v>9610</v>
      </c>
      <c r="G867" s="46">
        <v>1210</v>
      </c>
      <c r="H867" s="46">
        <v>3535</v>
      </c>
      <c r="I867" s="46">
        <v>2065</v>
      </c>
      <c r="J867" s="46">
        <v>575</v>
      </c>
      <c r="K867" s="46">
        <v>255</v>
      </c>
      <c r="L867" s="46">
        <v>1975</v>
      </c>
      <c r="M867">
        <f t="shared" si="79"/>
        <v>0.14104290152058235</v>
      </c>
      <c r="N867">
        <f t="shared" si="80"/>
        <v>0.41205508832666005</v>
      </c>
      <c r="O867">
        <f t="shared" si="81"/>
        <v>0.24070544763636578</v>
      </c>
      <c r="P867">
        <f t="shared" si="82"/>
        <v>6.702451931763212E-2</v>
      </c>
      <c r="Q867">
        <f t="shared" si="83"/>
        <v>2.9723917262602068E-2</v>
      </c>
      <c r="R867">
        <f t="shared" si="84"/>
        <v>0.23021465330838858</v>
      </c>
    </row>
    <row r="868" spans="1:18" hidden="1" x14ac:dyDescent="0.25">
      <c r="A868" s="46">
        <v>2020</v>
      </c>
      <c r="B868" s="56">
        <v>4</v>
      </c>
      <c r="C868" s="47" t="s">
        <v>86</v>
      </c>
      <c r="D868" s="47" t="s">
        <v>52</v>
      </c>
      <c r="E868" s="47" t="s">
        <v>47</v>
      </c>
      <c r="F868" s="46">
        <v>12040</v>
      </c>
      <c r="G868" s="46">
        <v>935</v>
      </c>
      <c r="H868" s="46">
        <v>3640</v>
      </c>
      <c r="I868" s="46">
        <v>3170</v>
      </c>
      <c r="J868" s="46">
        <v>1700</v>
      </c>
      <c r="K868" s="46">
        <v>705</v>
      </c>
      <c r="L868" s="46">
        <v>1890</v>
      </c>
      <c r="M868">
        <f t="shared" si="79"/>
        <v>0.10898769662954091</v>
      </c>
      <c r="N868">
        <f t="shared" si="80"/>
        <v>0.42429434837596675</v>
      </c>
      <c r="O868">
        <f t="shared" si="81"/>
        <v>0.36950908910764141</v>
      </c>
      <c r="P868">
        <f t="shared" si="82"/>
        <v>0.19815944841734709</v>
      </c>
      <c r="Q868">
        <f t="shared" si="83"/>
        <v>8.2177888902488061E-2</v>
      </c>
      <c r="R868">
        <f t="shared" si="84"/>
        <v>0.2203066808875212</v>
      </c>
    </row>
    <row r="869" spans="1:18" hidden="1" x14ac:dyDescent="0.25">
      <c r="A869" s="46">
        <v>2020</v>
      </c>
      <c r="B869" s="56">
        <v>4</v>
      </c>
      <c r="C869" s="47" t="s">
        <v>86</v>
      </c>
      <c r="D869" s="47" t="s">
        <v>52</v>
      </c>
      <c r="E869" s="47" t="s">
        <v>48</v>
      </c>
      <c r="F869" s="46">
        <v>45575</v>
      </c>
      <c r="G869" s="46">
        <v>2340</v>
      </c>
      <c r="H869" s="46">
        <v>8560</v>
      </c>
      <c r="I869" s="46">
        <v>8720</v>
      </c>
      <c r="J869" s="46">
        <v>5200</v>
      </c>
      <c r="K869" s="46">
        <v>3640</v>
      </c>
      <c r="L869" s="46">
        <v>17115</v>
      </c>
      <c r="M869">
        <f t="shared" si="79"/>
        <v>0.27276065252740722</v>
      </c>
      <c r="N869">
        <f t="shared" si="80"/>
        <v>0.9977911049720537</v>
      </c>
      <c r="O869">
        <f t="shared" si="81"/>
        <v>1.0164414059995688</v>
      </c>
      <c r="P869">
        <f t="shared" si="82"/>
        <v>0.60613478339423821</v>
      </c>
      <c r="Q869">
        <f t="shared" si="83"/>
        <v>0.42429434837596675</v>
      </c>
      <c r="R869">
        <f t="shared" si="84"/>
        <v>1.9949993880369974</v>
      </c>
    </row>
    <row r="870" spans="1:18" hidden="1" x14ac:dyDescent="0.25">
      <c r="A870" s="46">
        <v>2020</v>
      </c>
      <c r="B870" s="56">
        <v>4</v>
      </c>
      <c r="C870" s="47" t="s">
        <v>86</v>
      </c>
      <c r="D870" s="47" t="s">
        <v>52</v>
      </c>
      <c r="E870" s="47" t="s">
        <v>49</v>
      </c>
      <c r="F870" s="46">
        <v>18465</v>
      </c>
      <c r="G870" s="46">
        <v>565</v>
      </c>
      <c r="H870" s="46">
        <v>1980</v>
      </c>
      <c r="I870" s="46">
        <v>1875</v>
      </c>
      <c r="J870" s="46">
        <v>1270</v>
      </c>
      <c r="K870" s="46">
        <v>1050</v>
      </c>
      <c r="L870" s="46">
        <v>11730</v>
      </c>
      <c r="M870">
        <f t="shared" si="79"/>
        <v>6.585887550341242E-2</v>
      </c>
      <c r="N870">
        <f t="shared" si="80"/>
        <v>0.2307974752154984</v>
      </c>
      <c r="O870">
        <f t="shared" si="81"/>
        <v>0.21855821516619167</v>
      </c>
      <c r="P870">
        <f t="shared" si="82"/>
        <v>0.1480367644059005</v>
      </c>
      <c r="Q870">
        <f t="shared" si="83"/>
        <v>0.12239260049306733</v>
      </c>
      <c r="R870">
        <f t="shared" si="84"/>
        <v>1.3673001940796952</v>
      </c>
    </row>
    <row r="871" spans="1:18" hidden="1" x14ac:dyDescent="0.25">
      <c r="A871" s="46">
        <v>2020</v>
      </c>
      <c r="B871" s="56">
        <v>4</v>
      </c>
      <c r="C871" s="47" t="s">
        <v>86</v>
      </c>
      <c r="D871" s="47" t="s">
        <v>52</v>
      </c>
      <c r="E871" s="47" t="s">
        <v>50</v>
      </c>
      <c r="F871" s="46">
        <v>9405</v>
      </c>
      <c r="G871" s="46">
        <v>105</v>
      </c>
      <c r="H871" s="46">
        <v>355</v>
      </c>
      <c r="I871" s="46">
        <v>435</v>
      </c>
      <c r="J871" s="46">
        <v>295</v>
      </c>
      <c r="K871" s="46">
        <v>300</v>
      </c>
      <c r="L871" s="46">
        <v>7915</v>
      </c>
      <c r="M871">
        <f t="shared" si="79"/>
        <v>1.2239260049306732E-2</v>
      </c>
      <c r="N871">
        <f t="shared" si="80"/>
        <v>4.1380355404798952E-2</v>
      </c>
      <c r="O871">
        <f t="shared" si="81"/>
        <v>5.0705505918556465E-2</v>
      </c>
      <c r="P871">
        <f t="shared" si="82"/>
        <v>3.4386492519480824E-2</v>
      </c>
      <c r="Q871">
        <f t="shared" si="83"/>
        <v>3.4969314426590667E-2</v>
      </c>
      <c r="R871">
        <f t="shared" si="84"/>
        <v>0.9226070789548837</v>
      </c>
    </row>
    <row r="872" spans="1:18" x14ac:dyDescent="0.25">
      <c r="A872" s="46">
        <v>2020</v>
      </c>
      <c r="B872" s="56">
        <v>401</v>
      </c>
      <c r="C872" s="47" t="s">
        <v>87</v>
      </c>
      <c r="D872" s="47" t="s">
        <v>42</v>
      </c>
      <c r="E872" s="47" t="s">
        <v>43</v>
      </c>
      <c r="F872" s="46">
        <v>13710</v>
      </c>
      <c r="G872" s="46">
        <v>575</v>
      </c>
      <c r="H872" s="46">
        <v>2800</v>
      </c>
      <c r="I872" s="46">
        <v>3480</v>
      </c>
      <c r="J872" s="46">
        <v>1335</v>
      </c>
      <c r="K872" s="46">
        <v>690</v>
      </c>
      <c r="L872" s="46">
        <v>4830</v>
      </c>
      <c r="M872">
        <f t="shared" si="79"/>
        <v>6.702451931763212E-2</v>
      </c>
      <c r="N872">
        <f t="shared" si="80"/>
        <v>0.32638026798151287</v>
      </c>
      <c r="O872">
        <f t="shared" si="81"/>
        <v>0.40564404734845172</v>
      </c>
      <c r="P872">
        <f t="shared" si="82"/>
        <v>0.15561344919832848</v>
      </c>
      <c r="Q872">
        <f t="shared" si="83"/>
        <v>8.0429423181158533E-2</v>
      </c>
      <c r="R872">
        <f t="shared" si="84"/>
        <v>0.56300596226810973</v>
      </c>
    </row>
    <row r="873" spans="1:18" hidden="1" x14ac:dyDescent="0.25">
      <c r="A873" s="46">
        <v>2020</v>
      </c>
      <c r="B873" s="56">
        <v>401</v>
      </c>
      <c r="C873" s="47" t="s">
        <v>87</v>
      </c>
      <c r="D873" s="47" t="s">
        <v>42</v>
      </c>
      <c r="E873" s="47" t="s">
        <v>44</v>
      </c>
      <c r="F873" s="46">
        <v>2720</v>
      </c>
      <c r="G873" s="46">
        <v>265</v>
      </c>
      <c r="H873" s="46">
        <v>1090</v>
      </c>
      <c r="I873" s="46">
        <v>890</v>
      </c>
      <c r="J873" s="46">
        <v>245</v>
      </c>
      <c r="K873" s="46">
        <v>105</v>
      </c>
      <c r="L873" s="46">
        <v>125</v>
      </c>
      <c r="M873">
        <f t="shared" si="79"/>
        <v>3.0889561076821757E-2</v>
      </c>
      <c r="N873">
        <f t="shared" si="80"/>
        <v>0.1270551757499461</v>
      </c>
      <c r="O873">
        <f t="shared" si="81"/>
        <v>0.10374229946555232</v>
      </c>
      <c r="P873">
        <f t="shared" si="82"/>
        <v>2.8558273448382378E-2</v>
      </c>
      <c r="Q873">
        <f t="shared" si="83"/>
        <v>1.2239260049306732E-2</v>
      </c>
      <c r="R873">
        <f t="shared" si="84"/>
        <v>1.4570547677746111E-2</v>
      </c>
    </row>
    <row r="874" spans="1:18" hidden="1" x14ac:dyDescent="0.25">
      <c r="A874" s="46">
        <v>2020</v>
      </c>
      <c r="B874" s="56">
        <v>401</v>
      </c>
      <c r="C874" s="47" t="s">
        <v>87</v>
      </c>
      <c r="D874" s="47" t="s">
        <v>42</v>
      </c>
      <c r="E874" s="47" t="s">
        <v>45</v>
      </c>
      <c r="F874" s="46">
        <v>720</v>
      </c>
      <c r="G874" s="46">
        <v>45</v>
      </c>
      <c r="H874" s="46">
        <v>150</v>
      </c>
      <c r="I874" s="46">
        <v>275</v>
      </c>
      <c r="J874" s="46">
        <v>75</v>
      </c>
      <c r="K874" s="46">
        <v>45</v>
      </c>
      <c r="L874" s="46">
        <v>135</v>
      </c>
      <c r="M874">
        <f t="shared" si="79"/>
        <v>5.2453971639886002E-3</v>
      </c>
      <c r="N874">
        <f t="shared" si="80"/>
        <v>1.7484657213295333E-2</v>
      </c>
      <c r="O874">
        <f t="shared" si="81"/>
        <v>3.2055204891041446E-2</v>
      </c>
      <c r="P874">
        <f t="shared" si="82"/>
        <v>8.7423286066476667E-3</v>
      </c>
      <c r="Q874">
        <f t="shared" si="83"/>
        <v>5.2453971639886002E-3</v>
      </c>
      <c r="R874">
        <f t="shared" si="84"/>
        <v>1.5736191491965801E-2</v>
      </c>
    </row>
    <row r="875" spans="1:18" hidden="1" x14ac:dyDescent="0.25">
      <c r="A875" s="46">
        <v>2020</v>
      </c>
      <c r="B875" s="56">
        <v>401</v>
      </c>
      <c r="C875" s="47" t="s">
        <v>87</v>
      </c>
      <c r="D875" s="47" t="s">
        <v>42</v>
      </c>
      <c r="E875" s="47" t="s">
        <v>46</v>
      </c>
      <c r="F875" s="46">
        <v>950</v>
      </c>
      <c r="G875" s="46">
        <v>30</v>
      </c>
      <c r="H875" s="46">
        <v>235</v>
      </c>
      <c r="I875" s="46">
        <v>365</v>
      </c>
      <c r="J875" s="46">
        <v>70</v>
      </c>
      <c r="K875" s="46">
        <v>30</v>
      </c>
      <c r="L875" s="46">
        <v>220</v>
      </c>
      <c r="M875">
        <f t="shared" si="79"/>
        <v>3.4969314426590665E-3</v>
      </c>
      <c r="N875">
        <f t="shared" si="80"/>
        <v>2.7392629634162689E-2</v>
      </c>
      <c r="O875">
        <f t="shared" si="81"/>
        <v>4.2545999219018645E-2</v>
      </c>
      <c r="P875">
        <f t="shared" si="82"/>
        <v>8.1595066995378222E-3</v>
      </c>
      <c r="Q875">
        <f t="shared" si="83"/>
        <v>3.4969314426590665E-3</v>
      </c>
      <c r="R875">
        <f t="shared" si="84"/>
        <v>2.5644163912833157E-2</v>
      </c>
    </row>
    <row r="876" spans="1:18" hidden="1" x14ac:dyDescent="0.25">
      <c r="A876" s="46">
        <v>2020</v>
      </c>
      <c r="B876" s="56">
        <v>401</v>
      </c>
      <c r="C876" s="47" t="s">
        <v>87</v>
      </c>
      <c r="D876" s="47" t="s">
        <v>42</v>
      </c>
      <c r="E876" s="47" t="s">
        <v>47</v>
      </c>
      <c r="F876" s="46">
        <v>1310</v>
      </c>
      <c r="G876" s="46">
        <v>45</v>
      </c>
      <c r="H876" s="46">
        <v>305</v>
      </c>
      <c r="I876" s="46">
        <v>450</v>
      </c>
      <c r="J876" s="46">
        <v>170</v>
      </c>
      <c r="K876" s="46">
        <v>70</v>
      </c>
      <c r="L876" s="46">
        <v>270</v>
      </c>
      <c r="M876">
        <f t="shared" si="79"/>
        <v>5.2453971639886002E-3</v>
      </c>
      <c r="N876">
        <f t="shared" si="80"/>
        <v>3.555213633370051E-2</v>
      </c>
      <c r="O876">
        <f t="shared" si="81"/>
        <v>5.2453971639886E-2</v>
      </c>
      <c r="P876">
        <f t="shared" si="82"/>
        <v>1.9815944841734712E-2</v>
      </c>
      <c r="Q876">
        <f t="shared" si="83"/>
        <v>8.1595066995378222E-3</v>
      </c>
      <c r="R876">
        <f t="shared" si="84"/>
        <v>3.1472382983931603E-2</v>
      </c>
    </row>
    <row r="877" spans="1:18" hidden="1" x14ac:dyDescent="0.25">
      <c r="A877" s="46">
        <v>2020</v>
      </c>
      <c r="B877" s="56">
        <v>401</v>
      </c>
      <c r="C877" s="47" t="s">
        <v>87</v>
      </c>
      <c r="D877" s="47" t="s">
        <v>42</v>
      </c>
      <c r="E877" s="47" t="s">
        <v>48</v>
      </c>
      <c r="F877" s="46">
        <v>5150</v>
      </c>
      <c r="G877" s="46">
        <v>150</v>
      </c>
      <c r="H877" s="46">
        <v>830</v>
      </c>
      <c r="I877" s="46">
        <v>1205</v>
      </c>
      <c r="J877" s="46">
        <v>605</v>
      </c>
      <c r="K877" s="46">
        <v>350</v>
      </c>
      <c r="L877" s="46">
        <v>2005</v>
      </c>
      <c r="M877">
        <f t="shared" si="79"/>
        <v>1.7484657213295333E-2</v>
      </c>
      <c r="N877">
        <f t="shared" si="80"/>
        <v>9.6748436580234173E-2</v>
      </c>
      <c r="O877">
        <f t="shared" si="81"/>
        <v>0.14046007961347251</v>
      </c>
      <c r="P877">
        <f t="shared" si="82"/>
        <v>7.0521450760291177E-2</v>
      </c>
      <c r="Q877">
        <f t="shared" si="83"/>
        <v>4.0797533497689109E-2</v>
      </c>
      <c r="R877">
        <f t="shared" si="84"/>
        <v>0.23371158475104761</v>
      </c>
    </row>
    <row r="878" spans="1:18" hidden="1" x14ac:dyDescent="0.25">
      <c r="A878" s="46">
        <v>2020</v>
      </c>
      <c r="B878" s="56">
        <v>401</v>
      </c>
      <c r="C878" s="47" t="s">
        <v>87</v>
      </c>
      <c r="D878" s="47" t="s">
        <v>42</v>
      </c>
      <c r="E878" s="47" t="s">
        <v>49</v>
      </c>
      <c r="F878" s="46">
        <v>1855</v>
      </c>
      <c r="G878" s="46">
        <v>25</v>
      </c>
      <c r="H878" s="46">
        <v>170</v>
      </c>
      <c r="I878" s="46">
        <v>250</v>
      </c>
      <c r="J878" s="46">
        <v>140</v>
      </c>
      <c r="K878" s="46">
        <v>70</v>
      </c>
      <c r="L878" s="46">
        <v>1195</v>
      </c>
      <c r="M878">
        <f t="shared" si="79"/>
        <v>2.914109535549222E-3</v>
      </c>
      <c r="N878">
        <f t="shared" si="80"/>
        <v>1.9815944841734712E-2</v>
      </c>
      <c r="O878">
        <f t="shared" si="81"/>
        <v>2.9141095355492221E-2</v>
      </c>
      <c r="P878">
        <f t="shared" si="82"/>
        <v>1.6319013399075644E-2</v>
      </c>
      <c r="Q878">
        <f t="shared" si="83"/>
        <v>8.1595066995378222E-3</v>
      </c>
      <c r="R878">
        <f t="shared" si="84"/>
        <v>0.13929443579925282</v>
      </c>
    </row>
    <row r="879" spans="1:18" hidden="1" x14ac:dyDescent="0.25">
      <c r="A879" s="46">
        <v>2020</v>
      </c>
      <c r="B879" s="56">
        <v>401</v>
      </c>
      <c r="C879" s="47" t="s">
        <v>87</v>
      </c>
      <c r="D879" s="47" t="s">
        <v>42</v>
      </c>
      <c r="E879" s="47" t="s">
        <v>50</v>
      </c>
      <c r="F879" s="46">
        <v>1000</v>
      </c>
      <c r="G879" s="46">
        <v>5</v>
      </c>
      <c r="H879" s="46">
        <v>20</v>
      </c>
      <c r="I879" s="46">
        <v>45</v>
      </c>
      <c r="J879" s="46">
        <v>25</v>
      </c>
      <c r="K879" s="46">
        <v>20</v>
      </c>
      <c r="L879" s="46">
        <v>885</v>
      </c>
      <c r="M879">
        <f t="shared" si="79"/>
        <v>5.8282190710984446E-4</v>
      </c>
      <c r="N879">
        <f t="shared" si="80"/>
        <v>2.3312876284393778E-3</v>
      </c>
      <c r="O879">
        <f t="shared" si="81"/>
        <v>5.2453971639886002E-3</v>
      </c>
      <c r="P879">
        <f t="shared" si="82"/>
        <v>2.914109535549222E-3</v>
      </c>
      <c r="Q879">
        <f t="shared" si="83"/>
        <v>2.3312876284393778E-3</v>
      </c>
      <c r="R879">
        <f t="shared" si="84"/>
        <v>0.10315947755844246</v>
      </c>
    </row>
    <row r="880" spans="1:18" hidden="1" x14ac:dyDescent="0.25">
      <c r="A880" s="46">
        <v>2020</v>
      </c>
      <c r="B880" s="56">
        <v>401</v>
      </c>
      <c r="C880" s="47" t="s">
        <v>87</v>
      </c>
      <c r="D880" s="47" t="s">
        <v>51</v>
      </c>
      <c r="E880" s="47" t="s">
        <v>43</v>
      </c>
      <c r="F880" s="46">
        <v>7200</v>
      </c>
      <c r="G880" s="46">
        <v>295</v>
      </c>
      <c r="H880" s="46">
        <v>1415</v>
      </c>
      <c r="I880" s="46">
        <v>1950</v>
      </c>
      <c r="J880" s="46">
        <v>730</v>
      </c>
      <c r="K880" s="46">
        <v>360</v>
      </c>
      <c r="L880" s="46">
        <v>2445</v>
      </c>
      <c r="M880">
        <f t="shared" si="79"/>
        <v>3.4386492519480824E-2</v>
      </c>
      <c r="N880">
        <f t="shared" si="80"/>
        <v>0.16493859971208599</v>
      </c>
      <c r="O880">
        <f t="shared" si="81"/>
        <v>0.22730054377283931</v>
      </c>
      <c r="P880">
        <f t="shared" si="82"/>
        <v>8.5091998438037289E-2</v>
      </c>
      <c r="Q880">
        <f t="shared" si="83"/>
        <v>4.1963177311908802E-2</v>
      </c>
      <c r="R880">
        <f t="shared" si="84"/>
        <v>0.28499991257671398</v>
      </c>
    </row>
    <row r="881" spans="1:18" hidden="1" x14ac:dyDescent="0.25">
      <c r="A881" s="46">
        <v>2020</v>
      </c>
      <c r="B881" s="56">
        <v>401</v>
      </c>
      <c r="C881" s="47" t="s">
        <v>87</v>
      </c>
      <c r="D881" s="47" t="s">
        <v>51</v>
      </c>
      <c r="E881" s="47" t="s">
        <v>44</v>
      </c>
      <c r="F881" s="46">
        <v>1395</v>
      </c>
      <c r="G881" s="46">
        <v>145</v>
      </c>
      <c r="H881" s="46">
        <v>555</v>
      </c>
      <c r="I881" s="46">
        <v>455</v>
      </c>
      <c r="J881" s="46">
        <v>125</v>
      </c>
      <c r="K881" s="46">
        <v>60</v>
      </c>
      <c r="L881" s="46">
        <v>60</v>
      </c>
      <c r="M881">
        <f t="shared" si="79"/>
        <v>1.6901835306185491E-2</v>
      </c>
      <c r="N881">
        <f t="shared" si="80"/>
        <v>6.4693231689192734E-2</v>
      </c>
      <c r="O881">
        <f t="shared" si="81"/>
        <v>5.3036793546995843E-2</v>
      </c>
      <c r="P881">
        <f t="shared" si="82"/>
        <v>1.4570547677746111E-2</v>
      </c>
      <c r="Q881">
        <f t="shared" si="83"/>
        <v>6.993862885318133E-3</v>
      </c>
      <c r="R881">
        <f t="shared" si="84"/>
        <v>6.993862885318133E-3</v>
      </c>
    </row>
    <row r="882" spans="1:18" hidden="1" x14ac:dyDescent="0.25">
      <c r="A882" s="46">
        <v>2020</v>
      </c>
      <c r="B882" s="56">
        <v>401</v>
      </c>
      <c r="C882" s="47" t="s">
        <v>87</v>
      </c>
      <c r="D882" s="47" t="s">
        <v>51</v>
      </c>
      <c r="E882" s="47" t="s">
        <v>45</v>
      </c>
      <c r="F882" s="46">
        <v>390</v>
      </c>
      <c r="G882" s="46">
        <v>20</v>
      </c>
      <c r="H882" s="46">
        <v>70</v>
      </c>
      <c r="I882" s="46">
        <v>150</v>
      </c>
      <c r="J882" s="46">
        <v>45</v>
      </c>
      <c r="K882" s="46">
        <v>20</v>
      </c>
      <c r="L882" s="46">
        <v>85</v>
      </c>
      <c r="M882">
        <f t="shared" si="79"/>
        <v>2.3312876284393778E-3</v>
      </c>
      <c r="N882">
        <f t="shared" si="80"/>
        <v>8.1595066995378222E-3</v>
      </c>
      <c r="O882">
        <f t="shared" si="81"/>
        <v>1.7484657213295333E-2</v>
      </c>
      <c r="P882">
        <f t="shared" si="82"/>
        <v>5.2453971639886002E-3</v>
      </c>
      <c r="Q882">
        <f t="shared" si="83"/>
        <v>2.3312876284393778E-3</v>
      </c>
      <c r="R882">
        <f t="shared" si="84"/>
        <v>9.9079724208673559E-3</v>
      </c>
    </row>
    <row r="883" spans="1:18" hidden="1" x14ac:dyDescent="0.25">
      <c r="A883" s="46">
        <v>2020</v>
      </c>
      <c r="B883" s="56">
        <v>401</v>
      </c>
      <c r="C883" s="47" t="s">
        <v>87</v>
      </c>
      <c r="D883" s="47" t="s">
        <v>51</v>
      </c>
      <c r="E883" s="47" t="s">
        <v>46</v>
      </c>
      <c r="F883" s="46">
        <v>545</v>
      </c>
      <c r="G883" s="46">
        <v>10</v>
      </c>
      <c r="H883" s="46">
        <v>120</v>
      </c>
      <c r="I883" s="46">
        <v>230</v>
      </c>
      <c r="J883" s="46">
        <v>35</v>
      </c>
      <c r="K883" s="46">
        <v>15</v>
      </c>
      <c r="L883" s="46">
        <v>135</v>
      </c>
      <c r="M883">
        <f t="shared" si="79"/>
        <v>1.1656438142196889E-3</v>
      </c>
      <c r="N883">
        <f t="shared" si="80"/>
        <v>1.3987725770636266E-2</v>
      </c>
      <c r="O883">
        <f t="shared" si="81"/>
        <v>2.6809807727052843E-2</v>
      </c>
      <c r="P883">
        <f t="shared" si="82"/>
        <v>4.0797533497689111E-3</v>
      </c>
      <c r="Q883">
        <f t="shared" si="83"/>
        <v>1.7484657213295333E-3</v>
      </c>
      <c r="R883">
        <f t="shared" si="84"/>
        <v>1.5736191491965801E-2</v>
      </c>
    </row>
    <row r="884" spans="1:18" hidden="1" x14ac:dyDescent="0.25">
      <c r="A884" s="46">
        <v>2020</v>
      </c>
      <c r="B884" s="56">
        <v>401</v>
      </c>
      <c r="C884" s="47" t="s">
        <v>87</v>
      </c>
      <c r="D884" s="47" t="s">
        <v>51</v>
      </c>
      <c r="E884" s="47" t="s">
        <v>47</v>
      </c>
      <c r="F884" s="46">
        <v>690</v>
      </c>
      <c r="G884" s="46">
        <v>20</v>
      </c>
      <c r="H884" s="46">
        <v>145</v>
      </c>
      <c r="I884" s="46">
        <v>265</v>
      </c>
      <c r="J884" s="46">
        <v>90</v>
      </c>
      <c r="K884" s="46">
        <v>30</v>
      </c>
      <c r="L884" s="46">
        <v>135</v>
      </c>
      <c r="M884">
        <f t="shared" si="79"/>
        <v>2.3312876284393778E-3</v>
      </c>
      <c r="N884">
        <f t="shared" si="80"/>
        <v>1.6901835306185491E-2</v>
      </c>
      <c r="O884">
        <f t="shared" si="81"/>
        <v>3.0889561076821757E-2</v>
      </c>
      <c r="P884">
        <f t="shared" si="82"/>
        <v>1.04907943279772E-2</v>
      </c>
      <c r="Q884">
        <f t="shared" si="83"/>
        <v>3.4969314426590665E-3</v>
      </c>
      <c r="R884">
        <f t="shared" si="84"/>
        <v>1.5736191491965801E-2</v>
      </c>
    </row>
    <row r="885" spans="1:18" hidden="1" x14ac:dyDescent="0.25">
      <c r="A885" s="46">
        <v>2020</v>
      </c>
      <c r="B885" s="56">
        <v>401</v>
      </c>
      <c r="C885" s="47" t="s">
        <v>87</v>
      </c>
      <c r="D885" s="47" t="s">
        <v>51</v>
      </c>
      <c r="E885" s="47" t="s">
        <v>48</v>
      </c>
      <c r="F885" s="46">
        <v>2740</v>
      </c>
      <c r="G885" s="46">
        <v>75</v>
      </c>
      <c r="H885" s="46">
        <v>415</v>
      </c>
      <c r="I885" s="46">
        <v>700</v>
      </c>
      <c r="J885" s="46">
        <v>345</v>
      </c>
      <c r="K885" s="46">
        <v>185</v>
      </c>
      <c r="L885" s="46">
        <v>1020</v>
      </c>
      <c r="M885">
        <f t="shared" si="79"/>
        <v>8.7423286066476667E-3</v>
      </c>
      <c r="N885">
        <f t="shared" si="80"/>
        <v>4.8374218290117087E-2</v>
      </c>
      <c r="O885">
        <f t="shared" si="81"/>
        <v>8.1595066995378218E-2</v>
      </c>
      <c r="P885">
        <f t="shared" si="82"/>
        <v>4.0214711590579266E-2</v>
      </c>
      <c r="Q885">
        <f t="shared" si="83"/>
        <v>2.1564410563064244E-2</v>
      </c>
      <c r="R885">
        <f t="shared" si="84"/>
        <v>0.11889566905040827</v>
      </c>
    </row>
    <row r="886" spans="1:18" hidden="1" x14ac:dyDescent="0.25">
      <c r="A886" s="46">
        <v>2020</v>
      </c>
      <c r="B886" s="56">
        <v>401</v>
      </c>
      <c r="C886" s="47" t="s">
        <v>87</v>
      </c>
      <c r="D886" s="47" t="s">
        <v>51</v>
      </c>
      <c r="E886" s="47" t="s">
        <v>49</v>
      </c>
      <c r="F886" s="46">
        <v>980</v>
      </c>
      <c r="G886" s="46">
        <v>20</v>
      </c>
      <c r="H886" s="46">
        <v>100</v>
      </c>
      <c r="I886" s="46">
        <v>140</v>
      </c>
      <c r="J886" s="46">
        <v>75</v>
      </c>
      <c r="K886" s="46">
        <v>40</v>
      </c>
      <c r="L886" s="46">
        <v>610</v>
      </c>
      <c r="M886">
        <f t="shared" si="79"/>
        <v>2.3312876284393778E-3</v>
      </c>
      <c r="N886">
        <f t="shared" si="80"/>
        <v>1.1656438142196888E-2</v>
      </c>
      <c r="O886">
        <f t="shared" si="81"/>
        <v>1.6319013399075644E-2</v>
      </c>
      <c r="P886">
        <f t="shared" si="82"/>
        <v>8.7423286066476667E-3</v>
      </c>
      <c r="Q886">
        <f t="shared" si="83"/>
        <v>4.6625752568787556E-3</v>
      </c>
      <c r="R886">
        <f t="shared" si="84"/>
        <v>7.1104272667401019E-2</v>
      </c>
    </row>
    <row r="887" spans="1:18" hidden="1" x14ac:dyDescent="0.25">
      <c r="A887" s="46">
        <v>2020</v>
      </c>
      <c r="B887" s="56">
        <v>401</v>
      </c>
      <c r="C887" s="47" t="s">
        <v>87</v>
      </c>
      <c r="D887" s="47" t="s">
        <v>51</v>
      </c>
      <c r="E887" s="47" t="s">
        <v>50</v>
      </c>
      <c r="F887" s="46">
        <v>460</v>
      </c>
      <c r="G887" s="46">
        <v>5</v>
      </c>
      <c r="H887" s="46">
        <v>5</v>
      </c>
      <c r="I887" s="46">
        <v>20</v>
      </c>
      <c r="J887" s="46">
        <v>15</v>
      </c>
      <c r="K887" s="46">
        <v>5</v>
      </c>
      <c r="L887" s="46">
        <v>405</v>
      </c>
      <c r="M887">
        <f t="shared" si="79"/>
        <v>5.8282190710984446E-4</v>
      </c>
      <c r="N887">
        <f t="shared" si="80"/>
        <v>5.8282190710984446E-4</v>
      </c>
      <c r="O887">
        <f t="shared" si="81"/>
        <v>2.3312876284393778E-3</v>
      </c>
      <c r="P887">
        <f t="shared" si="82"/>
        <v>1.7484657213295333E-3</v>
      </c>
      <c r="Q887">
        <f t="shared" si="83"/>
        <v>5.8282190710984446E-4</v>
      </c>
      <c r="R887">
        <f t="shared" si="84"/>
        <v>4.7208574475897401E-2</v>
      </c>
    </row>
    <row r="888" spans="1:18" hidden="1" x14ac:dyDescent="0.25">
      <c r="A888" s="46">
        <v>2020</v>
      </c>
      <c r="B888" s="56">
        <v>401</v>
      </c>
      <c r="C888" s="47" t="s">
        <v>87</v>
      </c>
      <c r="D888" s="47" t="s">
        <v>52</v>
      </c>
      <c r="E888" s="47" t="s">
        <v>43</v>
      </c>
      <c r="F888" s="46">
        <v>6510</v>
      </c>
      <c r="G888" s="46">
        <v>280</v>
      </c>
      <c r="H888" s="46">
        <v>1385</v>
      </c>
      <c r="I888" s="46">
        <v>1530</v>
      </c>
      <c r="J888" s="46">
        <v>600</v>
      </c>
      <c r="K888" s="46">
        <v>330</v>
      </c>
      <c r="L888" s="46">
        <v>2385</v>
      </c>
      <c r="M888">
        <f t="shared" si="79"/>
        <v>3.2638026798151289E-2</v>
      </c>
      <c r="N888">
        <f t="shared" si="80"/>
        <v>0.16144166826942691</v>
      </c>
      <c r="O888">
        <f t="shared" si="81"/>
        <v>0.17834350357561241</v>
      </c>
      <c r="P888">
        <f t="shared" si="82"/>
        <v>6.9938628853181334E-2</v>
      </c>
      <c r="Q888">
        <f t="shared" si="83"/>
        <v>3.8466245869249731E-2</v>
      </c>
      <c r="R888">
        <f t="shared" si="84"/>
        <v>0.27800604969139581</v>
      </c>
    </row>
    <row r="889" spans="1:18" hidden="1" x14ac:dyDescent="0.25">
      <c r="A889" s="46">
        <v>2020</v>
      </c>
      <c r="B889" s="56">
        <v>401</v>
      </c>
      <c r="C889" s="47" t="s">
        <v>87</v>
      </c>
      <c r="D889" s="47" t="s">
        <v>52</v>
      </c>
      <c r="E889" s="47" t="s">
        <v>44</v>
      </c>
      <c r="F889" s="46">
        <v>1325</v>
      </c>
      <c r="G889" s="46">
        <v>125</v>
      </c>
      <c r="H889" s="46">
        <v>540</v>
      </c>
      <c r="I889" s="46">
        <v>435</v>
      </c>
      <c r="J889" s="46">
        <v>120</v>
      </c>
      <c r="K889" s="46">
        <v>45</v>
      </c>
      <c r="L889" s="46">
        <v>65</v>
      </c>
      <c r="M889">
        <f t="shared" si="79"/>
        <v>1.4570547677746111E-2</v>
      </c>
      <c r="N889">
        <f t="shared" si="80"/>
        <v>6.2944765967863206E-2</v>
      </c>
      <c r="O889">
        <f t="shared" si="81"/>
        <v>5.0705505918556465E-2</v>
      </c>
      <c r="P889">
        <f t="shared" si="82"/>
        <v>1.3987725770636266E-2</v>
      </c>
      <c r="Q889">
        <f t="shared" si="83"/>
        <v>5.2453971639886002E-3</v>
      </c>
      <c r="R889">
        <f t="shared" si="84"/>
        <v>7.5766847924279776E-3</v>
      </c>
    </row>
    <row r="890" spans="1:18" hidden="1" x14ac:dyDescent="0.25">
      <c r="A890" s="46">
        <v>2020</v>
      </c>
      <c r="B890" s="56">
        <v>401</v>
      </c>
      <c r="C890" s="47" t="s">
        <v>87</v>
      </c>
      <c r="D890" s="47" t="s">
        <v>52</v>
      </c>
      <c r="E890" s="47" t="s">
        <v>45</v>
      </c>
      <c r="F890" s="46">
        <v>330</v>
      </c>
      <c r="G890" s="46">
        <v>25</v>
      </c>
      <c r="H890" s="46">
        <v>80</v>
      </c>
      <c r="I890" s="46">
        <v>130</v>
      </c>
      <c r="J890" s="46">
        <v>30</v>
      </c>
      <c r="K890" s="46">
        <v>20</v>
      </c>
      <c r="L890" s="46">
        <v>50</v>
      </c>
      <c r="M890">
        <f t="shared" si="79"/>
        <v>2.914109535549222E-3</v>
      </c>
      <c r="N890">
        <f t="shared" si="80"/>
        <v>9.3251505137575113E-3</v>
      </c>
      <c r="O890">
        <f t="shared" si="81"/>
        <v>1.5153369584855955E-2</v>
      </c>
      <c r="P890">
        <f t="shared" si="82"/>
        <v>3.4969314426590665E-3</v>
      </c>
      <c r="Q890">
        <f t="shared" si="83"/>
        <v>2.3312876284393778E-3</v>
      </c>
      <c r="R890">
        <f t="shared" si="84"/>
        <v>5.8282190710984439E-3</v>
      </c>
    </row>
    <row r="891" spans="1:18" hidden="1" x14ac:dyDescent="0.25">
      <c r="A891" s="46">
        <v>2020</v>
      </c>
      <c r="B891" s="56">
        <v>401</v>
      </c>
      <c r="C891" s="47" t="s">
        <v>87</v>
      </c>
      <c r="D891" s="47" t="s">
        <v>52</v>
      </c>
      <c r="E891" s="47" t="s">
        <v>46</v>
      </c>
      <c r="F891" s="46">
        <v>405</v>
      </c>
      <c r="G891" s="46">
        <v>20</v>
      </c>
      <c r="H891" s="46">
        <v>110</v>
      </c>
      <c r="I891" s="46">
        <v>135</v>
      </c>
      <c r="J891" s="46">
        <v>40</v>
      </c>
      <c r="K891" s="46">
        <v>15</v>
      </c>
      <c r="L891" s="46">
        <v>85</v>
      </c>
      <c r="M891">
        <f t="shared" si="79"/>
        <v>2.3312876284393778E-3</v>
      </c>
      <c r="N891">
        <f t="shared" si="80"/>
        <v>1.2822081956416579E-2</v>
      </c>
      <c r="O891">
        <f t="shared" si="81"/>
        <v>1.5736191491965801E-2</v>
      </c>
      <c r="P891">
        <f t="shared" si="82"/>
        <v>4.6625752568787556E-3</v>
      </c>
      <c r="Q891">
        <f t="shared" si="83"/>
        <v>1.7484657213295333E-3</v>
      </c>
      <c r="R891">
        <f t="shared" si="84"/>
        <v>9.9079724208673559E-3</v>
      </c>
    </row>
    <row r="892" spans="1:18" hidden="1" x14ac:dyDescent="0.25">
      <c r="A892" s="46">
        <v>2020</v>
      </c>
      <c r="B892" s="56">
        <v>401</v>
      </c>
      <c r="C892" s="47" t="s">
        <v>87</v>
      </c>
      <c r="D892" s="47" t="s">
        <v>52</v>
      </c>
      <c r="E892" s="47" t="s">
        <v>47</v>
      </c>
      <c r="F892" s="46">
        <v>625</v>
      </c>
      <c r="G892" s="46">
        <v>25</v>
      </c>
      <c r="H892" s="46">
        <v>160</v>
      </c>
      <c r="I892" s="46">
        <v>185</v>
      </c>
      <c r="J892" s="46">
        <v>75</v>
      </c>
      <c r="K892" s="46">
        <v>40</v>
      </c>
      <c r="L892" s="46">
        <v>135</v>
      </c>
      <c r="M892">
        <f t="shared" si="79"/>
        <v>2.914109535549222E-3</v>
      </c>
      <c r="N892">
        <f t="shared" si="80"/>
        <v>1.8650301027515023E-2</v>
      </c>
      <c r="O892">
        <f t="shared" si="81"/>
        <v>2.1564410563064244E-2</v>
      </c>
      <c r="P892">
        <f t="shared" si="82"/>
        <v>8.7423286066476667E-3</v>
      </c>
      <c r="Q892">
        <f t="shared" si="83"/>
        <v>4.6625752568787556E-3</v>
      </c>
      <c r="R892">
        <f t="shared" si="84"/>
        <v>1.5736191491965801E-2</v>
      </c>
    </row>
    <row r="893" spans="1:18" hidden="1" x14ac:dyDescent="0.25">
      <c r="A893" s="46">
        <v>2020</v>
      </c>
      <c r="B893" s="56">
        <v>401</v>
      </c>
      <c r="C893" s="47" t="s">
        <v>87</v>
      </c>
      <c r="D893" s="47" t="s">
        <v>52</v>
      </c>
      <c r="E893" s="47" t="s">
        <v>48</v>
      </c>
      <c r="F893" s="46">
        <v>2410</v>
      </c>
      <c r="G893" s="46">
        <v>75</v>
      </c>
      <c r="H893" s="46">
        <v>415</v>
      </c>
      <c r="I893" s="46">
        <v>510</v>
      </c>
      <c r="J893" s="46">
        <v>265</v>
      </c>
      <c r="K893" s="46">
        <v>160</v>
      </c>
      <c r="L893" s="46">
        <v>985</v>
      </c>
      <c r="M893">
        <f t="shared" si="79"/>
        <v>8.7423286066476667E-3</v>
      </c>
      <c r="N893">
        <f t="shared" si="80"/>
        <v>4.8374218290117087E-2</v>
      </c>
      <c r="O893">
        <f t="shared" si="81"/>
        <v>5.9447834525204135E-2</v>
      </c>
      <c r="P893">
        <f t="shared" si="82"/>
        <v>3.0889561076821757E-2</v>
      </c>
      <c r="Q893">
        <f t="shared" si="83"/>
        <v>1.8650301027515023E-2</v>
      </c>
      <c r="R893">
        <f t="shared" si="84"/>
        <v>0.11481591570063936</v>
      </c>
    </row>
    <row r="894" spans="1:18" hidden="1" x14ac:dyDescent="0.25">
      <c r="A894" s="46">
        <v>2020</v>
      </c>
      <c r="B894" s="56">
        <v>401</v>
      </c>
      <c r="C894" s="47" t="s">
        <v>87</v>
      </c>
      <c r="D894" s="47" t="s">
        <v>52</v>
      </c>
      <c r="E894" s="47" t="s">
        <v>49</v>
      </c>
      <c r="F894" s="46">
        <v>875</v>
      </c>
      <c r="G894" s="46">
        <v>10</v>
      </c>
      <c r="H894" s="46">
        <v>70</v>
      </c>
      <c r="I894" s="46">
        <v>110</v>
      </c>
      <c r="J894" s="46">
        <v>65</v>
      </c>
      <c r="K894" s="46">
        <v>35</v>
      </c>
      <c r="L894" s="46">
        <v>585</v>
      </c>
      <c r="M894">
        <f t="shared" si="79"/>
        <v>1.1656438142196889E-3</v>
      </c>
      <c r="N894">
        <f t="shared" si="80"/>
        <v>8.1595066995378222E-3</v>
      </c>
      <c r="O894">
        <f t="shared" si="81"/>
        <v>1.2822081956416579E-2</v>
      </c>
      <c r="P894">
        <f t="shared" si="82"/>
        <v>7.5766847924279776E-3</v>
      </c>
      <c r="Q894">
        <f t="shared" si="83"/>
        <v>4.0797533497689111E-3</v>
      </c>
      <c r="R894">
        <f t="shared" si="84"/>
        <v>6.8190163131851805E-2</v>
      </c>
    </row>
    <row r="895" spans="1:18" hidden="1" x14ac:dyDescent="0.25">
      <c r="A895" s="46">
        <v>2020</v>
      </c>
      <c r="B895" s="56">
        <v>401</v>
      </c>
      <c r="C895" s="47" t="s">
        <v>87</v>
      </c>
      <c r="D895" s="47" t="s">
        <v>52</v>
      </c>
      <c r="E895" s="47" t="s">
        <v>50</v>
      </c>
      <c r="F895" s="46">
        <v>540</v>
      </c>
      <c r="G895" s="46">
        <v>0</v>
      </c>
      <c r="H895" s="46">
        <v>10</v>
      </c>
      <c r="I895" s="46">
        <v>25</v>
      </c>
      <c r="J895" s="46">
        <v>10</v>
      </c>
      <c r="K895" s="46">
        <v>15</v>
      </c>
      <c r="L895" s="46">
        <v>475</v>
      </c>
      <c r="M895">
        <f t="shared" si="79"/>
        <v>0</v>
      </c>
      <c r="N895">
        <f t="shared" si="80"/>
        <v>1.1656438142196889E-3</v>
      </c>
      <c r="O895">
        <f t="shared" si="81"/>
        <v>2.914109535549222E-3</v>
      </c>
      <c r="P895">
        <f t="shared" si="82"/>
        <v>1.1656438142196889E-3</v>
      </c>
      <c r="Q895">
        <f t="shared" si="83"/>
        <v>1.7484657213295333E-3</v>
      </c>
      <c r="R895">
        <f t="shared" si="84"/>
        <v>5.5368081175435221E-2</v>
      </c>
    </row>
    <row r="896" spans="1:18" x14ac:dyDescent="0.25">
      <c r="A896" s="46">
        <v>2020</v>
      </c>
      <c r="B896" s="56">
        <v>402</v>
      </c>
      <c r="C896" s="47" t="s">
        <v>88</v>
      </c>
      <c r="D896" s="47" t="s">
        <v>42</v>
      </c>
      <c r="E896" s="47" t="s">
        <v>43</v>
      </c>
      <c r="F896" s="46">
        <v>6040</v>
      </c>
      <c r="G896" s="46">
        <v>460</v>
      </c>
      <c r="H896" s="46">
        <v>1410</v>
      </c>
      <c r="I896" s="46">
        <v>1590</v>
      </c>
      <c r="J896" s="46">
        <v>805</v>
      </c>
      <c r="K896" s="46">
        <v>325</v>
      </c>
      <c r="L896" s="46">
        <v>1450</v>
      </c>
      <c r="M896">
        <f t="shared" si="79"/>
        <v>5.3619615454105686E-2</v>
      </c>
      <c r="N896">
        <f t="shared" si="80"/>
        <v>0.16435577780497612</v>
      </c>
      <c r="O896">
        <f t="shared" si="81"/>
        <v>0.18533736646093052</v>
      </c>
      <c r="P896">
        <f t="shared" si="82"/>
        <v>9.3834327044684959E-2</v>
      </c>
      <c r="Q896">
        <f t="shared" si="83"/>
        <v>3.7883423962139888E-2</v>
      </c>
      <c r="R896">
        <f t="shared" si="84"/>
        <v>0.16901835306185489</v>
      </c>
    </row>
    <row r="897" spans="1:18" hidden="1" x14ac:dyDescent="0.25">
      <c r="A897" s="46">
        <v>2020</v>
      </c>
      <c r="B897" s="56">
        <v>402</v>
      </c>
      <c r="C897" s="47" t="s">
        <v>88</v>
      </c>
      <c r="D897" s="47" t="s">
        <v>42</v>
      </c>
      <c r="E897" s="47" t="s">
        <v>44</v>
      </c>
      <c r="F897" s="46">
        <v>1170</v>
      </c>
      <c r="G897" s="46">
        <v>125</v>
      </c>
      <c r="H897" s="46">
        <v>455</v>
      </c>
      <c r="I897" s="46">
        <v>360</v>
      </c>
      <c r="J897" s="46">
        <v>140</v>
      </c>
      <c r="K897" s="46">
        <v>40</v>
      </c>
      <c r="L897" s="46">
        <v>55</v>
      </c>
      <c r="M897">
        <f t="shared" si="79"/>
        <v>1.4570547677746111E-2</v>
      </c>
      <c r="N897">
        <f t="shared" si="80"/>
        <v>5.3036793546995843E-2</v>
      </c>
      <c r="O897">
        <f t="shared" si="81"/>
        <v>4.1963177311908802E-2</v>
      </c>
      <c r="P897">
        <f t="shared" si="82"/>
        <v>1.6319013399075644E-2</v>
      </c>
      <c r="Q897">
        <f t="shared" si="83"/>
        <v>4.6625752568787556E-3</v>
      </c>
      <c r="R897">
        <f t="shared" si="84"/>
        <v>6.4110409782082893E-3</v>
      </c>
    </row>
    <row r="898" spans="1:18" hidden="1" x14ac:dyDescent="0.25">
      <c r="A898" s="46">
        <v>2020</v>
      </c>
      <c r="B898" s="56">
        <v>402</v>
      </c>
      <c r="C898" s="47" t="s">
        <v>88</v>
      </c>
      <c r="D898" s="47" t="s">
        <v>42</v>
      </c>
      <c r="E898" s="47" t="s">
        <v>45</v>
      </c>
      <c r="F898" s="46">
        <v>310</v>
      </c>
      <c r="G898" s="46">
        <v>20</v>
      </c>
      <c r="H898" s="46">
        <v>60</v>
      </c>
      <c r="I898" s="46">
        <v>105</v>
      </c>
      <c r="J898" s="46">
        <v>55</v>
      </c>
      <c r="K898" s="46">
        <v>15</v>
      </c>
      <c r="L898" s="46">
        <v>60</v>
      </c>
      <c r="M898">
        <f t="shared" si="79"/>
        <v>2.3312876284393778E-3</v>
      </c>
      <c r="N898">
        <f t="shared" si="80"/>
        <v>6.993862885318133E-3</v>
      </c>
      <c r="O898">
        <f t="shared" si="81"/>
        <v>1.2239260049306732E-2</v>
      </c>
      <c r="P898">
        <f t="shared" si="82"/>
        <v>6.4110409782082893E-3</v>
      </c>
      <c r="Q898">
        <f t="shared" si="83"/>
        <v>1.7484657213295333E-3</v>
      </c>
      <c r="R898">
        <f t="shared" si="84"/>
        <v>6.993862885318133E-3</v>
      </c>
    </row>
    <row r="899" spans="1:18" hidden="1" x14ac:dyDescent="0.25">
      <c r="A899" s="46">
        <v>2020</v>
      </c>
      <c r="B899" s="56">
        <v>402</v>
      </c>
      <c r="C899" s="47" t="s">
        <v>88</v>
      </c>
      <c r="D899" s="47" t="s">
        <v>42</v>
      </c>
      <c r="E899" s="47" t="s">
        <v>46</v>
      </c>
      <c r="F899" s="46">
        <v>560</v>
      </c>
      <c r="G899" s="46">
        <v>60</v>
      </c>
      <c r="H899" s="46">
        <v>220</v>
      </c>
      <c r="I899" s="46">
        <v>185</v>
      </c>
      <c r="J899" s="46">
        <v>40</v>
      </c>
      <c r="K899" s="46">
        <v>10</v>
      </c>
      <c r="L899" s="46">
        <v>50</v>
      </c>
      <c r="M899">
        <f t="shared" si="79"/>
        <v>6.993862885318133E-3</v>
      </c>
      <c r="N899">
        <f t="shared" si="80"/>
        <v>2.5644163912833157E-2</v>
      </c>
      <c r="O899">
        <f t="shared" si="81"/>
        <v>2.1564410563064244E-2</v>
      </c>
      <c r="P899">
        <f t="shared" si="82"/>
        <v>4.6625752568787556E-3</v>
      </c>
      <c r="Q899">
        <f t="shared" si="83"/>
        <v>1.1656438142196889E-3</v>
      </c>
      <c r="R899">
        <f t="shared" si="84"/>
        <v>5.8282190710984439E-3</v>
      </c>
    </row>
    <row r="900" spans="1:18" hidden="1" x14ac:dyDescent="0.25">
      <c r="A900" s="46">
        <v>2020</v>
      </c>
      <c r="B900" s="56">
        <v>402</v>
      </c>
      <c r="C900" s="47" t="s">
        <v>88</v>
      </c>
      <c r="D900" s="47" t="s">
        <v>42</v>
      </c>
      <c r="E900" s="47" t="s">
        <v>47</v>
      </c>
      <c r="F900" s="46">
        <v>755</v>
      </c>
      <c r="G900" s="46">
        <v>55</v>
      </c>
      <c r="H900" s="46">
        <v>200</v>
      </c>
      <c r="I900" s="46">
        <v>270</v>
      </c>
      <c r="J900" s="46">
        <v>140</v>
      </c>
      <c r="K900" s="46">
        <v>35</v>
      </c>
      <c r="L900" s="46">
        <v>55</v>
      </c>
      <c r="M900">
        <f t="shared" si="79"/>
        <v>6.4110409782082893E-3</v>
      </c>
      <c r="N900">
        <f t="shared" si="80"/>
        <v>2.3312876284393776E-2</v>
      </c>
      <c r="O900">
        <f t="shared" si="81"/>
        <v>3.1472382983931603E-2</v>
      </c>
      <c r="P900">
        <f t="shared" si="82"/>
        <v>1.6319013399075644E-2</v>
      </c>
      <c r="Q900">
        <f t="shared" si="83"/>
        <v>4.0797533497689111E-3</v>
      </c>
      <c r="R900">
        <f t="shared" si="84"/>
        <v>6.4110409782082893E-3</v>
      </c>
    </row>
    <row r="901" spans="1:18" hidden="1" x14ac:dyDescent="0.25">
      <c r="A901" s="46">
        <v>2020</v>
      </c>
      <c r="B901" s="56">
        <v>402</v>
      </c>
      <c r="C901" s="47" t="s">
        <v>88</v>
      </c>
      <c r="D901" s="47" t="s">
        <v>42</v>
      </c>
      <c r="E901" s="47" t="s">
        <v>48</v>
      </c>
      <c r="F901" s="46">
        <v>2235</v>
      </c>
      <c r="G901" s="46">
        <v>160</v>
      </c>
      <c r="H901" s="46">
        <v>375</v>
      </c>
      <c r="I901" s="46">
        <v>580</v>
      </c>
      <c r="J901" s="46">
        <v>330</v>
      </c>
      <c r="K901" s="46">
        <v>175</v>
      </c>
      <c r="L901" s="46">
        <v>615</v>
      </c>
      <c r="M901">
        <f t="shared" si="79"/>
        <v>1.8650301027515023E-2</v>
      </c>
      <c r="N901">
        <f t="shared" si="80"/>
        <v>4.371164303323833E-2</v>
      </c>
      <c r="O901">
        <f t="shared" si="81"/>
        <v>6.7607341224741963E-2</v>
      </c>
      <c r="P901">
        <f t="shared" si="82"/>
        <v>3.8466245869249731E-2</v>
      </c>
      <c r="Q901">
        <f t="shared" si="83"/>
        <v>2.0398766748844555E-2</v>
      </c>
      <c r="R901">
        <f t="shared" si="84"/>
        <v>7.1687094574510862E-2</v>
      </c>
    </row>
    <row r="902" spans="1:18" hidden="1" x14ac:dyDescent="0.25">
      <c r="A902" s="46">
        <v>2020</v>
      </c>
      <c r="B902" s="56">
        <v>402</v>
      </c>
      <c r="C902" s="47" t="s">
        <v>88</v>
      </c>
      <c r="D902" s="47" t="s">
        <v>42</v>
      </c>
      <c r="E902" s="47" t="s">
        <v>49</v>
      </c>
      <c r="F902" s="46">
        <v>720</v>
      </c>
      <c r="G902" s="46">
        <v>35</v>
      </c>
      <c r="H902" s="46">
        <v>90</v>
      </c>
      <c r="I902" s="46">
        <v>75</v>
      </c>
      <c r="J902" s="46">
        <v>85</v>
      </c>
      <c r="K902" s="46">
        <v>50</v>
      </c>
      <c r="L902" s="46">
        <v>380</v>
      </c>
      <c r="M902">
        <f t="shared" si="79"/>
        <v>4.0797533497689111E-3</v>
      </c>
      <c r="N902">
        <f t="shared" si="80"/>
        <v>1.04907943279772E-2</v>
      </c>
      <c r="O902">
        <f t="shared" si="81"/>
        <v>8.7423286066476667E-3</v>
      </c>
      <c r="P902">
        <f t="shared" si="82"/>
        <v>9.9079724208673559E-3</v>
      </c>
      <c r="Q902">
        <f t="shared" si="83"/>
        <v>5.8282190710984439E-3</v>
      </c>
      <c r="R902">
        <f t="shared" si="84"/>
        <v>4.429446494034818E-2</v>
      </c>
    </row>
    <row r="903" spans="1:18" hidden="1" x14ac:dyDescent="0.25">
      <c r="A903" s="46">
        <v>2020</v>
      </c>
      <c r="B903" s="56">
        <v>402</v>
      </c>
      <c r="C903" s="47" t="s">
        <v>88</v>
      </c>
      <c r="D903" s="47" t="s">
        <v>42</v>
      </c>
      <c r="E903" s="47" t="s">
        <v>50</v>
      </c>
      <c r="F903" s="46">
        <v>290</v>
      </c>
      <c r="G903" s="46">
        <v>5</v>
      </c>
      <c r="H903" s="46">
        <v>10</v>
      </c>
      <c r="I903" s="46">
        <v>15</v>
      </c>
      <c r="J903" s="46">
        <v>10</v>
      </c>
      <c r="K903" s="46">
        <v>10</v>
      </c>
      <c r="L903" s="46">
        <v>235</v>
      </c>
      <c r="M903">
        <f t="shared" si="79"/>
        <v>5.8282190710984446E-4</v>
      </c>
      <c r="N903">
        <f t="shared" si="80"/>
        <v>1.1656438142196889E-3</v>
      </c>
      <c r="O903">
        <f t="shared" si="81"/>
        <v>1.7484657213295333E-3</v>
      </c>
      <c r="P903">
        <f t="shared" si="82"/>
        <v>1.1656438142196889E-3</v>
      </c>
      <c r="Q903">
        <f t="shared" si="83"/>
        <v>1.1656438142196889E-3</v>
      </c>
      <c r="R903">
        <f t="shared" si="84"/>
        <v>2.7392629634162689E-2</v>
      </c>
    </row>
    <row r="904" spans="1:18" hidden="1" x14ac:dyDescent="0.25">
      <c r="A904" s="46">
        <v>2020</v>
      </c>
      <c r="B904" s="56">
        <v>402</v>
      </c>
      <c r="C904" s="47" t="s">
        <v>88</v>
      </c>
      <c r="D904" s="47" t="s">
        <v>51</v>
      </c>
      <c r="E904" s="47" t="s">
        <v>43</v>
      </c>
      <c r="F904" s="46">
        <v>3560</v>
      </c>
      <c r="G904" s="46">
        <v>260</v>
      </c>
      <c r="H904" s="46">
        <v>820</v>
      </c>
      <c r="I904" s="46">
        <v>1035</v>
      </c>
      <c r="J904" s="46">
        <v>455</v>
      </c>
      <c r="K904" s="46">
        <v>200</v>
      </c>
      <c r="L904" s="46">
        <v>790</v>
      </c>
      <c r="M904">
        <f t="shared" si="79"/>
        <v>3.030673916971191E-2</v>
      </c>
      <c r="N904">
        <f t="shared" si="80"/>
        <v>9.5582792766014488E-2</v>
      </c>
      <c r="O904">
        <f t="shared" si="81"/>
        <v>0.1206441347717378</v>
      </c>
      <c r="P904">
        <f t="shared" si="82"/>
        <v>5.3036793546995843E-2</v>
      </c>
      <c r="Q904">
        <f t="shared" si="83"/>
        <v>2.3312876284393776E-2</v>
      </c>
      <c r="R904">
        <f t="shared" si="84"/>
        <v>9.2085861323355417E-2</v>
      </c>
    </row>
    <row r="905" spans="1:18" hidden="1" x14ac:dyDescent="0.25">
      <c r="A905" s="46">
        <v>2020</v>
      </c>
      <c r="B905" s="56">
        <v>402</v>
      </c>
      <c r="C905" s="47" t="s">
        <v>88</v>
      </c>
      <c r="D905" s="47" t="s">
        <v>51</v>
      </c>
      <c r="E905" s="47" t="s">
        <v>44</v>
      </c>
      <c r="F905" s="46">
        <v>625</v>
      </c>
      <c r="G905" s="46">
        <v>65</v>
      </c>
      <c r="H905" s="46">
        <v>255</v>
      </c>
      <c r="I905" s="46">
        <v>190</v>
      </c>
      <c r="J905" s="46">
        <v>70</v>
      </c>
      <c r="K905" s="46">
        <v>20</v>
      </c>
      <c r="L905" s="46">
        <v>25</v>
      </c>
      <c r="M905">
        <f t="shared" ref="M905:M968" si="85">G905/$F$8*100</f>
        <v>7.5766847924279776E-3</v>
      </c>
      <c r="N905">
        <f t="shared" ref="N905:N968" si="86">H905/$F$8*100</f>
        <v>2.9723917262602068E-2</v>
      </c>
      <c r="O905">
        <f t="shared" ref="O905:O968" si="87">I905/$F$8*100</f>
        <v>2.214723247017409E-2</v>
      </c>
      <c r="P905">
        <f t="shared" ref="P905:P968" si="88">J905/$F$8*100</f>
        <v>8.1595066995378222E-3</v>
      </c>
      <c r="Q905">
        <f t="shared" ref="Q905:Q968" si="89">K905/$F$8*100</f>
        <v>2.3312876284393778E-3</v>
      </c>
      <c r="R905">
        <f t="shared" ref="R905:R968" si="90">L905/$F$8*100</f>
        <v>2.914109535549222E-3</v>
      </c>
    </row>
    <row r="906" spans="1:18" hidden="1" x14ac:dyDescent="0.25">
      <c r="A906" s="46">
        <v>2020</v>
      </c>
      <c r="B906" s="56">
        <v>402</v>
      </c>
      <c r="C906" s="47" t="s">
        <v>88</v>
      </c>
      <c r="D906" s="47" t="s">
        <v>51</v>
      </c>
      <c r="E906" s="47" t="s">
        <v>45</v>
      </c>
      <c r="F906" s="46">
        <v>175</v>
      </c>
      <c r="G906" s="46">
        <v>10</v>
      </c>
      <c r="H906" s="46">
        <v>35</v>
      </c>
      <c r="I906" s="46">
        <v>65</v>
      </c>
      <c r="J906" s="46">
        <v>25</v>
      </c>
      <c r="K906" s="46">
        <v>5</v>
      </c>
      <c r="L906" s="46">
        <v>35</v>
      </c>
      <c r="M906">
        <f t="shared" si="85"/>
        <v>1.1656438142196889E-3</v>
      </c>
      <c r="N906">
        <f t="shared" si="86"/>
        <v>4.0797533497689111E-3</v>
      </c>
      <c r="O906">
        <f t="shared" si="87"/>
        <v>7.5766847924279776E-3</v>
      </c>
      <c r="P906">
        <f t="shared" si="88"/>
        <v>2.914109535549222E-3</v>
      </c>
      <c r="Q906">
        <f t="shared" si="89"/>
        <v>5.8282190710984446E-4</v>
      </c>
      <c r="R906">
        <f t="shared" si="90"/>
        <v>4.0797533497689111E-3</v>
      </c>
    </row>
    <row r="907" spans="1:18" hidden="1" x14ac:dyDescent="0.25">
      <c r="A907" s="46">
        <v>2020</v>
      </c>
      <c r="B907" s="56">
        <v>402</v>
      </c>
      <c r="C907" s="47" t="s">
        <v>88</v>
      </c>
      <c r="D907" s="47" t="s">
        <v>51</v>
      </c>
      <c r="E907" s="47" t="s">
        <v>46</v>
      </c>
      <c r="F907" s="46">
        <v>330</v>
      </c>
      <c r="G907" s="46">
        <v>25</v>
      </c>
      <c r="H907" s="46">
        <v>115</v>
      </c>
      <c r="I907" s="46">
        <v>135</v>
      </c>
      <c r="J907" s="46">
        <v>20</v>
      </c>
      <c r="K907" s="46">
        <v>5</v>
      </c>
      <c r="L907" s="46">
        <v>25</v>
      </c>
      <c r="M907">
        <f t="shared" si="85"/>
        <v>2.914109535549222E-3</v>
      </c>
      <c r="N907">
        <f t="shared" si="86"/>
        <v>1.3404903863526422E-2</v>
      </c>
      <c r="O907">
        <f t="shared" si="87"/>
        <v>1.5736191491965801E-2</v>
      </c>
      <c r="P907">
        <f t="shared" si="88"/>
        <v>2.3312876284393778E-3</v>
      </c>
      <c r="Q907">
        <f t="shared" si="89"/>
        <v>5.8282190710984446E-4</v>
      </c>
      <c r="R907">
        <f t="shared" si="90"/>
        <v>2.914109535549222E-3</v>
      </c>
    </row>
    <row r="908" spans="1:18" hidden="1" x14ac:dyDescent="0.25">
      <c r="A908" s="46">
        <v>2020</v>
      </c>
      <c r="B908" s="56">
        <v>402</v>
      </c>
      <c r="C908" s="47" t="s">
        <v>88</v>
      </c>
      <c r="D908" s="47" t="s">
        <v>51</v>
      </c>
      <c r="E908" s="47" t="s">
        <v>47</v>
      </c>
      <c r="F908" s="46">
        <v>490</v>
      </c>
      <c r="G908" s="46">
        <v>35</v>
      </c>
      <c r="H908" s="46">
        <v>125</v>
      </c>
      <c r="I908" s="46">
        <v>200</v>
      </c>
      <c r="J908" s="46">
        <v>85</v>
      </c>
      <c r="K908" s="46">
        <v>20</v>
      </c>
      <c r="L908" s="46">
        <v>30</v>
      </c>
      <c r="M908">
        <f t="shared" si="85"/>
        <v>4.0797533497689111E-3</v>
      </c>
      <c r="N908">
        <f t="shared" si="86"/>
        <v>1.4570547677746111E-2</v>
      </c>
      <c r="O908">
        <f t="shared" si="87"/>
        <v>2.3312876284393776E-2</v>
      </c>
      <c r="P908">
        <f t="shared" si="88"/>
        <v>9.9079724208673559E-3</v>
      </c>
      <c r="Q908">
        <f t="shared" si="89"/>
        <v>2.3312876284393778E-3</v>
      </c>
      <c r="R908">
        <f t="shared" si="90"/>
        <v>3.4969314426590665E-3</v>
      </c>
    </row>
    <row r="909" spans="1:18" hidden="1" x14ac:dyDescent="0.25">
      <c r="A909" s="46">
        <v>2020</v>
      </c>
      <c r="B909" s="56">
        <v>402</v>
      </c>
      <c r="C909" s="47" t="s">
        <v>88</v>
      </c>
      <c r="D909" s="47" t="s">
        <v>51</v>
      </c>
      <c r="E909" s="47" t="s">
        <v>48</v>
      </c>
      <c r="F909" s="46">
        <v>1330</v>
      </c>
      <c r="G909" s="46">
        <v>100</v>
      </c>
      <c r="H909" s="46">
        <v>225</v>
      </c>
      <c r="I909" s="46">
        <v>380</v>
      </c>
      <c r="J909" s="46">
        <v>205</v>
      </c>
      <c r="K909" s="46">
        <v>110</v>
      </c>
      <c r="L909" s="46">
        <v>315</v>
      </c>
      <c r="M909">
        <f t="shared" si="85"/>
        <v>1.1656438142196888E-2</v>
      </c>
      <c r="N909">
        <f t="shared" si="86"/>
        <v>2.6226985819943E-2</v>
      </c>
      <c r="O909">
        <f t="shared" si="87"/>
        <v>4.429446494034818E-2</v>
      </c>
      <c r="P909">
        <f t="shared" si="88"/>
        <v>2.3895698191503622E-2</v>
      </c>
      <c r="Q909">
        <f t="shared" si="89"/>
        <v>1.2822081956416579E-2</v>
      </c>
      <c r="R909">
        <f t="shared" si="90"/>
        <v>3.6717780147920202E-2</v>
      </c>
    </row>
    <row r="910" spans="1:18" hidden="1" x14ac:dyDescent="0.25">
      <c r="A910" s="46">
        <v>2020</v>
      </c>
      <c r="B910" s="56">
        <v>402</v>
      </c>
      <c r="C910" s="47" t="s">
        <v>88</v>
      </c>
      <c r="D910" s="47" t="s">
        <v>51</v>
      </c>
      <c r="E910" s="47" t="s">
        <v>49</v>
      </c>
      <c r="F910" s="46">
        <v>455</v>
      </c>
      <c r="G910" s="46">
        <v>20</v>
      </c>
      <c r="H910" s="46">
        <v>60</v>
      </c>
      <c r="I910" s="46">
        <v>55</v>
      </c>
      <c r="J910" s="46">
        <v>50</v>
      </c>
      <c r="K910" s="46">
        <v>35</v>
      </c>
      <c r="L910" s="46">
        <v>230</v>
      </c>
      <c r="M910">
        <f t="shared" si="85"/>
        <v>2.3312876284393778E-3</v>
      </c>
      <c r="N910">
        <f t="shared" si="86"/>
        <v>6.993862885318133E-3</v>
      </c>
      <c r="O910">
        <f t="shared" si="87"/>
        <v>6.4110409782082893E-3</v>
      </c>
      <c r="P910">
        <f t="shared" si="88"/>
        <v>5.8282190710984439E-3</v>
      </c>
      <c r="Q910">
        <f t="shared" si="89"/>
        <v>4.0797533497689111E-3</v>
      </c>
      <c r="R910">
        <f t="shared" si="90"/>
        <v>2.6809807727052843E-2</v>
      </c>
    </row>
    <row r="911" spans="1:18" hidden="1" x14ac:dyDescent="0.25">
      <c r="A911" s="46">
        <v>2020</v>
      </c>
      <c r="B911" s="56">
        <v>402</v>
      </c>
      <c r="C911" s="47" t="s">
        <v>88</v>
      </c>
      <c r="D911" s="47" t="s">
        <v>51</v>
      </c>
      <c r="E911" s="47" t="s">
        <v>50</v>
      </c>
      <c r="F911" s="46">
        <v>160</v>
      </c>
      <c r="G911" s="46">
        <v>5</v>
      </c>
      <c r="H911" s="46">
        <v>5</v>
      </c>
      <c r="I911" s="46">
        <v>5</v>
      </c>
      <c r="J911" s="46">
        <v>5</v>
      </c>
      <c r="K911" s="46">
        <v>5</v>
      </c>
      <c r="L911" s="46">
        <v>130</v>
      </c>
      <c r="M911">
        <f t="shared" si="85"/>
        <v>5.8282190710984446E-4</v>
      </c>
      <c r="N911">
        <f t="shared" si="86"/>
        <v>5.8282190710984446E-4</v>
      </c>
      <c r="O911">
        <f t="shared" si="87"/>
        <v>5.8282190710984446E-4</v>
      </c>
      <c r="P911">
        <f t="shared" si="88"/>
        <v>5.8282190710984446E-4</v>
      </c>
      <c r="Q911">
        <f t="shared" si="89"/>
        <v>5.8282190710984446E-4</v>
      </c>
      <c r="R911">
        <f t="shared" si="90"/>
        <v>1.5153369584855955E-2</v>
      </c>
    </row>
    <row r="912" spans="1:18" hidden="1" x14ac:dyDescent="0.25">
      <c r="A912" s="46">
        <v>2020</v>
      </c>
      <c r="B912" s="56">
        <v>402</v>
      </c>
      <c r="C912" s="47" t="s">
        <v>88</v>
      </c>
      <c r="D912" s="47" t="s">
        <v>52</v>
      </c>
      <c r="E912" s="47" t="s">
        <v>43</v>
      </c>
      <c r="F912" s="46">
        <v>2480</v>
      </c>
      <c r="G912" s="46">
        <v>200</v>
      </c>
      <c r="H912" s="46">
        <v>595</v>
      </c>
      <c r="I912" s="46">
        <v>555</v>
      </c>
      <c r="J912" s="46">
        <v>350</v>
      </c>
      <c r="K912" s="46">
        <v>125</v>
      </c>
      <c r="L912" s="46">
        <v>660</v>
      </c>
      <c r="M912">
        <f t="shared" si="85"/>
        <v>2.3312876284393776E-2</v>
      </c>
      <c r="N912">
        <f t="shared" si="86"/>
        <v>6.9355806946071491E-2</v>
      </c>
      <c r="O912">
        <f t="shared" si="87"/>
        <v>6.4693231689192734E-2</v>
      </c>
      <c r="P912">
        <f t="shared" si="88"/>
        <v>4.0797533497689109E-2</v>
      </c>
      <c r="Q912">
        <f t="shared" si="89"/>
        <v>1.4570547677746111E-2</v>
      </c>
      <c r="R912">
        <f t="shared" si="90"/>
        <v>7.6932491738499462E-2</v>
      </c>
    </row>
    <row r="913" spans="1:18" hidden="1" x14ac:dyDescent="0.25">
      <c r="A913" s="46">
        <v>2020</v>
      </c>
      <c r="B913" s="56">
        <v>402</v>
      </c>
      <c r="C913" s="47" t="s">
        <v>88</v>
      </c>
      <c r="D913" s="47" t="s">
        <v>52</v>
      </c>
      <c r="E913" s="47" t="s">
        <v>44</v>
      </c>
      <c r="F913" s="46">
        <v>545</v>
      </c>
      <c r="G913" s="46">
        <v>60</v>
      </c>
      <c r="H913" s="46">
        <v>200</v>
      </c>
      <c r="I913" s="46">
        <v>165</v>
      </c>
      <c r="J913" s="46">
        <v>70</v>
      </c>
      <c r="K913" s="46">
        <v>20</v>
      </c>
      <c r="L913" s="46">
        <v>30</v>
      </c>
      <c r="M913">
        <f t="shared" si="85"/>
        <v>6.993862885318133E-3</v>
      </c>
      <c r="N913">
        <f t="shared" si="86"/>
        <v>2.3312876284393776E-2</v>
      </c>
      <c r="O913">
        <f t="shared" si="87"/>
        <v>1.9233122934624865E-2</v>
      </c>
      <c r="P913">
        <f t="shared" si="88"/>
        <v>8.1595066995378222E-3</v>
      </c>
      <c r="Q913">
        <f t="shared" si="89"/>
        <v>2.3312876284393778E-3</v>
      </c>
      <c r="R913">
        <f t="shared" si="90"/>
        <v>3.4969314426590665E-3</v>
      </c>
    </row>
    <row r="914" spans="1:18" hidden="1" x14ac:dyDescent="0.25">
      <c r="A914" s="46">
        <v>2020</v>
      </c>
      <c r="B914" s="56">
        <v>402</v>
      </c>
      <c r="C914" s="47" t="s">
        <v>88</v>
      </c>
      <c r="D914" s="47" t="s">
        <v>52</v>
      </c>
      <c r="E914" s="47" t="s">
        <v>45</v>
      </c>
      <c r="F914" s="46">
        <v>135</v>
      </c>
      <c r="G914" s="46">
        <v>10</v>
      </c>
      <c r="H914" s="46">
        <v>25</v>
      </c>
      <c r="I914" s="46">
        <v>40</v>
      </c>
      <c r="J914" s="46">
        <v>30</v>
      </c>
      <c r="K914" s="46">
        <v>10</v>
      </c>
      <c r="L914" s="46">
        <v>25</v>
      </c>
      <c r="M914">
        <f t="shared" si="85"/>
        <v>1.1656438142196889E-3</v>
      </c>
      <c r="N914">
        <f t="shared" si="86"/>
        <v>2.914109535549222E-3</v>
      </c>
      <c r="O914">
        <f t="shared" si="87"/>
        <v>4.6625752568787556E-3</v>
      </c>
      <c r="P914">
        <f t="shared" si="88"/>
        <v>3.4969314426590665E-3</v>
      </c>
      <c r="Q914">
        <f t="shared" si="89"/>
        <v>1.1656438142196889E-3</v>
      </c>
      <c r="R914">
        <f t="shared" si="90"/>
        <v>2.914109535549222E-3</v>
      </c>
    </row>
    <row r="915" spans="1:18" hidden="1" x14ac:dyDescent="0.25">
      <c r="A915" s="46">
        <v>2020</v>
      </c>
      <c r="B915" s="56">
        <v>402</v>
      </c>
      <c r="C915" s="47" t="s">
        <v>88</v>
      </c>
      <c r="D915" s="47" t="s">
        <v>52</v>
      </c>
      <c r="E915" s="47" t="s">
        <v>46</v>
      </c>
      <c r="F915" s="46">
        <v>235</v>
      </c>
      <c r="G915" s="46">
        <v>35</v>
      </c>
      <c r="H915" s="46">
        <v>100</v>
      </c>
      <c r="I915" s="46">
        <v>50</v>
      </c>
      <c r="J915" s="46">
        <v>20</v>
      </c>
      <c r="K915" s="46">
        <v>5</v>
      </c>
      <c r="L915" s="46">
        <v>25</v>
      </c>
      <c r="M915">
        <f t="shared" si="85"/>
        <v>4.0797533497689111E-3</v>
      </c>
      <c r="N915">
        <f t="shared" si="86"/>
        <v>1.1656438142196888E-2</v>
      </c>
      <c r="O915">
        <f t="shared" si="87"/>
        <v>5.8282190710984439E-3</v>
      </c>
      <c r="P915">
        <f t="shared" si="88"/>
        <v>2.3312876284393778E-3</v>
      </c>
      <c r="Q915">
        <f t="shared" si="89"/>
        <v>5.8282190710984446E-4</v>
      </c>
      <c r="R915">
        <f t="shared" si="90"/>
        <v>2.914109535549222E-3</v>
      </c>
    </row>
    <row r="916" spans="1:18" hidden="1" x14ac:dyDescent="0.25">
      <c r="A916" s="46">
        <v>2020</v>
      </c>
      <c r="B916" s="56">
        <v>402</v>
      </c>
      <c r="C916" s="47" t="s">
        <v>88</v>
      </c>
      <c r="D916" s="47" t="s">
        <v>52</v>
      </c>
      <c r="E916" s="47" t="s">
        <v>47</v>
      </c>
      <c r="F916" s="46">
        <v>265</v>
      </c>
      <c r="G916" s="46">
        <v>20</v>
      </c>
      <c r="H916" s="46">
        <v>80</v>
      </c>
      <c r="I916" s="46">
        <v>70</v>
      </c>
      <c r="J916" s="46">
        <v>55</v>
      </c>
      <c r="K916" s="46">
        <v>15</v>
      </c>
      <c r="L916" s="46">
        <v>25</v>
      </c>
      <c r="M916">
        <f t="shared" si="85"/>
        <v>2.3312876284393778E-3</v>
      </c>
      <c r="N916">
        <f t="shared" si="86"/>
        <v>9.3251505137575113E-3</v>
      </c>
      <c r="O916">
        <f t="shared" si="87"/>
        <v>8.1595066995378222E-3</v>
      </c>
      <c r="P916">
        <f t="shared" si="88"/>
        <v>6.4110409782082893E-3</v>
      </c>
      <c r="Q916">
        <f t="shared" si="89"/>
        <v>1.7484657213295333E-3</v>
      </c>
      <c r="R916">
        <f t="shared" si="90"/>
        <v>2.914109535549222E-3</v>
      </c>
    </row>
    <row r="917" spans="1:18" hidden="1" x14ac:dyDescent="0.25">
      <c r="A917" s="46">
        <v>2020</v>
      </c>
      <c r="B917" s="56">
        <v>402</v>
      </c>
      <c r="C917" s="47" t="s">
        <v>88</v>
      </c>
      <c r="D917" s="47" t="s">
        <v>52</v>
      </c>
      <c r="E917" s="47" t="s">
        <v>48</v>
      </c>
      <c r="F917" s="46">
        <v>905</v>
      </c>
      <c r="G917" s="46">
        <v>60</v>
      </c>
      <c r="H917" s="46">
        <v>150</v>
      </c>
      <c r="I917" s="46">
        <v>200</v>
      </c>
      <c r="J917" s="46">
        <v>130</v>
      </c>
      <c r="K917" s="46">
        <v>65</v>
      </c>
      <c r="L917" s="46">
        <v>300</v>
      </c>
      <c r="M917">
        <f t="shared" si="85"/>
        <v>6.993862885318133E-3</v>
      </c>
      <c r="N917">
        <f t="shared" si="86"/>
        <v>1.7484657213295333E-2</v>
      </c>
      <c r="O917">
        <f t="shared" si="87"/>
        <v>2.3312876284393776E-2</v>
      </c>
      <c r="P917">
        <f t="shared" si="88"/>
        <v>1.5153369584855955E-2</v>
      </c>
      <c r="Q917">
        <f t="shared" si="89"/>
        <v>7.5766847924279776E-3</v>
      </c>
      <c r="R917">
        <f t="shared" si="90"/>
        <v>3.4969314426590667E-2</v>
      </c>
    </row>
    <row r="918" spans="1:18" hidden="1" x14ac:dyDescent="0.25">
      <c r="A918" s="46">
        <v>2020</v>
      </c>
      <c r="B918" s="56">
        <v>402</v>
      </c>
      <c r="C918" s="47" t="s">
        <v>88</v>
      </c>
      <c r="D918" s="47" t="s">
        <v>52</v>
      </c>
      <c r="E918" s="47" t="s">
        <v>49</v>
      </c>
      <c r="F918" s="46">
        <v>265</v>
      </c>
      <c r="G918" s="46">
        <v>15</v>
      </c>
      <c r="H918" s="46">
        <v>30</v>
      </c>
      <c r="I918" s="46">
        <v>20</v>
      </c>
      <c r="J918" s="46">
        <v>35</v>
      </c>
      <c r="K918" s="46">
        <v>10</v>
      </c>
      <c r="L918" s="46">
        <v>150</v>
      </c>
      <c r="M918">
        <f t="shared" si="85"/>
        <v>1.7484657213295333E-3</v>
      </c>
      <c r="N918">
        <f t="shared" si="86"/>
        <v>3.4969314426590665E-3</v>
      </c>
      <c r="O918">
        <f t="shared" si="87"/>
        <v>2.3312876284393778E-3</v>
      </c>
      <c r="P918">
        <f t="shared" si="88"/>
        <v>4.0797533497689111E-3</v>
      </c>
      <c r="Q918">
        <f t="shared" si="89"/>
        <v>1.1656438142196889E-3</v>
      </c>
      <c r="R918">
        <f t="shared" si="90"/>
        <v>1.7484657213295333E-2</v>
      </c>
    </row>
    <row r="919" spans="1:18" hidden="1" x14ac:dyDescent="0.25">
      <c r="A919" s="46">
        <v>2020</v>
      </c>
      <c r="B919" s="56">
        <v>402</v>
      </c>
      <c r="C919" s="47" t="s">
        <v>88</v>
      </c>
      <c r="D919" s="47" t="s">
        <v>52</v>
      </c>
      <c r="E919" s="47" t="s">
        <v>50</v>
      </c>
      <c r="F919" s="46">
        <v>130</v>
      </c>
      <c r="G919" s="46">
        <v>5</v>
      </c>
      <c r="H919" s="46">
        <v>5</v>
      </c>
      <c r="I919" s="46">
        <v>10</v>
      </c>
      <c r="J919" s="46">
        <v>5</v>
      </c>
      <c r="K919" s="46">
        <v>5</v>
      </c>
      <c r="L919" s="46">
        <v>105</v>
      </c>
      <c r="M919">
        <f t="shared" si="85"/>
        <v>5.8282190710984446E-4</v>
      </c>
      <c r="N919">
        <f t="shared" si="86"/>
        <v>5.8282190710984446E-4</v>
      </c>
      <c r="O919">
        <f t="shared" si="87"/>
        <v>1.1656438142196889E-3</v>
      </c>
      <c r="P919">
        <f t="shared" si="88"/>
        <v>5.8282190710984446E-4</v>
      </c>
      <c r="Q919">
        <f t="shared" si="89"/>
        <v>5.8282190710984446E-4</v>
      </c>
      <c r="R919">
        <f t="shared" si="90"/>
        <v>1.2239260049306732E-2</v>
      </c>
    </row>
    <row r="920" spans="1:18" x14ac:dyDescent="0.25">
      <c r="A920" s="46">
        <v>2020</v>
      </c>
      <c r="B920" s="56">
        <v>403</v>
      </c>
      <c r="C920" s="47" t="s">
        <v>89</v>
      </c>
      <c r="D920" s="47" t="s">
        <v>42</v>
      </c>
      <c r="E920" s="47" t="s">
        <v>43</v>
      </c>
      <c r="F920" s="46">
        <v>19145</v>
      </c>
      <c r="G920" s="46">
        <v>1355</v>
      </c>
      <c r="H920" s="46">
        <v>4170</v>
      </c>
      <c r="I920" s="46">
        <v>5025</v>
      </c>
      <c r="J920" s="46">
        <v>1845</v>
      </c>
      <c r="K920" s="46">
        <v>1045</v>
      </c>
      <c r="L920" s="46">
        <v>5705</v>
      </c>
      <c r="M920">
        <f t="shared" si="85"/>
        <v>0.15794473682676785</v>
      </c>
      <c r="N920">
        <f t="shared" si="86"/>
        <v>0.48607347052961031</v>
      </c>
      <c r="O920">
        <f t="shared" si="87"/>
        <v>0.58573601664539365</v>
      </c>
      <c r="P920">
        <f t="shared" si="88"/>
        <v>0.21506128372353259</v>
      </c>
      <c r="Q920">
        <f t="shared" si="89"/>
        <v>0.12180977858595748</v>
      </c>
      <c r="R920">
        <f t="shared" si="90"/>
        <v>0.6649997960123325</v>
      </c>
    </row>
    <row r="921" spans="1:18" hidden="1" x14ac:dyDescent="0.25">
      <c r="A921" s="46">
        <v>2020</v>
      </c>
      <c r="B921" s="56">
        <v>403</v>
      </c>
      <c r="C921" s="47" t="s">
        <v>89</v>
      </c>
      <c r="D921" s="47" t="s">
        <v>42</v>
      </c>
      <c r="E921" s="47" t="s">
        <v>44</v>
      </c>
      <c r="F921" s="46">
        <v>3430</v>
      </c>
      <c r="G921" s="46">
        <v>410</v>
      </c>
      <c r="H921" s="46">
        <v>1250</v>
      </c>
      <c r="I921" s="46">
        <v>1185</v>
      </c>
      <c r="J921" s="46">
        <v>300</v>
      </c>
      <c r="K921" s="46">
        <v>135</v>
      </c>
      <c r="L921" s="46">
        <v>145</v>
      </c>
      <c r="M921">
        <f t="shared" si="85"/>
        <v>4.7791396383007244E-2</v>
      </c>
      <c r="N921">
        <f t="shared" si="86"/>
        <v>0.14570547677746112</v>
      </c>
      <c r="O921">
        <f t="shared" si="87"/>
        <v>0.13812879198503311</v>
      </c>
      <c r="P921">
        <f t="shared" si="88"/>
        <v>3.4969314426590667E-2</v>
      </c>
      <c r="Q921">
        <f t="shared" si="89"/>
        <v>1.5736191491965801E-2</v>
      </c>
      <c r="R921">
        <f t="shared" si="90"/>
        <v>1.6901835306185491E-2</v>
      </c>
    </row>
    <row r="922" spans="1:18" hidden="1" x14ac:dyDescent="0.25">
      <c r="A922" s="46">
        <v>2020</v>
      </c>
      <c r="B922" s="56">
        <v>403</v>
      </c>
      <c r="C922" s="47" t="s">
        <v>89</v>
      </c>
      <c r="D922" s="47" t="s">
        <v>42</v>
      </c>
      <c r="E922" s="47" t="s">
        <v>45</v>
      </c>
      <c r="F922" s="46">
        <v>1000</v>
      </c>
      <c r="G922" s="46">
        <v>95</v>
      </c>
      <c r="H922" s="46">
        <v>255</v>
      </c>
      <c r="I922" s="46">
        <v>350</v>
      </c>
      <c r="J922" s="46">
        <v>80</v>
      </c>
      <c r="K922" s="46">
        <v>45</v>
      </c>
      <c r="L922" s="46">
        <v>180</v>
      </c>
      <c r="M922">
        <f t="shared" si="85"/>
        <v>1.1073616235087045E-2</v>
      </c>
      <c r="N922">
        <f t="shared" si="86"/>
        <v>2.9723917262602068E-2</v>
      </c>
      <c r="O922">
        <f t="shared" si="87"/>
        <v>4.0797533497689109E-2</v>
      </c>
      <c r="P922">
        <f t="shared" si="88"/>
        <v>9.3251505137575113E-3</v>
      </c>
      <c r="Q922">
        <f t="shared" si="89"/>
        <v>5.2453971639886002E-3</v>
      </c>
      <c r="R922">
        <f t="shared" si="90"/>
        <v>2.0981588655954401E-2</v>
      </c>
    </row>
    <row r="923" spans="1:18" hidden="1" x14ac:dyDescent="0.25">
      <c r="A923" s="46">
        <v>2020</v>
      </c>
      <c r="B923" s="56">
        <v>403</v>
      </c>
      <c r="C923" s="47" t="s">
        <v>89</v>
      </c>
      <c r="D923" s="47" t="s">
        <v>42</v>
      </c>
      <c r="E923" s="47" t="s">
        <v>46</v>
      </c>
      <c r="F923" s="46">
        <v>1765</v>
      </c>
      <c r="G923" s="46">
        <v>215</v>
      </c>
      <c r="H923" s="46">
        <v>515</v>
      </c>
      <c r="I923" s="46">
        <v>625</v>
      </c>
      <c r="J923" s="46">
        <v>95</v>
      </c>
      <c r="K923" s="46">
        <v>40</v>
      </c>
      <c r="L923" s="46">
        <v>275</v>
      </c>
      <c r="M923">
        <f t="shared" si="85"/>
        <v>2.5061342005723308E-2</v>
      </c>
      <c r="N923">
        <f t="shared" si="86"/>
        <v>6.0030656432313978E-2</v>
      </c>
      <c r="O923">
        <f t="shared" si="87"/>
        <v>7.2852738388730562E-2</v>
      </c>
      <c r="P923">
        <f t="shared" si="88"/>
        <v>1.1073616235087045E-2</v>
      </c>
      <c r="Q923">
        <f t="shared" si="89"/>
        <v>4.6625752568787556E-3</v>
      </c>
      <c r="R923">
        <f t="shared" si="90"/>
        <v>3.2055204891041446E-2</v>
      </c>
    </row>
    <row r="924" spans="1:18" hidden="1" x14ac:dyDescent="0.25">
      <c r="A924" s="46">
        <v>2020</v>
      </c>
      <c r="B924" s="56">
        <v>403</v>
      </c>
      <c r="C924" s="47" t="s">
        <v>89</v>
      </c>
      <c r="D924" s="47" t="s">
        <v>42</v>
      </c>
      <c r="E924" s="47" t="s">
        <v>47</v>
      </c>
      <c r="F924" s="46">
        <v>2425</v>
      </c>
      <c r="G924" s="46">
        <v>205</v>
      </c>
      <c r="H924" s="46">
        <v>630</v>
      </c>
      <c r="I924" s="46">
        <v>830</v>
      </c>
      <c r="J924" s="46">
        <v>305</v>
      </c>
      <c r="K924" s="46">
        <v>155</v>
      </c>
      <c r="L924" s="46">
        <v>300</v>
      </c>
      <c r="M924">
        <f t="shared" si="85"/>
        <v>2.3895698191503622E-2</v>
      </c>
      <c r="N924">
        <f t="shared" si="86"/>
        <v>7.3435560295840405E-2</v>
      </c>
      <c r="O924">
        <f t="shared" si="87"/>
        <v>9.6748436580234173E-2</v>
      </c>
      <c r="P924">
        <f t="shared" si="88"/>
        <v>3.555213633370051E-2</v>
      </c>
      <c r="Q924">
        <f t="shared" si="89"/>
        <v>1.806747912040518E-2</v>
      </c>
      <c r="R924">
        <f t="shared" si="90"/>
        <v>3.4969314426590667E-2</v>
      </c>
    </row>
    <row r="925" spans="1:18" hidden="1" x14ac:dyDescent="0.25">
      <c r="A925" s="46">
        <v>2020</v>
      </c>
      <c r="B925" s="56">
        <v>403</v>
      </c>
      <c r="C925" s="47" t="s">
        <v>89</v>
      </c>
      <c r="D925" s="47" t="s">
        <v>42</v>
      </c>
      <c r="E925" s="47" t="s">
        <v>48</v>
      </c>
      <c r="F925" s="46">
        <v>7095</v>
      </c>
      <c r="G925" s="46">
        <v>350</v>
      </c>
      <c r="H925" s="46">
        <v>1220</v>
      </c>
      <c r="I925" s="46">
        <v>1725</v>
      </c>
      <c r="J925" s="46">
        <v>875</v>
      </c>
      <c r="K925" s="46">
        <v>545</v>
      </c>
      <c r="L925" s="46">
        <v>2380</v>
      </c>
      <c r="M925">
        <f t="shared" si="85"/>
        <v>4.0797533497689109E-2</v>
      </c>
      <c r="N925">
        <f t="shared" si="86"/>
        <v>0.14220854533480204</v>
      </c>
      <c r="O925">
        <f t="shared" si="87"/>
        <v>0.20107355795289636</v>
      </c>
      <c r="P925">
        <f t="shared" si="88"/>
        <v>0.10199383374422277</v>
      </c>
      <c r="Q925">
        <f t="shared" si="89"/>
        <v>6.3527587874973049E-2</v>
      </c>
      <c r="R925">
        <f t="shared" si="90"/>
        <v>0.27742322778428596</v>
      </c>
    </row>
    <row r="926" spans="1:18" hidden="1" x14ac:dyDescent="0.25">
      <c r="A926" s="46">
        <v>2020</v>
      </c>
      <c r="B926" s="56">
        <v>403</v>
      </c>
      <c r="C926" s="47" t="s">
        <v>89</v>
      </c>
      <c r="D926" s="47" t="s">
        <v>42</v>
      </c>
      <c r="E926" s="47" t="s">
        <v>49</v>
      </c>
      <c r="F926" s="46">
        <v>2330</v>
      </c>
      <c r="G926" s="46">
        <v>65</v>
      </c>
      <c r="H926" s="46">
        <v>260</v>
      </c>
      <c r="I926" s="46">
        <v>250</v>
      </c>
      <c r="J926" s="46">
        <v>150</v>
      </c>
      <c r="K926" s="46">
        <v>85</v>
      </c>
      <c r="L926" s="46">
        <v>1520</v>
      </c>
      <c r="M926">
        <f t="shared" si="85"/>
        <v>7.5766847924279776E-3</v>
      </c>
      <c r="N926">
        <f t="shared" si="86"/>
        <v>3.030673916971191E-2</v>
      </c>
      <c r="O926">
        <f t="shared" si="87"/>
        <v>2.9141095355492221E-2</v>
      </c>
      <c r="P926">
        <f t="shared" si="88"/>
        <v>1.7484657213295333E-2</v>
      </c>
      <c r="Q926">
        <f t="shared" si="89"/>
        <v>9.9079724208673559E-3</v>
      </c>
      <c r="R926">
        <f t="shared" si="90"/>
        <v>0.17717785976139272</v>
      </c>
    </row>
    <row r="927" spans="1:18" hidden="1" x14ac:dyDescent="0.25">
      <c r="A927" s="46">
        <v>2020</v>
      </c>
      <c r="B927" s="56">
        <v>403</v>
      </c>
      <c r="C927" s="47" t="s">
        <v>89</v>
      </c>
      <c r="D927" s="47" t="s">
        <v>42</v>
      </c>
      <c r="E927" s="47" t="s">
        <v>50</v>
      </c>
      <c r="F927" s="46">
        <v>1100</v>
      </c>
      <c r="G927" s="46">
        <v>15</v>
      </c>
      <c r="H927" s="46">
        <v>40</v>
      </c>
      <c r="I927" s="46">
        <v>60</v>
      </c>
      <c r="J927" s="46">
        <v>35</v>
      </c>
      <c r="K927" s="46">
        <v>35</v>
      </c>
      <c r="L927" s="46">
        <v>910</v>
      </c>
      <c r="M927">
        <f t="shared" si="85"/>
        <v>1.7484657213295333E-3</v>
      </c>
      <c r="N927">
        <f t="shared" si="86"/>
        <v>4.6625752568787556E-3</v>
      </c>
      <c r="O927">
        <f t="shared" si="87"/>
        <v>6.993862885318133E-3</v>
      </c>
      <c r="P927">
        <f t="shared" si="88"/>
        <v>4.0797533497689111E-3</v>
      </c>
      <c r="Q927">
        <f t="shared" si="89"/>
        <v>4.0797533497689111E-3</v>
      </c>
      <c r="R927">
        <f t="shared" si="90"/>
        <v>0.10607358709399169</v>
      </c>
    </row>
    <row r="928" spans="1:18" hidden="1" x14ac:dyDescent="0.25">
      <c r="A928" s="46">
        <v>2020</v>
      </c>
      <c r="B928" s="56">
        <v>403</v>
      </c>
      <c r="C928" s="47" t="s">
        <v>89</v>
      </c>
      <c r="D928" s="47" t="s">
        <v>51</v>
      </c>
      <c r="E928" s="47" t="s">
        <v>43</v>
      </c>
      <c r="F928" s="46">
        <v>10045</v>
      </c>
      <c r="G928" s="46">
        <v>720</v>
      </c>
      <c r="H928" s="46">
        <v>2090</v>
      </c>
      <c r="I928" s="46">
        <v>2845</v>
      </c>
      <c r="J928" s="46">
        <v>1040</v>
      </c>
      <c r="K928" s="46">
        <v>530</v>
      </c>
      <c r="L928" s="46">
        <v>2820</v>
      </c>
      <c r="M928">
        <f t="shared" si="85"/>
        <v>8.3926354623817603E-2</v>
      </c>
      <c r="N928">
        <f t="shared" si="86"/>
        <v>0.24361955717191497</v>
      </c>
      <c r="O928">
        <f t="shared" si="87"/>
        <v>0.33162566514550151</v>
      </c>
      <c r="P928">
        <f t="shared" si="88"/>
        <v>0.12122695667884764</v>
      </c>
      <c r="Q928">
        <f t="shared" si="89"/>
        <v>6.1779122153643513E-2</v>
      </c>
      <c r="R928">
        <f t="shared" si="90"/>
        <v>0.32871155560995224</v>
      </c>
    </row>
    <row r="929" spans="1:18" hidden="1" x14ac:dyDescent="0.25">
      <c r="A929" s="46">
        <v>2020</v>
      </c>
      <c r="B929" s="56">
        <v>403</v>
      </c>
      <c r="C929" s="47" t="s">
        <v>89</v>
      </c>
      <c r="D929" s="47" t="s">
        <v>51</v>
      </c>
      <c r="E929" s="47" t="s">
        <v>44</v>
      </c>
      <c r="F929" s="46">
        <v>1720</v>
      </c>
      <c r="G929" s="46">
        <v>195</v>
      </c>
      <c r="H929" s="46">
        <v>635</v>
      </c>
      <c r="I929" s="46">
        <v>590</v>
      </c>
      <c r="J929" s="46">
        <v>155</v>
      </c>
      <c r="K929" s="46">
        <v>75</v>
      </c>
      <c r="L929" s="46">
        <v>70</v>
      </c>
      <c r="M929">
        <f t="shared" si="85"/>
        <v>2.2730054377283933E-2</v>
      </c>
      <c r="N929">
        <f t="shared" si="86"/>
        <v>7.4018382202950248E-2</v>
      </c>
      <c r="O929">
        <f t="shared" si="87"/>
        <v>6.8772985038961648E-2</v>
      </c>
      <c r="P929">
        <f t="shared" si="88"/>
        <v>1.806747912040518E-2</v>
      </c>
      <c r="Q929">
        <f t="shared" si="89"/>
        <v>8.7423286066476667E-3</v>
      </c>
      <c r="R929">
        <f t="shared" si="90"/>
        <v>8.1595066995378222E-3</v>
      </c>
    </row>
    <row r="930" spans="1:18" hidden="1" x14ac:dyDescent="0.25">
      <c r="A930" s="46">
        <v>2020</v>
      </c>
      <c r="B930" s="56">
        <v>403</v>
      </c>
      <c r="C930" s="47" t="s">
        <v>89</v>
      </c>
      <c r="D930" s="47" t="s">
        <v>51</v>
      </c>
      <c r="E930" s="47" t="s">
        <v>45</v>
      </c>
      <c r="F930" s="46">
        <v>555</v>
      </c>
      <c r="G930" s="46">
        <v>60</v>
      </c>
      <c r="H930" s="46">
        <v>135</v>
      </c>
      <c r="I930" s="46">
        <v>200</v>
      </c>
      <c r="J930" s="46">
        <v>50</v>
      </c>
      <c r="K930" s="46">
        <v>25</v>
      </c>
      <c r="L930" s="46">
        <v>90</v>
      </c>
      <c r="M930">
        <f t="shared" si="85"/>
        <v>6.993862885318133E-3</v>
      </c>
      <c r="N930">
        <f t="shared" si="86"/>
        <v>1.5736191491965801E-2</v>
      </c>
      <c r="O930">
        <f t="shared" si="87"/>
        <v>2.3312876284393776E-2</v>
      </c>
      <c r="P930">
        <f t="shared" si="88"/>
        <v>5.8282190710984439E-3</v>
      </c>
      <c r="Q930">
        <f t="shared" si="89"/>
        <v>2.914109535549222E-3</v>
      </c>
      <c r="R930">
        <f t="shared" si="90"/>
        <v>1.04907943279772E-2</v>
      </c>
    </row>
    <row r="931" spans="1:18" hidden="1" x14ac:dyDescent="0.25">
      <c r="A931" s="46">
        <v>2020</v>
      </c>
      <c r="B931" s="56">
        <v>403</v>
      </c>
      <c r="C931" s="47" t="s">
        <v>89</v>
      </c>
      <c r="D931" s="47" t="s">
        <v>51</v>
      </c>
      <c r="E931" s="47" t="s">
        <v>46</v>
      </c>
      <c r="F931" s="46">
        <v>975</v>
      </c>
      <c r="G931" s="46">
        <v>120</v>
      </c>
      <c r="H931" s="46">
        <v>230</v>
      </c>
      <c r="I931" s="46">
        <v>405</v>
      </c>
      <c r="J931" s="46">
        <v>55</v>
      </c>
      <c r="K931" s="46">
        <v>25</v>
      </c>
      <c r="L931" s="46">
        <v>140</v>
      </c>
      <c r="M931">
        <f t="shared" si="85"/>
        <v>1.3987725770636266E-2</v>
      </c>
      <c r="N931">
        <f t="shared" si="86"/>
        <v>2.6809807727052843E-2</v>
      </c>
      <c r="O931">
        <f t="shared" si="87"/>
        <v>4.7208574475897401E-2</v>
      </c>
      <c r="P931">
        <f t="shared" si="88"/>
        <v>6.4110409782082893E-3</v>
      </c>
      <c r="Q931">
        <f t="shared" si="89"/>
        <v>2.914109535549222E-3</v>
      </c>
      <c r="R931">
        <f t="shared" si="90"/>
        <v>1.6319013399075644E-2</v>
      </c>
    </row>
    <row r="932" spans="1:18" hidden="1" x14ac:dyDescent="0.25">
      <c r="A932" s="46">
        <v>2020</v>
      </c>
      <c r="B932" s="56">
        <v>403</v>
      </c>
      <c r="C932" s="47" t="s">
        <v>89</v>
      </c>
      <c r="D932" s="47" t="s">
        <v>51</v>
      </c>
      <c r="E932" s="47" t="s">
        <v>47</v>
      </c>
      <c r="F932" s="46">
        <v>1330</v>
      </c>
      <c r="G932" s="46">
        <v>105</v>
      </c>
      <c r="H932" s="46">
        <v>305</v>
      </c>
      <c r="I932" s="46">
        <v>505</v>
      </c>
      <c r="J932" s="46">
        <v>170</v>
      </c>
      <c r="K932" s="46">
        <v>85</v>
      </c>
      <c r="L932" s="46">
        <v>155</v>
      </c>
      <c r="M932">
        <f t="shared" si="85"/>
        <v>1.2239260049306732E-2</v>
      </c>
      <c r="N932">
        <f t="shared" si="86"/>
        <v>3.555213633370051E-2</v>
      </c>
      <c r="O932">
        <f t="shared" si="87"/>
        <v>5.8865012618094292E-2</v>
      </c>
      <c r="P932">
        <f t="shared" si="88"/>
        <v>1.9815944841734712E-2</v>
      </c>
      <c r="Q932">
        <f t="shared" si="89"/>
        <v>9.9079724208673559E-3</v>
      </c>
      <c r="R932">
        <f t="shared" si="90"/>
        <v>1.806747912040518E-2</v>
      </c>
    </row>
    <row r="933" spans="1:18" hidden="1" x14ac:dyDescent="0.25">
      <c r="A933" s="46">
        <v>2020</v>
      </c>
      <c r="B933" s="56">
        <v>403</v>
      </c>
      <c r="C933" s="47" t="s">
        <v>89</v>
      </c>
      <c r="D933" s="47" t="s">
        <v>51</v>
      </c>
      <c r="E933" s="47" t="s">
        <v>48</v>
      </c>
      <c r="F933" s="46">
        <v>3760</v>
      </c>
      <c r="G933" s="46">
        <v>195</v>
      </c>
      <c r="H933" s="46">
        <v>615</v>
      </c>
      <c r="I933" s="46">
        <v>1000</v>
      </c>
      <c r="J933" s="46">
        <v>510</v>
      </c>
      <c r="K933" s="46">
        <v>270</v>
      </c>
      <c r="L933" s="46">
        <v>1175</v>
      </c>
      <c r="M933">
        <f t="shared" si="85"/>
        <v>2.2730054377283933E-2</v>
      </c>
      <c r="N933">
        <f t="shared" si="86"/>
        <v>7.1687094574510862E-2</v>
      </c>
      <c r="O933">
        <f t="shared" si="87"/>
        <v>0.11656438142196889</v>
      </c>
      <c r="P933">
        <f t="shared" si="88"/>
        <v>5.9447834525204135E-2</v>
      </c>
      <c r="Q933">
        <f t="shared" si="89"/>
        <v>3.1472382983931603E-2</v>
      </c>
      <c r="R933">
        <f t="shared" si="90"/>
        <v>0.13696314817081343</v>
      </c>
    </row>
    <row r="934" spans="1:18" hidden="1" x14ac:dyDescent="0.25">
      <c r="A934" s="46">
        <v>2020</v>
      </c>
      <c r="B934" s="56">
        <v>403</v>
      </c>
      <c r="C934" s="47" t="s">
        <v>89</v>
      </c>
      <c r="D934" s="47" t="s">
        <v>51</v>
      </c>
      <c r="E934" s="47" t="s">
        <v>49</v>
      </c>
      <c r="F934" s="46">
        <v>1230</v>
      </c>
      <c r="G934" s="46">
        <v>40</v>
      </c>
      <c r="H934" s="46">
        <v>155</v>
      </c>
      <c r="I934" s="46">
        <v>120</v>
      </c>
      <c r="J934" s="46">
        <v>80</v>
      </c>
      <c r="K934" s="46">
        <v>45</v>
      </c>
      <c r="L934" s="46">
        <v>785</v>
      </c>
      <c r="M934">
        <f t="shared" si="85"/>
        <v>4.6625752568787556E-3</v>
      </c>
      <c r="N934">
        <f t="shared" si="86"/>
        <v>1.806747912040518E-2</v>
      </c>
      <c r="O934">
        <f t="shared" si="87"/>
        <v>1.3987725770636266E-2</v>
      </c>
      <c r="P934">
        <f t="shared" si="88"/>
        <v>9.3251505137575113E-3</v>
      </c>
      <c r="Q934">
        <f t="shared" si="89"/>
        <v>5.2453971639886002E-3</v>
      </c>
      <c r="R934">
        <f t="shared" si="90"/>
        <v>9.1503039416245574E-2</v>
      </c>
    </row>
    <row r="935" spans="1:18" hidden="1" x14ac:dyDescent="0.25">
      <c r="A935" s="46">
        <v>2020</v>
      </c>
      <c r="B935" s="56">
        <v>403</v>
      </c>
      <c r="C935" s="47" t="s">
        <v>89</v>
      </c>
      <c r="D935" s="47" t="s">
        <v>51</v>
      </c>
      <c r="E935" s="47" t="s">
        <v>50</v>
      </c>
      <c r="F935" s="46">
        <v>480</v>
      </c>
      <c r="G935" s="46">
        <v>5</v>
      </c>
      <c r="H935" s="46">
        <v>15</v>
      </c>
      <c r="I935" s="46">
        <v>25</v>
      </c>
      <c r="J935" s="46">
        <v>20</v>
      </c>
      <c r="K935" s="46">
        <v>10</v>
      </c>
      <c r="L935" s="46">
        <v>405</v>
      </c>
      <c r="M935">
        <f t="shared" si="85"/>
        <v>5.8282190710984446E-4</v>
      </c>
      <c r="N935">
        <f t="shared" si="86"/>
        <v>1.7484657213295333E-3</v>
      </c>
      <c r="O935">
        <f t="shared" si="87"/>
        <v>2.914109535549222E-3</v>
      </c>
      <c r="P935">
        <f t="shared" si="88"/>
        <v>2.3312876284393778E-3</v>
      </c>
      <c r="Q935">
        <f t="shared" si="89"/>
        <v>1.1656438142196889E-3</v>
      </c>
      <c r="R935">
        <f t="shared" si="90"/>
        <v>4.7208574475897401E-2</v>
      </c>
    </row>
    <row r="936" spans="1:18" hidden="1" x14ac:dyDescent="0.25">
      <c r="A936" s="46">
        <v>2020</v>
      </c>
      <c r="B936" s="56">
        <v>403</v>
      </c>
      <c r="C936" s="47" t="s">
        <v>89</v>
      </c>
      <c r="D936" s="47" t="s">
        <v>52</v>
      </c>
      <c r="E936" s="47" t="s">
        <v>43</v>
      </c>
      <c r="F936" s="46">
        <v>9095</v>
      </c>
      <c r="G936" s="46">
        <v>635</v>
      </c>
      <c r="H936" s="46">
        <v>2075</v>
      </c>
      <c r="I936" s="46">
        <v>2180</v>
      </c>
      <c r="J936" s="46">
        <v>805</v>
      </c>
      <c r="K936" s="46">
        <v>515</v>
      </c>
      <c r="L936" s="46">
        <v>2890</v>
      </c>
      <c r="M936">
        <f t="shared" si="85"/>
        <v>7.4018382202950248E-2</v>
      </c>
      <c r="N936">
        <f t="shared" si="86"/>
        <v>0.24187109145058544</v>
      </c>
      <c r="O936">
        <f t="shared" si="87"/>
        <v>0.2541103514998922</v>
      </c>
      <c r="P936">
        <f t="shared" si="88"/>
        <v>9.3834327044684959E-2</v>
      </c>
      <c r="Q936">
        <f t="shared" si="89"/>
        <v>6.0030656432313978E-2</v>
      </c>
      <c r="R936">
        <f t="shared" si="90"/>
        <v>0.3368710623094901</v>
      </c>
    </row>
    <row r="937" spans="1:18" hidden="1" x14ac:dyDescent="0.25">
      <c r="A937" s="46">
        <v>2020</v>
      </c>
      <c r="B937" s="56">
        <v>403</v>
      </c>
      <c r="C937" s="47" t="s">
        <v>89</v>
      </c>
      <c r="D937" s="47" t="s">
        <v>52</v>
      </c>
      <c r="E937" s="47" t="s">
        <v>44</v>
      </c>
      <c r="F937" s="46">
        <v>1710</v>
      </c>
      <c r="G937" s="46">
        <v>215</v>
      </c>
      <c r="H937" s="46">
        <v>615</v>
      </c>
      <c r="I937" s="46">
        <v>600</v>
      </c>
      <c r="J937" s="46">
        <v>145</v>
      </c>
      <c r="K937" s="46">
        <v>65</v>
      </c>
      <c r="L937" s="46">
        <v>75</v>
      </c>
      <c r="M937">
        <f t="shared" si="85"/>
        <v>2.5061342005723308E-2</v>
      </c>
      <c r="N937">
        <f t="shared" si="86"/>
        <v>7.1687094574510862E-2</v>
      </c>
      <c r="O937">
        <f t="shared" si="87"/>
        <v>6.9938628853181334E-2</v>
      </c>
      <c r="P937">
        <f t="shared" si="88"/>
        <v>1.6901835306185491E-2</v>
      </c>
      <c r="Q937">
        <f t="shared" si="89"/>
        <v>7.5766847924279776E-3</v>
      </c>
      <c r="R937">
        <f t="shared" si="90"/>
        <v>8.7423286066476667E-3</v>
      </c>
    </row>
    <row r="938" spans="1:18" hidden="1" x14ac:dyDescent="0.25">
      <c r="A938" s="46">
        <v>2020</v>
      </c>
      <c r="B938" s="56">
        <v>403</v>
      </c>
      <c r="C938" s="47" t="s">
        <v>89</v>
      </c>
      <c r="D938" s="47" t="s">
        <v>52</v>
      </c>
      <c r="E938" s="47" t="s">
        <v>45</v>
      </c>
      <c r="F938" s="46">
        <v>445</v>
      </c>
      <c r="G938" s="46">
        <v>35</v>
      </c>
      <c r="H938" s="46">
        <v>120</v>
      </c>
      <c r="I938" s="46">
        <v>150</v>
      </c>
      <c r="J938" s="46">
        <v>35</v>
      </c>
      <c r="K938" s="46">
        <v>20</v>
      </c>
      <c r="L938" s="46">
        <v>90</v>
      </c>
      <c r="M938">
        <f t="shared" si="85"/>
        <v>4.0797533497689111E-3</v>
      </c>
      <c r="N938">
        <f t="shared" si="86"/>
        <v>1.3987725770636266E-2</v>
      </c>
      <c r="O938">
        <f t="shared" si="87"/>
        <v>1.7484657213295333E-2</v>
      </c>
      <c r="P938">
        <f t="shared" si="88"/>
        <v>4.0797533497689111E-3</v>
      </c>
      <c r="Q938">
        <f t="shared" si="89"/>
        <v>2.3312876284393778E-3</v>
      </c>
      <c r="R938">
        <f t="shared" si="90"/>
        <v>1.04907943279772E-2</v>
      </c>
    </row>
    <row r="939" spans="1:18" hidden="1" x14ac:dyDescent="0.25">
      <c r="A939" s="46">
        <v>2020</v>
      </c>
      <c r="B939" s="56">
        <v>403</v>
      </c>
      <c r="C939" s="47" t="s">
        <v>89</v>
      </c>
      <c r="D939" s="47" t="s">
        <v>52</v>
      </c>
      <c r="E939" s="47" t="s">
        <v>46</v>
      </c>
      <c r="F939" s="46">
        <v>790</v>
      </c>
      <c r="G939" s="46">
        <v>95</v>
      </c>
      <c r="H939" s="46">
        <v>285</v>
      </c>
      <c r="I939" s="46">
        <v>220</v>
      </c>
      <c r="J939" s="46">
        <v>40</v>
      </c>
      <c r="K939" s="46">
        <v>15</v>
      </c>
      <c r="L939" s="46">
        <v>135</v>
      </c>
      <c r="M939">
        <f t="shared" si="85"/>
        <v>1.1073616235087045E-2</v>
      </c>
      <c r="N939">
        <f t="shared" si="86"/>
        <v>3.3220848705261131E-2</v>
      </c>
      <c r="O939">
        <f t="shared" si="87"/>
        <v>2.5644163912833157E-2</v>
      </c>
      <c r="P939">
        <f t="shared" si="88"/>
        <v>4.6625752568787556E-3</v>
      </c>
      <c r="Q939">
        <f t="shared" si="89"/>
        <v>1.7484657213295333E-3</v>
      </c>
      <c r="R939">
        <f t="shared" si="90"/>
        <v>1.5736191491965801E-2</v>
      </c>
    </row>
    <row r="940" spans="1:18" hidden="1" x14ac:dyDescent="0.25">
      <c r="A940" s="46">
        <v>2020</v>
      </c>
      <c r="B940" s="56">
        <v>403</v>
      </c>
      <c r="C940" s="47" t="s">
        <v>89</v>
      </c>
      <c r="D940" s="47" t="s">
        <v>52</v>
      </c>
      <c r="E940" s="47" t="s">
        <v>47</v>
      </c>
      <c r="F940" s="46">
        <v>1095</v>
      </c>
      <c r="G940" s="46">
        <v>100</v>
      </c>
      <c r="H940" s="46">
        <v>330</v>
      </c>
      <c r="I940" s="46">
        <v>320</v>
      </c>
      <c r="J940" s="46">
        <v>135</v>
      </c>
      <c r="K940" s="46">
        <v>70</v>
      </c>
      <c r="L940" s="46">
        <v>145</v>
      </c>
      <c r="M940">
        <f t="shared" si="85"/>
        <v>1.1656438142196888E-2</v>
      </c>
      <c r="N940">
        <f t="shared" si="86"/>
        <v>3.8466245869249731E-2</v>
      </c>
      <c r="O940">
        <f t="shared" si="87"/>
        <v>3.7300602055030045E-2</v>
      </c>
      <c r="P940">
        <f t="shared" si="88"/>
        <v>1.5736191491965801E-2</v>
      </c>
      <c r="Q940">
        <f t="shared" si="89"/>
        <v>8.1595066995378222E-3</v>
      </c>
      <c r="R940">
        <f t="shared" si="90"/>
        <v>1.6901835306185491E-2</v>
      </c>
    </row>
    <row r="941" spans="1:18" hidden="1" x14ac:dyDescent="0.25">
      <c r="A941" s="46">
        <v>2020</v>
      </c>
      <c r="B941" s="56">
        <v>403</v>
      </c>
      <c r="C941" s="47" t="s">
        <v>89</v>
      </c>
      <c r="D941" s="47" t="s">
        <v>52</v>
      </c>
      <c r="E941" s="47" t="s">
        <v>48</v>
      </c>
      <c r="F941" s="46">
        <v>3335</v>
      </c>
      <c r="G941" s="46">
        <v>155</v>
      </c>
      <c r="H941" s="46">
        <v>605</v>
      </c>
      <c r="I941" s="46">
        <v>730</v>
      </c>
      <c r="J941" s="46">
        <v>365</v>
      </c>
      <c r="K941" s="46">
        <v>280</v>
      </c>
      <c r="L941" s="46">
        <v>1205</v>
      </c>
      <c r="M941">
        <f t="shared" si="85"/>
        <v>1.806747912040518E-2</v>
      </c>
      <c r="N941">
        <f t="shared" si="86"/>
        <v>7.0521450760291177E-2</v>
      </c>
      <c r="O941">
        <f t="shared" si="87"/>
        <v>8.5091998438037289E-2</v>
      </c>
      <c r="P941">
        <f t="shared" si="88"/>
        <v>4.2545999219018645E-2</v>
      </c>
      <c r="Q941">
        <f t="shared" si="89"/>
        <v>3.2638026798151289E-2</v>
      </c>
      <c r="R941">
        <f t="shared" si="90"/>
        <v>0.14046007961347251</v>
      </c>
    </row>
    <row r="942" spans="1:18" hidden="1" x14ac:dyDescent="0.25">
      <c r="A942" s="46">
        <v>2020</v>
      </c>
      <c r="B942" s="56">
        <v>403</v>
      </c>
      <c r="C942" s="47" t="s">
        <v>89</v>
      </c>
      <c r="D942" s="47" t="s">
        <v>52</v>
      </c>
      <c r="E942" s="47" t="s">
        <v>49</v>
      </c>
      <c r="F942" s="46">
        <v>1105</v>
      </c>
      <c r="G942" s="46">
        <v>25</v>
      </c>
      <c r="H942" s="46">
        <v>105</v>
      </c>
      <c r="I942" s="46">
        <v>130</v>
      </c>
      <c r="J942" s="46">
        <v>70</v>
      </c>
      <c r="K942" s="46">
        <v>40</v>
      </c>
      <c r="L942" s="46">
        <v>730</v>
      </c>
      <c r="M942">
        <f t="shared" si="85"/>
        <v>2.914109535549222E-3</v>
      </c>
      <c r="N942">
        <f t="shared" si="86"/>
        <v>1.2239260049306732E-2</v>
      </c>
      <c r="O942">
        <f t="shared" si="87"/>
        <v>1.5153369584855955E-2</v>
      </c>
      <c r="P942">
        <f t="shared" si="88"/>
        <v>8.1595066995378222E-3</v>
      </c>
      <c r="Q942">
        <f t="shared" si="89"/>
        <v>4.6625752568787556E-3</v>
      </c>
      <c r="R942">
        <f t="shared" si="90"/>
        <v>8.5091998438037289E-2</v>
      </c>
    </row>
    <row r="943" spans="1:18" hidden="1" x14ac:dyDescent="0.25">
      <c r="A943" s="46">
        <v>2020</v>
      </c>
      <c r="B943" s="56">
        <v>403</v>
      </c>
      <c r="C943" s="47" t="s">
        <v>89</v>
      </c>
      <c r="D943" s="47" t="s">
        <v>52</v>
      </c>
      <c r="E943" s="47" t="s">
        <v>50</v>
      </c>
      <c r="F943" s="46">
        <v>620</v>
      </c>
      <c r="G943" s="46">
        <v>10</v>
      </c>
      <c r="H943" s="46">
        <v>20</v>
      </c>
      <c r="I943" s="46">
        <v>35</v>
      </c>
      <c r="J943" s="46">
        <v>20</v>
      </c>
      <c r="K943" s="46">
        <v>25</v>
      </c>
      <c r="L943" s="46">
        <v>505</v>
      </c>
      <c r="M943">
        <f t="shared" si="85"/>
        <v>1.1656438142196889E-3</v>
      </c>
      <c r="N943">
        <f t="shared" si="86"/>
        <v>2.3312876284393778E-3</v>
      </c>
      <c r="O943">
        <f t="shared" si="87"/>
        <v>4.0797533497689111E-3</v>
      </c>
      <c r="P943">
        <f t="shared" si="88"/>
        <v>2.3312876284393778E-3</v>
      </c>
      <c r="Q943">
        <f t="shared" si="89"/>
        <v>2.914109535549222E-3</v>
      </c>
      <c r="R943">
        <f t="shared" si="90"/>
        <v>5.8865012618094292E-2</v>
      </c>
    </row>
    <row r="944" spans="1:18" x14ac:dyDescent="0.25">
      <c r="A944" s="46">
        <v>2020</v>
      </c>
      <c r="B944" s="56">
        <v>404</v>
      </c>
      <c r="C944" s="47" t="s">
        <v>90</v>
      </c>
      <c r="D944" s="47" t="s">
        <v>42</v>
      </c>
      <c r="E944" s="47" t="s">
        <v>43</v>
      </c>
      <c r="F944" s="46">
        <v>25420</v>
      </c>
      <c r="G944" s="46">
        <v>1340</v>
      </c>
      <c r="H944" s="46">
        <v>4985</v>
      </c>
      <c r="I944" s="46">
        <v>5415</v>
      </c>
      <c r="J944" s="46">
        <v>2545</v>
      </c>
      <c r="K944" s="46">
        <v>1310</v>
      </c>
      <c r="L944" s="46">
        <v>9820</v>
      </c>
      <c r="M944">
        <f t="shared" si="85"/>
        <v>0.15619627110543832</v>
      </c>
      <c r="N944">
        <f t="shared" si="86"/>
        <v>0.58107344138851491</v>
      </c>
      <c r="O944">
        <f t="shared" si="87"/>
        <v>0.63119612539996151</v>
      </c>
      <c r="P944">
        <f t="shared" si="88"/>
        <v>0.29665635071891083</v>
      </c>
      <c r="Q944">
        <f t="shared" si="89"/>
        <v>0.15269933966277924</v>
      </c>
      <c r="R944">
        <f t="shared" si="90"/>
        <v>1.1446622255637344</v>
      </c>
    </row>
    <row r="945" spans="1:18" hidden="1" x14ac:dyDescent="0.25">
      <c r="A945" s="46">
        <v>2020</v>
      </c>
      <c r="B945" s="56">
        <v>404</v>
      </c>
      <c r="C945" s="47" t="s">
        <v>90</v>
      </c>
      <c r="D945" s="47" t="s">
        <v>42</v>
      </c>
      <c r="E945" s="47" t="s">
        <v>44</v>
      </c>
      <c r="F945" s="46">
        <v>3535</v>
      </c>
      <c r="G945" s="46">
        <v>390</v>
      </c>
      <c r="H945" s="46">
        <v>1315</v>
      </c>
      <c r="I945" s="46">
        <v>1070</v>
      </c>
      <c r="J945" s="46">
        <v>400</v>
      </c>
      <c r="K945" s="46">
        <v>180</v>
      </c>
      <c r="L945" s="46">
        <v>185</v>
      </c>
      <c r="M945">
        <f t="shared" si="85"/>
        <v>4.5460108754567866E-2</v>
      </c>
      <c r="N945">
        <f t="shared" si="86"/>
        <v>0.15328216156988908</v>
      </c>
      <c r="O945">
        <f t="shared" si="87"/>
        <v>0.12472388812150671</v>
      </c>
      <c r="P945">
        <f t="shared" si="88"/>
        <v>4.6625752568787551E-2</v>
      </c>
      <c r="Q945">
        <f t="shared" si="89"/>
        <v>2.0981588655954401E-2</v>
      </c>
      <c r="R945">
        <f t="shared" si="90"/>
        <v>2.1564410563064244E-2</v>
      </c>
    </row>
    <row r="946" spans="1:18" hidden="1" x14ac:dyDescent="0.25">
      <c r="A946" s="46">
        <v>2020</v>
      </c>
      <c r="B946" s="56">
        <v>404</v>
      </c>
      <c r="C946" s="47" t="s">
        <v>90</v>
      </c>
      <c r="D946" s="47" t="s">
        <v>42</v>
      </c>
      <c r="E946" s="47" t="s">
        <v>45</v>
      </c>
      <c r="F946" s="46">
        <v>1065</v>
      </c>
      <c r="G946" s="46">
        <v>75</v>
      </c>
      <c r="H946" s="46">
        <v>270</v>
      </c>
      <c r="I946" s="46">
        <v>320</v>
      </c>
      <c r="J946" s="46">
        <v>120</v>
      </c>
      <c r="K946" s="46">
        <v>50</v>
      </c>
      <c r="L946" s="46">
        <v>225</v>
      </c>
      <c r="M946">
        <f t="shared" si="85"/>
        <v>8.7423286066476667E-3</v>
      </c>
      <c r="N946">
        <f t="shared" si="86"/>
        <v>3.1472382983931603E-2</v>
      </c>
      <c r="O946">
        <f t="shared" si="87"/>
        <v>3.7300602055030045E-2</v>
      </c>
      <c r="P946">
        <f t="shared" si="88"/>
        <v>1.3987725770636266E-2</v>
      </c>
      <c r="Q946">
        <f t="shared" si="89"/>
        <v>5.8282190710984439E-3</v>
      </c>
      <c r="R946">
        <f t="shared" si="90"/>
        <v>2.6226985819943E-2</v>
      </c>
    </row>
    <row r="947" spans="1:18" hidden="1" x14ac:dyDescent="0.25">
      <c r="A947" s="46">
        <v>2020</v>
      </c>
      <c r="B947" s="56">
        <v>404</v>
      </c>
      <c r="C947" s="47" t="s">
        <v>90</v>
      </c>
      <c r="D947" s="47" t="s">
        <v>42</v>
      </c>
      <c r="E947" s="47" t="s">
        <v>46</v>
      </c>
      <c r="F947" s="46">
        <v>2495</v>
      </c>
      <c r="G947" s="46">
        <v>245</v>
      </c>
      <c r="H947" s="46">
        <v>805</v>
      </c>
      <c r="I947" s="46">
        <v>720</v>
      </c>
      <c r="J947" s="46">
        <v>160</v>
      </c>
      <c r="K947" s="46">
        <v>60</v>
      </c>
      <c r="L947" s="46">
        <v>505</v>
      </c>
      <c r="M947">
        <f t="shared" si="85"/>
        <v>2.8558273448382378E-2</v>
      </c>
      <c r="N947">
        <f t="shared" si="86"/>
        <v>9.3834327044684959E-2</v>
      </c>
      <c r="O947">
        <f t="shared" si="87"/>
        <v>8.3926354623817603E-2</v>
      </c>
      <c r="P947">
        <f t="shared" si="88"/>
        <v>1.8650301027515023E-2</v>
      </c>
      <c r="Q947">
        <f t="shared" si="89"/>
        <v>6.993862885318133E-3</v>
      </c>
      <c r="R947">
        <f t="shared" si="90"/>
        <v>5.8865012618094292E-2</v>
      </c>
    </row>
    <row r="948" spans="1:18" hidden="1" x14ac:dyDescent="0.25">
      <c r="A948" s="46">
        <v>2020</v>
      </c>
      <c r="B948" s="56">
        <v>404</v>
      </c>
      <c r="C948" s="47" t="s">
        <v>90</v>
      </c>
      <c r="D948" s="47" t="s">
        <v>42</v>
      </c>
      <c r="E948" s="47" t="s">
        <v>47</v>
      </c>
      <c r="F948" s="46">
        <v>3130</v>
      </c>
      <c r="G948" s="46">
        <v>185</v>
      </c>
      <c r="H948" s="46">
        <v>820</v>
      </c>
      <c r="I948" s="46">
        <v>1005</v>
      </c>
      <c r="J948" s="46">
        <v>435</v>
      </c>
      <c r="K948" s="46">
        <v>135</v>
      </c>
      <c r="L948" s="46">
        <v>555</v>
      </c>
      <c r="M948">
        <f t="shared" si="85"/>
        <v>2.1564410563064244E-2</v>
      </c>
      <c r="N948">
        <f t="shared" si="86"/>
        <v>9.5582792766014488E-2</v>
      </c>
      <c r="O948">
        <f t="shared" si="87"/>
        <v>0.11714720332907873</v>
      </c>
      <c r="P948">
        <f t="shared" si="88"/>
        <v>5.0705505918556465E-2</v>
      </c>
      <c r="Q948">
        <f t="shared" si="89"/>
        <v>1.5736191491965801E-2</v>
      </c>
      <c r="R948">
        <f t="shared" si="90"/>
        <v>6.4693231689192734E-2</v>
      </c>
    </row>
    <row r="949" spans="1:18" hidden="1" x14ac:dyDescent="0.25">
      <c r="A949" s="46">
        <v>2020</v>
      </c>
      <c r="B949" s="56">
        <v>404</v>
      </c>
      <c r="C949" s="47" t="s">
        <v>90</v>
      </c>
      <c r="D949" s="47" t="s">
        <v>42</v>
      </c>
      <c r="E949" s="47" t="s">
        <v>48</v>
      </c>
      <c r="F949" s="46">
        <v>9430</v>
      </c>
      <c r="G949" s="46">
        <v>370</v>
      </c>
      <c r="H949" s="46">
        <v>1425</v>
      </c>
      <c r="I949" s="46">
        <v>1895</v>
      </c>
      <c r="J949" s="46">
        <v>1150</v>
      </c>
      <c r="K949" s="46">
        <v>730</v>
      </c>
      <c r="L949" s="46">
        <v>3855</v>
      </c>
      <c r="M949">
        <f t="shared" si="85"/>
        <v>4.3128821126128487E-2</v>
      </c>
      <c r="N949">
        <f t="shared" si="86"/>
        <v>0.16610424352630568</v>
      </c>
      <c r="O949">
        <f t="shared" si="87"/>
        <v>0.22088950279463104</v>
      </c>
      <c r="P949">
        <f t="shared" si="88"/>
        <v>0.13404903863526424</v>
      </c>
      <c r="Q949">
        <f t="shared" si="89"/>
        <v>8.5091998438037289E-2</v>
      </c>
      <c r="R949">
        <f t="shared" si="90"/>
        <v>0.4493556903816901</v>
      </c>
    </row>
    <row r="950" spans="1:18" hidden="1" x14ac:dyDescent="0.25">
      <c r="A950" s="46">
        <v>2020</v>
      </c>
      <c r="B950" s="56">
        <v>404</v>
      </c>
      <c r="C950" s="47" t="s">
        <v>90</v>
      </c>
      <c r="D950" s="47" t="s">
        <v>42</v>
      </c>
      <c r="E950" s="47" t="s">
        <v>49</v>
      </c>
      <c r="F950" s="46">
        <v>3660</v>
      </c>
      <c r="G950" s="46">
        <v>65</v>
      </c>
      <c r="H950" s="46">
        <v>300</v>
      </c>
      <c r="I950" s="46">
        <v>350</v>
      </c>
      <c r="J950" s="46">
        <v>245</v>
      </c>
      <c r="K950" s="46">
        <v>135</v>
      </c>
      <c r="L950" s="46">
        <v>2560</v>
      </c>
      <c r="M950">
        <f t="shared" si="85"/>
        <v>7.5766847924279776E-3</v>
      </c>
      <c r="N950">
        <f t="shared" si="86"/>
        <v>3.4969314426590667E-2</v>
      </c>
      <c r="O950">
        <f t="shared" si="87"/>
        <v>4.0797533497689109E-2</v>
      </c>
      <c r="P950">
        <f t="shared" si="88"/>
        <v>2.8558273448382378E-2</v>
      </c>
      <c r="Q950">
        <f t="shared" si="89"/>
        <v>1.5736191491965801E-2</v>
      </c>
      <c r="R950">
        <f t="shared" si="90"/>
        <v>0.29840481644024036</v>
      </c>
    </row>
    <row r="951" spans="1:18" hidden="1" x14ac:dyDescent="0.25">
      <c r="A951" s="46">
        <v>2020</v>
      </c>
      <c r="B951" s="56">
        <v>404</v>
      </c>
      <c r="C951" s="47" t="s">
        <v>90</v>
      </c>
      <c r="D951" s="47" t="s">
        <v>42</v>
      </c>
      <c r="E951" s="47" t="s">
        <v>50</v>
      </c>
      <c r="F951" s="46">
        <v>2110</v>
      </c>
      <c r="G951" s="46">
        <v>10</v>
      </c>
      <c r="H951" s="46">
        <v>50</v>
      </c>
      <c r="I951" s="46">
        <v>60</v>
      </c>
      <c r="J951" s="46">
        <v>35</v>
      </c>
      <c r="K951" s="46">
        <v>20</v>
      </c>
      <c r="L951" s="46">
        <v>1935</v>
      </c>
      <c r="M951">
        <f t="shared" si="85"/>
        <v>1.1656438142196889E-3</v>
      </c>
      <c r="N951">
        <f t="shared" si="86"/>
        <v>5.8282190710984439E-3</v>
      </c>
      <c r="O951">
        <f t="shared" si="87"/>
        <v>6.993862885318133E-3</v>
      </c>
      <c r="P951">
        <f t="shared" si="88"/>
        <v>4.0797533497689111E-3</v>
      </c>
      <c r="Q951">
        <f t="shared" si="89"/>
        <v>2.3312876284393778E-3</v>
      </c>
      <c r="R951">
        <f t="shared" si="90"/>
        <v>0.22555207805150979</v>
      </c>
    </row>
    <row r="952" spans="1:18" hidden="1" x14ac:dyDescent="0.25">
      <c r="A952" s="46">
        <v>2020</v>
      </c>
      <c r="B952" s="56">
        <v>404</v>
      </c>
      <c r="C952" s="47" t="s">
        <v>90</v>
      </c>
      <c r="D952" s="47" t="s">
        <v>51</v>
      </c>
      <c r="E952" s="47" t="s">
        <v>43</v>
      </c>
      <c r="F952" s="46">
        <v>13695</v>
      </c>
      <c r="G952" s="46">
        <v>755</v>
      </c>
      <c r="H952" s="46">
        <v>2565</v>
      </c>
      <c r="I952" s="46">
        <v>3310</v>
      </c>
      <c r="J952" s="46">
        <v>1475</v>
      </c>
      <c r="K952" s="46">
        <v>710</v>
      </c>
      <c r="L952" s="46">
        <v>4880</v>
      </c>
      <c r="M952">
        <f t="shared" si="85"/>
        <v>8.8006107973586503E-2</v>
      </c>
      <c r="N952">
        <f t="shared" si="86"/>
        <v>0.2989876383473502</v>
      </c>
      <c r="O952">
        <f t="shared" si="87"/>
        <v>0.38582810250671706</v>
      </c>
      <c r="P952">
        <f t="shared" si="88"/>
        <v>0.17193246259740413</v>
      </c>
      <c r="Q952">
        <f t="shared" si="89"/>
        <v>8.2760710809597904E-2</v>
      </c>
      <c r="R952">
        <f t="shared" si="90"/>
        <v>0.56883418133920816</v>
      </c>
    </row>
    <row r="953" spans="1:18" hidden="1" x14ac:dyDescent="0.25">
      <c r="A953" s="46">
        <v>2020</v>
      </c>
      <c r="B953" s="56">
        <v>404</v>
      </c>
      <c r="C953" s="47" t="s">
        <v>90</v>
      </c>
      <c r="D953" s="47" t="s">
        <v>51</v>
      </c>
      <c r="E953" s="47" t="s">
        <v>44</v>
      </c>
      <c r="F953" s="46">
        <v>1790</v>
      </c>
      <c r="G953" s="46">
        <v>210</v>
      </c>
      <c r="H953" s="46">
        <v>645</v>
      </c>
      <c r="I953" s="46">
        <v>555</v>
      </c>
      <c r="J953" s="46">
        <v>200</v>
      </c>
      <c r="K953" s="46">
        <v>90</v>
      </c>
      <c r="L953" s="46">
        <v>90</v>
      </c>
      <c r="M953">
        <f t="shared" si="85"/>
        <v>2.4478520098613465E-2</v>
      </c>
      <c r="N953">
        <f t="shared" si="86"/>
        <v>7.5184026017169933E-2</v>
      </c>
      <c r="O953">
        <f t="shared" si="87"/>
        <v>6.4693231689192734E-2</v>
      </c>
      <c r="P953">
        <f t="shared" si="88"/>
        <v>2.3312876284393776E-2</v>
      </c>
      <c r="Q953">
        <f t="shared" si="89"/>
        <v>1.04907943279772E-2</v>
      </c>
      <c r="R953">
        <f t="shared" si="90"/>
        <v>1.04907943279772E-2</v>
      </c>
    </row>
    <row r="954" spans="1:18" hidden="1" x14ac:dyDescent="0.25">
      <c r="A954" s="46">
        <v>2020</v>
      </c>
      <c r="B954" s="56">
        <v>404</v>
      </c>
      <c r="C954" s="47" t="s">
        <v>90</v>
      </c>
      <c r="D954" s="47" t="s">
        <v>51</v>
      </c>
      <c r="E954" s="47" t="s">
        <v>45</v>
      </c>
      <c r="F954" s="46">
        <v>575</v>
      </c>
      <c r="G954" s="46">
        <v>45</v>
      </c>
      <c r="H954" s="46">
        <v>165</v>
      </c>
      <c r="I954" s="46">
        <v>180</v>
      </c>
      <c r="J954" s="46">
        <v>65</v>
      </c>
      <c r="K954" s="46">
        <v>25</v>
      </c>
      <c r="L954" s="46">
        <v>100</v>
      </c>
      <c r="M954">
        <f t="shared" si="85"/>
        <v>5.2453971639886002E-3</v>
      </c>
      <c r="N954">
        <f t="shared" si="86"/>
        <v>1.9233122934624865E-2</v>
      </c>
      <c r="O954">
        <f t="shared" si="87"/>
        <v>2.0981588655954401E-2</v>
      </c>
      <c r="P954">
        <f t="shared" si="88"/>
        <v>7.5766847924279776E-3</v>
      </c>
      <c r="Q954">
        <f t="shared" si="89"/>
        <v>2.914109535549222E-3</v>
      </c>
      <c r="R954">
        <f t="shared" si="90"/>
        <v>1.1656438142196888E-2</v>
      </c>
    </row>
    <row r="955" spans="1:18" hidden="1" x14ac:dyDescent="0.25">
      <c r="A955" s="46">
        <v>2020</v>
      </c>
      <c r="B955" s="56">
        <v>404</v>
      </c>
      <c r="C955" s="47" t="s">
        <v>90</v>
      </c>
      <c r="D955" s="47" t="s">
        <v>51</v>
      </c>
      <c r="E955" s="47" t="s">
        <v>46</v>
      </c>
      <c r="F955" s="46">
        <v>1420</v>
      </c>
      <c r="G955" s="46">
        <v>130</v>
      </c>
      <c r="H955" s="46">
        <v>400</v>
      </c>
      <c r="I955" s="46">
        <v>510</v>
      </c>
      <c r="J955" s="46">
        <v>90</v>
      </c>
      <c r="K955" s="46">
        <v>35</v>
      </c>
      <c r="L955" s="46">
        <v>250</v>
      </c>
      <c r="M955">
        <f t="shared" si="85"/>
        <v>1.5153369584855955E-2</v>
      </c>
      <c r="N955">
        <f t="shared" si="86"/>
        <v>4.6625752568787551E-2</v>
      </c>
      <c r="O955">
        <f t="shared" si="87"/>
        <v>5.9447834525204135E-2</v>
      </c>
      <c r="P955">
        <f t="shared" si="88"/>
        <v>1.04907943279772E-2</v>
      </c>
      <c r="Q955">
        <f t="shared" si="89"/>
        <v>4.0797533497689111E-3</v>
      </c>
      <c r="R955">
        <f t="shared" si="90"/>
        <v>2.9141095355492221E-2</v>
      </c>
    </row>
    <row r="956" spans="1:18" hidden="1" x14ac:dyDescent="0.25">
      <c r="A956" s="46">
        <v>2020</v>
      </c>
      <c r="B956" s="56">
        <v>404</v>
      </c>
      <c r="C956" s="47" t="s">
        <v>90</v>
      </c>
      <c r="D956" s="47" t="s">
        <v>51</v>
      </c>
      <c r="E956" s="47" t="s">
        <v>47</v>
      </c>
      <c r="F956" s="46">
        <v>1815</v>
      </c>
      <c r="G956" s="46">
        <v>110</v>
      </c>
      <c r="H956" s="46">
        <v>425</v>
      </c>
      <c r="I956" s="46">
        <v>665</v>
      </c>
      <c r="J956" s="46">
        <v>255</v>
      </c>
      <c r="K956" s="46">
        <v>70</v>
      </c>
      <c r="L956" s="46">
        <v>295</v>
      </c>
      <c r="M956">
        <f t="shared" si="85"/>
        <v>1.2822081956416579E-2</v>
      </c>
      <c r="N956">
        <f t="shared" si="86"/>
        <v>4.9539862104336772E-2</v>
      </c>
      <c r="O956">
        <f t="shared" si="87"/>
        <v>7.7515313645609304E-2</v>
      </c>
      <c r="P956">
        <f t="shared" si="88"/>
        <v>2.9723917262602068E-2</v>
      </c>
      <c r="Q956">
        <f t="shared" si="89"/>
        <v>8.1595066995378222E-3</v>
      </c>
      <c r="R956">
        <f t="shared" si="90"/>
        <v>3.4386492519480824E-2</v>
      </c>
    </row>
    <row r="957" spans="1:18" hidden="1" x14ac:dyDescent="0.25">
      <c r="A957" s="46">
        <v>2020</v>
      </c>
      <c r="B957" s="56">
        <v>404</v>
      </c>
      <c r="C957" s="47" t="s">
        <v>90</v>
      </c>
      <c r="D957" s="47" t="s">
        <v>51</v>
      </c>
      <c r="E957" s="47" t="s">
        <v>48</v>
      </c>
      <c r="F957" s="46">
        <v>5120</v>
      </c>
      <c r="G957" s="46">
        <v>215</v>
      </c>
      <c r="H957" s="46">
        <v>745</v>
      </c>
      <c r="I957" s="46">
        <v>1170</v>
      </c>
      <c r="J957" s="46">
        <v>705</v>
      </c>
      <c r="K957" s="46">
        <v>415</v>
      </c>
      <c r="L957" s="46">
        <v>1870</v>
      </c>
      <c r="M957">
        <f t="shared" si="85"/>
        <v>2.5061342005723308E-2</v>
      </c>
      <c r="N957">
        <f t="shared" si="86"/>
        <v>8.6840464159366818E-2</v>
      </c>
      <c r="O957">
        <f t="shared" si="87"/>
        <v>0.13638032626370361</v>
      </c>
      <c r="P957">
        <f t="shared" si="88"/>
        <v>8.2177888902488061E-2</v>
      </c>
      <c r="Q957">
        <f t="shared" si="89"/>
        <v>4.8374218290117087E-2</v>
      </c>
      <c r="R957">
        <f t="shared" si="90"/>
        <v>0.21797539325908183</v>
      </c>
    </row>
    <row r="958" spans="1:18" hidden="1" x14ac:dyDescent="0.25">
      <c r="A958" s="46">
        <v>2020</v>
      </c>
      <c r="B958" s="56">
        <v>404</v>
      </c>
      <c r="C958" s="47" t="s">
        <v>90</v>
      </c>
      <c r="D958" s="47" t="s">
        <v>51</v>
      </c>
      <c r="E958" s="47" t="s">
        <v>49</v>
      </c>
      <c r="F958" s="46">
        <v>1965</v>
      </c>
      <c r="G958" s="46">
        <v>40</v>
      </c>
      <c r="H958" s="46">
        <v>160</v>
      </c>
      <c r="I958" s="46">
        <v>205</v>
      </c>
      <c r="J958" s="46">
        <v>150</v>
      </c>
      <c r="K958" s="46">
        <v>65</v>
      </c>
      <c r="L958" s="46">
        <v>1345</v>
      </c>
      <c r="M958">
        <f t="shared" si="85"/>
        <v>4.6625752568787556E-3</v>
      </c>
      <c r="N958">
        <f t="shared" si="86"/>
        <v>1.8650301027515023E-2</v>
      </c>
      <c r="O958">
        <f t="shared" si="87"/>
        <v>2.3895698191503622E-2</v>
      </c>
      <c r="P958">
        <f t="shared" si="88"/>
        <v>1.7484657213295333E-2</v>
      </c>
      <c r="Q958">
        <f t="shared" si="89"/>
        <v>7.5766847924279776E-3</v>
      </c>
      <c r="R958">
        <f t="shared" si="90"/>
        <v>0.15677909301254817</v>
      </c>
    </row>
    <row r="959" spans="1:18" hidden="1" x14ac:dyDescent="0.25">
      <c r="A959" s="46">
        <v>2020</v>
      </c>
      <c r="B959" s="56">
        <v>404</v>
      </c>
      <c r="C959" s="47" t="s">
        <v>90</v>
      </c>
      <c r="D959" s="47" t="s">
        <v>51</v>
      </c>
      <c r="E959" s="47" t="s">
        <v>50</v>
      </c>
      <c r="F959" s="46">
        <v>1010</v>
      </c>
      <c r="G959" s="46">
        <v>5</v>
      </c>
      <c r="H959" s="46">
        <v>25</v>
      </c>
      <c r="I959" s="46">
        <v>30</v>
      </c>
      <c r="J959" s="46">
        <v>15</v>
      </c>
      <c r="K959" s="46">
        <v>5</v>
      </c>
      <c r="L959" s="46">
        <v>925</v>
      </c>
      <c r="M959">
        <f t="shared" si="85"/>
        <v>5.8282190710984446E-4</v>
      </c>
      <c r="N959">
        <f t="shared" si="86"/>
        <v>2.914109535549222E-3</v>
      </c>
      <c r="O959">
        <f t="shared" si="87"/>
        <v>3.4969314426590665E-3</v>
      </c>
      <c r="P959">
        <f t="shared" si="88"/>
        <v>1.7484657213295333E-3</v>
      </c>
      <c r="Q959">
        <f t="shared" si="89"/>
        <v>5.8282190710984446E-4</v>
      </c>
      <c r="R959">
        <f t="shared" si="90"/>
        <v>0.10782205281532123</v>
      </c>
    </row>
    <row r="960" spans="1:18" hidden="1" x14ac:dyDescent="0.25">
      <c r="A960" s="46">
        <v>2020</v>
      </c>
      <c r="B960" s="56">
        <v>404</v>
      </c>
      <c r="C960" s="47" t="s">
        <v>90</v>
      </c>
      <c r="D960" s="47" t="s">
        <v>52</v>
      </c>
      <c r="E960" s="47" t="s">
        <v>43</v>
      </c>
      <c r="F960" s="46">
        <v>11725</v>
      </c>
      <c r="G960" s="46">
        <v>590</v>
      </c>
      <c r="H960" s="46">
        <v>2420</v>
      </c>
      <c r="I960" s="46">
        <v>2105</v>
      </c>
      <c r="J960" s="46">
        <v>1070</v>
      </c>
      <c r="K960" s="46">
        <v>600</v>
      </c>
      <c r="L960" s="46">
        <v>4945</v>
      </c>
      <c r="M960">
        <f t="shared" si="85"/>
        <v>6.8772985038961648E-2</v>
      </c>
      <c r="N960">
        <f t="shared" si="86"/>
        <v>0.28208580304116471</v>
      </c>
      <c r="O960">
        <f t="shared" si="87"/>
        <v>0.24536802289324453</v>
      </c>
      <c r="P960">
        <f t="shared" si="88"/>
        <v>0.12472388812150671</v>
      </c>
      <c r="Q960">
        <f t="shared" si="89"/>
        <v>6.9938628853181334E-2</v>
      </c>
      <c r="R960">
        <f t="shared" si="90"/>
        <v>0.57641086613163617</v>
      </c>
    </row>
    <row r="961" spans="1:18" hidden="1" x14ac:dyDescent="0.25">
      <c r="A961" s="46">
        <v>2020</v>
      </c>
      <c r="B961" s="56">
        <v>404</v>
      </c>
      <c r="C961" s="47" t="s">
        <v>90</v>
      </c>
      <c r="D961" s="47" t="s">
        <v>52</v>
      </c>
      <c r="E961" s="47" t="s">
        <v>44</v>
      </c>
      <c r="F961" s="46">
        <v>1745</v>
      </c>
      <c r="G961" s="46">
        <v>180</v>
      </c>
      <c r="H961" s="46">
        <v>675</v>
      </c>
      <c r="I961" s="46">
        <v>515</v>
      </c>
      <c r="J961" s="46">
        <v>195</v>
      </c>
      <c r="K961" s="46">
        <v>85</v>
      </c>
      <c r="L961" s="46">
        <v>95</v>
      </c>
      <c r="M961">
        <f t="shared" si="85"/>
        <v>2.0981588655954401E-2</v>
      </c>
      <c r="N961">
        <f t="shared" si="86"/>
        <v>7.8680957459829004E-2</v>
      </c>
      <c r="O961">
        <f t="shared" si="87"/>
        <v>6.0030656432313978E-2</v>
      </c>
      <c r="P961">
        <f t="shared" si="88"/>
        <v>2.2730054377283933E-2</v>
      </c>
      <c r="Q961">
        <f t="shared" si="89"/>
        <v>9.9079724208673559E-3</v>
      </c>
      <c r="R961">
        <f t="shared" si="90"/>
        <v>1.1073616235087045E-2</v>
      </c>
    </row>
    <row r="962" spans="1:18" hidden="1" x14ac:dyDescent="0.25">
      <c r="A962" s="46">
        <v>2020</v>
      </c>
      <c r="B962" s="56">
        <v>404</v>
      </c>
      <c r="C962" s="47" t="s">
        <v>90</v>
      </c>
      <c r="D962" s="47" t="s">
        <v>52</v>
      </c>
      <c r="E962" s="47" t="s">
        <v>45</v>
      </c>
      <c r="F962" s="46">
        <v>485</v>
      </c>
      <c r="G962" s="46">
        <v>30</v>
      </c>
      <c r="H962" s="46">
        <v>105</v>
      </c>
      <c r="I962" s="46">
        <v>140</v>
      </c>
      <c r="J962" s="46">
        <v>55</v>
      </c>
      <c r="K962" s="46">
        <v>25</v>
      </c>
      <c r="L962" s="46">
        <v>130</v>
      </c>
      <c r="M962">
        <f t="shared" si="85"/>
        <v>3.4969314426590665E-3</v>
      </c>
      <c r="N962">
        <f t="shared" si="86"/>
        <v>1.2239260049306732E-2</v>
      </c>
      <c r="O962">
        <f t="shared" si="87"/>
        <v>1.6319013399075644E-2</v>
      </c>
      <c r="P962">
        <f t="shared" si="88"/>
        <v>6.4110409782082893E-3</v>
      </c>
      <c r="Q962">
        <f t="shared" si="89"/>
        <v>2.914109535549222E-3</v>
      </c>
      <c r="R962">
        <f t="shared" si="90"/>
        <v>1.5153369584855955E-2</v>
      </c>
    </row>
    <row r="963" spans="1:18" hidden="1" x14ac:dyDescent="0.25">
      <c r="A963" s="46">
        <v>2020</v>
      </c>
      <c r="B963" s="56">
        <v>404</v>
      </c>
      <c r="C963" s="47" t="s">
        <v>90</v>
      </c>
      <c r="D963" s="47" t="s">
        <v>52</v>
      </c>
      <c r="E963" s="47" t="s">
        <v>46</v>
      </c>
      <c r="F963" s="46">
        <v>1070</v>
      </c>
      <c r="G963" s="46">
        <v>115</v>
      </c>
      <c r="H963" s="46">
        <v>400</v>
      </c>
      <c r="I963" s="46">
        <v>210</v>
      </c>
      <c r="J963" s="46">
        <v>70</v>
      </c>
      <c r="K963" s="46">
        <v>25</v>
      </c>
      <c r="L963" s="46">
        <v>255</v>
      </c>
      <c r="M963">
        <f t="shared" si="85"/>
        <v>1.3404903863526422E-2</v>
      </c>
      <c r="N963">
        <f t="shared" si="86"/>
        <v>4.6625752568787551E-2</v>
      </c>
      <c r="O963">
        <f t="shared" si="87"/>
        <v>2.4478520098613465E-2</v>
      </c>
      <c r="P963">
        <f t="shared" si="88"/>
        <v>8.1595066995378222E-3</v>
      </c>
      <c r="Q963">
        <f t="shared" si="89"/>
        <v>2.914109535549222E-3</v>
      </c>
      <c r="R963">
        <f t="shared" si="90"/>
        <v>2.9723917262602068E-2</v>
      </c>
    </row>
    <row r="964" spans="1:18" hidden="1" x14ac:dyDescent="0.25">
      <c r="A964" s="46">
        <v>2020</v>
      </c>
      <c r="B964" s="56">
        <v>404</v>
      </c>
      <c r="C964" s="47" t="s">
        <v>90</v>
      </c>
      <c r="D964" s="47" t="s">
        <v>52</v>
      </c>
      <c r="E964" s="47" t="s">
        <v>47</v>
      </c>
      <c r="F964" s="46">
        <v>1315</v>
      </c>
      <c r="G964" s="46">
        <v>75</v>
      </c>
      <c r="H964" s="46">
        <v>395</v>
      </c>
      <c r="I964" s="46">
        <v>340</v>
      </c>
      <c r="J964" s="46">
        <v>180</v>
      </c>
      <c r="K964" s="46">
        <v>65</v>
      </c>
      <c r="L964" s="46">
        <v>260</v>
      </c>
      <c r="M964">
        <f t="shared" si="85"/>
        <v>8.7423286066476667E-3</v>
      </c>
      <c r="N964">
        <f t="shared" si="86"/>
        <v>4.6042930661677708E-2</v>
      </c>
      <c r="O964">
        <f t="shared" si="87"/>
        <v>3.9631889683469423E-2</v>
      </c>
      <c r="P964">
        <f t="shared" si="88"/>
        <v>2.0981588655954401E-2</v>
      </c>
      <c r="Q964">
        <f t="shared" si="89"/>
        <v>7.5766847924279776E-3</v>
      </c>
      <c r="R964">
        <f t="shared" si="90"/>
        <v>3.030673916971191E-2</v>
      </c>
    </row>
    <row r="965" spans="1:18" hidden="1" x14ac:dyDescent="0.25">
      <c r="A965" s="46">
        <v>2020</v>
      </c>
      <c r="B965" s="56">
        <v>404</v>
      </c>
      <c r="C965" s="47" t="s">
        <v>90</v>
      </c>
      <c r="D965" s="47" t="s">
        <v>52</v>
      </c>
      <c r="E965" s="47" t="s">
        <v>48</v>
      </c>
      <c r="F965" s="46">
        <v>4310</v>
      </c>
      <c r="G965" s="46">
        <v>155</v>
      </c>
      <c r="H965" s="46">
        <v>680</v>
      </c>
      <c r="I965" s="46">
        <v>725</v>
      </c>
      <c r="J965" s="46">
        <v>450</v>
      </c>
      <c r="K965" s="46">
        <v>320</v>
      </c>
      <c r="L965" s="46">
        <v>1985</v>
      </c>
      <c r="M965">
        <f t="shared" si="85"/>
        <v>1.806747912040518E-2</v>
      </c>
      <c r="N965">
        <f t="shared" si="86"/>
        <v>7.9263779366938847E-2</v>
      </c>
      <c r="O965">
        <f t="shared" si="87"/>
        <v>8.4509176530927446E-2</v>
      </c>
      <c r="P965">
        <f t="shared" si="88"/>
        <v>5.2453971639886E-2</v>
      </c>
      <c r="Q965">
        <f t="shared" si="89"/>
        <v>3.7300602055030045E-2</v>
      </c>
      <c r="R965">
        <f t="shared" si="90"/>
        <v>0.23138029712260824</v>
      </c>
    </row>
    <row r="966" spans="1:18" hidden="1" x14ac:dyDescent="0.25">
      <c r="A966" s="46">
        <v>2020</v>
      </c>
      <c r="B966" s="56">
        <v>404</v>
      </c>
      <c r="C966" s="47" t="s">
        <v>90</v>
      </c>
      <c r="D966" s="47" t="s">
        <v>52</v>
      </c>
      <c r="E966" s="47" t="s">
        <v>49</v>
      </c>
      <c r="F966" s="46">
        <v>1700</v>
      </c>
      <c r="G966" s="46">
        <v>30</v>
      </c>
      <c r="H966" s="46">
        <v>140</v>
      </c>
      <c r="I966" s="46">
        <v>145</v>
      </c>
      <c r="J966" s="46">
        <v>100</v>
      </c>
      <c r="K966" s="46">
        <v>70</v>
      </c>
      <c r="L966" s="46">
        <v>1215</v>
      </c>
      <c r="M966">
        <f t="shared" si="85"/>
        <v>3.4969314426590665E-3</v>
      </c>
      <c r="N966">
        <f t="shared" si="86"/>
        <v>1.6319013399075644E-2</v>
      </c>
      <c r="O966">
        <f t="shared" si="87"/>
        <v>1.6901835306185491E-2</v>
      </c>
      <c r="P966">
        <f t="shared" si="88"/>
        <v>1.1656438142196888E-2</v>
      </c>
      <c r="Q966">
        <f t="shared" si="89"/>
        <v>8.1595066995378222E-3</v>
      </c>
      <c r="R966">
        <f t="shared" si="90"/>
        <v>0.1416257234276922</v>
      </c>
    </row>
    <row r="967" spans="1:18" hidden="1" x14ac:dyDescent="0.25">
      <c r="A967" s="46">
        <v>2020</v>
      </c>
      <c r="B967" s="56">
        <v>404</v>
      </c>
      <c r="C967" s="47" t="s">
        <v>90</v>
      </c>
      <c r="D967" s="47" t="s">
        <v>52</v>
      </c>
      <c r="E967" s="47" t="s">
        <v>50</v>
      </c>
      <c r="F967" s="46">
        <v>1095</v>
      </c>
      <c r="G967" s="46">
        <v>5</v>
      </c>
      <c r="H967" s="46">
        <v>25</v>
      </c>
      <c r="I967" s="46">
        <v>25</v>
      </c>
      <c r="J967" s="46">
        <v>20</v>
      </c>
      <c r="K967" s="46">
        <v>15</v>
      </c>
      <c r="L967" s="46">
        <v>1005</v>
      </c>
      <c r="M967">
        <f t="shared" si="85"/>
        <v>5.8282190710984446E-4</v>
      </c>
      <c r="N967">
        <f t="shared" si="86"/>
        <v>2.914109535549222E-3</v>
      </c>
      <c r="O967">
        <f t="shared" si="87"/>
        <v>2.914109535549222E-3</v>
      </c>
      <c r="P967">
        <f t="shared" si="88"/>
        <v>2.3312876284393778E-3</v>
      </c>
      <c r="Q967">
        <f t="shared" si="89"/>
        <v>1.7484657213295333E-3</v>
      </c>
      <c r="R967">
        <f t="shared" si="90"/>
        <v>0.11714720332907873</v>
      </c>
    </row>
    <row r="968" spans="1:18" x14ac:dyDescent="0.25">
      <c r="A968" s="46">
        <v>2020</v>
      </c>
      <c r="B968" s="56">
        <v>405</v>
      </c>
      <c r="C968" s="47" t="s">
        <v>91</v>
      </c>
      <c r="D968" s="47" t="s">
        <v>42</v>
      </c>
      <c r="E968" s="47" t="s">
        <v>43</v>
      </c>
      <c r="F968" s="46">
        <v>8800</v>
      </c>
      <c r="G968" s="46">
        <v>475</v>
      </c>
      <c r="H968" s="46">
        <v>1940</v>
      </c>
      <c r="I968" s="46">
        <v>2975</v>
      </c>
      <c r="J968" s="46">
        <v>815</v>
      </c>
      <c r="K968" s="46">
        <v>360</v>
      </c>
      <c r="L968" s="46">
        <v>2230</v>
      </c>
      <c r="M968">
        <f t="shared" si="85"/>
        <v>5.5368081175435221E-2</v>
      </c>
      <c r="N968">
        <f t="shared" si="86"/>
        <v>0.22613489995861966</v>
      </c>
      <c r="O968">
        <f t="shared" si="87"/>
        <v>0.34677903473035743</v>
      </c>
      <c r="P968">
        <f t="shared" si="88"/>
        <v>9.4999970858904645E-2</v>
      </c>
      <c r="Q968">
        <f t="shared" si="89"/>
        <v>4.1963177311908802E-2</v>
      </c>
      <c r="R968">
        <f t="shared" si="90"/>
        <v>0.25993857057099062</v>
      </c>
    </row>
    <row r="969" spans="1:18" hidden="1" x14ac:dyDescent="0.25">
      <c r="A969" s="46">
        <v>2020</v>
      </c>
      <c r="B969" s="56">
        <v>405</v>
      </c>
      <c r="C969" s="47" t="s">
        <v>91</v>
      </c>
      <c r="D969" s="47" t="s">
        <v>42</v>
      </c>
      <c r="E969" s="47" t="s">
        <v>44</v>
      </c>
      <c r="F969" s="46">
        <v>1890</v>
      </c>
      <c r="G969" s="46">
        <v>205</v>
      </c>
      <c r="H969" s="46">
        <v>705</v>
      </c>
      <c r="I969" s="46">
        <v>760</v>
      </c>
      <c r="J969" s="46">
        <v>115</v>
      </c>
      <c r="K969" s="46">
        <v>50</v>
      </c>
      <c r="L969" s="46">
        <v>45</v>
      </c>
      <c r="M969">
        <f t="shared" ref="M969:M1032" si="91">G969/$F$8*100</f>
        <v>2.3895698191503622E-2</v>
      </c>
      <c r="N969">
        <f t="shared" ref="N969:N1032" si="92">H969/$F$8*100</f>
        <v>8.2177888902488061E-2</v>
      </c>
      <c r="O969">
        <f t="shared" ref="O969:O1032" si="93">I969/$F$8*100</f>
        <v>8.858892988069636E-2</v>
      </c>
      <c r="P969">
        <f t="shared" ref="P969:P1032" si="94">J969/$F$8*100</f>
        <v>1.3404903863526422E-2</v>
      </c>
      <c r="Q969">
        <f t="shared" ref="Q969:Q1032" si="95">K969/$F$8*100</f>
        <v>5.8282190710984439E-3</v>
      </c>
      <c r="R969">
        <f t="shared" ref="R969:R1032" si="96">L969/$F$8*100</f>
        <v>5.2453971639886002E-3</v>
      </c>
    </row>
    <row r="970" spans="1:18" hidden="1" x14ac:dyDescent="0.25">
      <c r="A970" s="46">
        <v>2020</v>
      </c>
      <c r="B970" s="56">
        <v>405</v>
      </c>
      <c r="C970" s="47" t="s">
        <v>91</v>
      </c>
      <c r="D970" s="47" t="s">
        <v>42</v>
      </c>
      <c r="E970" s="47" t="s">
        <v>45</v>
      </c>
      <c r="F970" s="46">
        <v>460</v>
      </c>
      <c r="G970" s="46">
        <v>20</v>
      </c>
      <c r="H970" s="46">
        <v>110</v>
      </c>
      <c r="I970" s="46">
        <v>200</v>
      </c>
      <c r="J970" s="46">
        <v>45</v>
      </c>
      <c r="K970" s="46">
        <v>15</v>
      </c>
      <c r="L970" s="46">
        <v>75</v>
      </c>
      <c r="M970">
        <f t="shared" si="91"/>
        <v>2.3312876284393778E-3</v>
      </c>
      <c r="N970">
        <f t="shared" si="92"/>
        <v>1.2822081956416579E-2</v>
      </c>
      <c r="O970">
        <f t="shared" si="93"/>
        <v>2.3312876284393776E-2</v>
      </c>
      <c r="P970">
        <f t="shared" si="94"/>
        <v>5.2453971639886002E-3</v>
      </c>
      <c r="Q970">
        <f t="shared" si="95"/>
        <v>1.7484657213295333E-3</v>
      </c>
      <c r="R970">
        <f t="shared" si="96"/>
        <v>8.7423286066476667E-3</v>
      </c>
    </row>
    <row r="971" spans="1:18" hidden="1" x14ac:dyDescent="0.25">
      <c r="A971" s="46">
        <v>2020</v>
      </c>
      <c r="B971" s="56">
        <v>405</v>
      </c>
      <c r="C971" s="47" t="s">
        <v>91</v>
      </c>
      <c r="D971" s="47" t="s">
        <v>42</v>
      </c>
      <c r="E971" s="47" t="s">
        <v>46</v>
      </c>
      <c r="F971" s="46">
        <v>885</v>
      </c>
      <c r="G971" s="46">
        <v>75</v>
      </c>
      <c r="H971" s="46">
        <v>295</v>
      </c>
      <c r="I971" s="46">
        <v>370</v>
      </c>
      <c r="J971" s="46">
        <v>55</v>
      </c>
      <c r="K971" s="46">
        <v>10</v>
      </c>
      <c r="L971" s="46">
        <v>75</v>
      </c>
      <c r="M971">
        <f t="shared" si="91"/>
        <v>8.7423286066476667E-3</v>
      </c>
      <c r="N971">
        <f t="shared" si="92"/>
        <v>3.4386492519480824E-2</v>
      </c>
      <c r="O971">
        <f t="shared" si="93"/>
        <v>4.3128821126128487E-2</v>
      </c>
      <c r="P971">
        <f t="shared" si="94"/>
        <v>6.4110409782082893E-3</v>
      </c>
      <c r="Q971">
        <f t="shared" si="95"/>
        <v>1.1656438142196889E-3</v>
      </c>
      <c r="R971">
        <f t="shared" si="96"/>
        <v>8.7423286066476667E-3</v>
      </c>
    </row>
    <row r="972" spans="1:18" hidden="1" x14ac:dyDescent="0.25">
      <c r="A972" s="46">
        <v>2020</v>
      </c>
      <c r="B972" s="56">
        <v>405</v>
      </c>
      <c r="C972" s="47" t="s">
        <v>91</v>
      </c>
      <c r="D972" s="47" t="s">
        <v>42</v>
      </c>
      <c r="E972" s="47" t="s">
        <v>47</v>
      </c>
      <c r="F972" s="46">
        <v>970</v>
      </c>
      <c r="G972" s="46">
        <v>30</v>
      </c>
      <c r="H972" s="46">
        <v>200</v>
      </c>
      <c r="I972" s="46">
        <v>455</v>
      </c>
      <c r="J972" s="46">
        <v>150</v>
      </c>
      <c r="K972" s="46">
        <v>40</v>
      </c>
      <c r="L972" s="46">
        <v>85</v>
      </c>
      <c r="M972">
        <f t="shared" si="91"/>
        <v>3.4969314426590665E-3</v>
      </c>
      <c r="N972">
        <f t="shared" si="92"/>
        <v>2.3312876284393776E-2</v>
      </c>
      <c r="O972">
        <f t="shared" si="93"/>
        <v>5.3036793546995843E-2</v>
      </c>
      <c r="P972">
        <f t="shared" si="94"/>
        <v>1.7484657213295333E-2</v>
      </c>
      <c r="Q972">
        <f t="shared" si="95"/>
        <v>4.6625752568787556E-3</v>
      </c>
      <c r="R972">
        <f t="shared" si="96"/>
        <v>9.9079724208673559E-3</v>
      </c>
    </row>
    <row r="973" spans="1:18" hidden="1" x14ac:dyDescent="0.25">
      <c r="A973" s="46">
        <v>2020</v>
      </c>
      <c r="B973" s="56">
        <v>405</v>
      </c>
      <c r="C973" s="47" t="s">
        <v>91</v>
      </c>
      <c r="D973" s="47" t="s">
        <v>42</v>
      </c>
      <c r="E973" s="47" t="s">
        <v>48</v>
      </c>
      <c r="F973" s="46">
        <v>3015</v>
      </c>
      <c r="G973" s="46">
        <v>110</v>
      </c>
      <c r="H973" s="46">
        <v>510</v>
      </c>
      <c r="I973" s="46">
        <v>985</v>
      </c>
      <c r="J973" s="46">
        <v>355</v>
      </c>
      <c r="K973" s="46">
        <v>190</v>
      </c>
      <c r="L973" s="46">
        <v>860</v>
      </c>
      <c r="M973">
        <f t="shared" si="91"/>
        <v>1.2822081956416579E-2</v>
      </c>
      <c r="N973">
        <f t="shared" si="92"/>
        <v>5.9447834525204135E-2</v>
      </c>
      <c r="O973">
        <f t="shared" si="93"/>
        <v>0.11481591570063936</v>
      </c>
      <c r="P973">
        <f t="shared" si="94"/>
        <v>4.1380355404798952E-2</v>
      </c>
      <c r="Q973">
        <f t="shared" si="95"/>
        <v>2.214723247017409E-2</v>
      </c>
      <c r="R973">
        <f t="shared" si="96"/>
        <v>0.10024536802289323</v>
      </c>
    </row>
    <row r="974" spans="1:18" hidden="1" x14ac:dyDescent="0.25">
      <c r="A974" s="46">
        <v>2020</v>
      </c>
      <c r="B974" s="56">
        <v>405</v>
      </c>
      <c r="C974" s="47" t="s">
        <v>91</v>
      </c>
      <c r="D974" s="47" t="s">
        <v>42</v>
      </c>
      <c r="E974" s="47" t="s">
        <v>49</v>
      </c>
      <c r="F974" s="46">
        <v>1045</v>
      </c>
      <c r="G974" s="46">
        <v>30</v>
      </c>
      <c r="H974" s="46">
        <v>100</v>
      </c>
      <c r="I974" s="46">
        <v>170</v>
      </c>
      <c r="J974" s="46">
        <v>80</v>
      </c>
      <c r="K974" s="46">
        <v>50</v>
      </c>
      <c r="L974" s="46">
        <v>615</v>
      </c>
      <c r="M974">
        <f t="shared" si="91"/>
        <v>3.4969314426590665E-3</v>
      </c>
      <c r="N974">
        <f t="shared" si="92"/>
        <v>1.1656438142196888E-2</v>
      </c>
      <c r="O974">
        <f t="shared" si="93"/>
        <v>1.9815944841734712E-2</v>
      </c>
      <c r="P974">
        <f t="shared" si="94"/>
        <v>9.3251505137575113E-3</v>
      </c>
      <c r="Q974">
        <f t="shared" si="95"/>
        <v>5.8282190710984439E-3</v>
      </c>
      <c r="R974">
        <f t="shared" si="96"/>
        <v>7.1687094574510862E-2</v>
      </c>
    </row>
    <row r="975" spans="1:18" hidden="1" x14ac:dyDescent="0.25">
      <c r="A975" s="46">
        <v>2020</v>
      </c>
      <c r="B975" s="56">
        <v>405</v>
      </c>
      <c r="C975" s="47" t="s">
        <v>91</v>
      </c>
      <c r="D975" s="47" t="s">
        <v>42</v>
      </c>
      <c r="E975" s="47" t="s">
        <v>50</v>
      </c>
      <c r="F975" s="46">
        <v>535</v>
      </c>
      <c r="G975" s="46">
        <v>5</v>
      </c>
      <c r="H975" s="46">
        <v>15</v>
      </c>
      <c r="I975" s="46">
        <v>30</v>
      </c>
      <c r="J975" s="46">
        <v>15</v>
      </c>
      <c r="K975" s="46">
        <v>5</v>
      </c>
      <c r="L975" s="46">
        <v>470</v>
      </c>
      <c r="M975">
        <f t="shared" si="91"/>
        <v>5.8282190710984446E-4</v>
      </c>
      <c r="N975">
        <f t="shared" si="92"/>
        <v>1.7484657213295333E-3</v>
      </c>
      <c r="O975">
        <f t="shared" si="93"/>
        <v>3.4969314426590665E-3</v>
      </c>
      <c r="P975">
        <f t="shared" si="94"/>
        <v>1.7484657213295333E-3</v>
      </c>
      <c r="Q975">
        <f t="shared" si="95"/>
        <v>5.8282190710984446E-4</v>
      </c>
      <c r="R975">
        <f t="shared" si="96"/>
        <v>5.4785259268325379E-2</v>
      </c>
    </row>
    <row r="976" spans="1:18" hidden="1" x14ac:dyDescent="0.25">
      <c r="A976" s="46">
        <v>2020</v>
      </c>
      <c r="B976" s="56">
        <v>405</v>
      </c>
      <c r="C976" s="47" t="s">
        <v>91</v>
      </c>
      <c r="D976" s="47" t="s">
        <v>51</v>
      </c>
      <c r="E976" s="47" t="s">
        <v>43</v>
      </c>
      <c r="F976" s="46">
        <v>4890</v>
      </c>
      <c r="G976" s="46">
        <v>260</v>
      </c>
      <c r="H976" s="46">
        <v>1030</v>
      </c>
      <c r="I976" s="46">
        <v>1780</v>
      </c>
      <c r="J976" s="46">
        <v>470</v>
      </c>
      <c r="K976" s="46">
        <v>230</v>
      </c>
      <c r="L976" s="46">
        <v>1115</v>
      </c>
      <c r="M976">
        <f t="shared" si="91"/>
        <v>3.030673916971191E-2</v>
      </c>
      <c r="N976">
        <f t="shared" si="92"/>
        <v>0.12006131286462796</v>
      </c>
      <c r="O976">
        <f t="shared" si="93"/>
        <v>0.20748459893110463</v>
      </c>
      <c r="P976">
        <f t="shared" si="94"/>
        <v>5.4785259268325379E-2</v>
      </c>
      <c r="Q976">
        <f t="shared" si="95"/>
        <v>2.6809807727052843E-2</v>
      </c>
      <c r="R976">
        <f t="shared" si="96"/>
        <v>0.12996928528549531</v>
      </c>
    </row>
    <row r="977" spans="1:18" hidden="1" x14ac:dyDescent="0.25">
      <c r="A977" s="46">
        <v>2020</v>
      </c>
      <c r="B977" s="56">
        <v>405</v>
      </c>
      <c r="C977" s="47" t="s">
        <v>91</v>
      </c>
      <c r="D977" s="47" t="s">
        <v>51</v>
      </c>
      <c r="E977" s="47" t="s">
        <v>44</v>
      </c>
      <c r="F977" s="46">
        <v>955</v>
      </c>
      <c r="G977" s="46">
        <v>105</v>
      </c>
      <c r="H977" s="46">
        <v>345</v>
      </c>
      <c r="I977" s="46">
        <v>385</v>
      </c>
      <c r="J977" s="46">
        <v>55</v>
      </c>
      <c r="K977" s="46">
        <v>35</v>
      </c>
      <c r="L977" s="46">
        <v>25</v>
      </c>
      <c r="M977">
        <f t="shared" si="91"/>
        <v>1.2239260049306732E-2</v>
      </c>
      <c r="N977">
        <f t="shared" si="92"/>
        <v>4.0214711590579266E-2</v>
      </c>
      <c r="O977">
        <f t="shared" si="93"/>
        <v>4.4877286847458023E-2</v>
      </c>
      <c r="P977">
        <f t="shared" si="94"/>
        <v>6.4110409782082893E-3</v>
      </c>
      <c r="Q977">
        <f t="shared" si="95"/>
        <v>4.0797533497689111E-3</v>
      </c>
      <c r="R977">
        <f t="shared" si="96"/>
        <v>2.914109535549222E-3</v>
      </c>
    </row>
    <row r="978" spans="1:18" hidden="1" x14ac:dyDescent="0.25">
      <c r="A978" s="46">
        <v>2020</v>
      </c>
      <c r="B978" s="56">
        <v>405</v>
      </c>
      <c r="C978" s="47" t="s">
        <v>91</v>
      </c>
      <c r="D978" s="47" t="s">
        <v>51</v>
      </c>
      <c r="E978" s="47" t="s">
        <v>45</v>
      </c>
      <c r="F978" s="46">
        <v>260</v>
      </c>
      <c r="G978" s="46">
        <v>15</v>
      </c>
      <c r="H978" s="46">
        <v>65</v>
      </c>
      <c r="I978" s="46">
        <v>120</v>
      </c>
      <c r="J978" s="46">
        <v>15</v>
      </c>
      <c r="K978" s="46">
        <v>10</v>
      </c>
      <c r="L978" s="46">
        <v>40</v>
      </c>
      <c r="M978">
        <f t="shared" si="91"/>
        <v>1.7484657213295333E-3</v>
      </c>
      <c r="N978">
        <f t="shared" si="92"/>
        <v>7.5766847924279776E-3</v>
      </c>
      <c r="O978">
        <f t="shared" si="93"/>
        <v>1.3987725770636266E-2</v>
      </c>
      <c r="P978">
        <f t="shared" si="94"/>
        <v>1.7484657213295333E-3</v>
      </c>
      <c r="Q978">
        <f t="shared" si="95"/>
        <v>1.1656438142196889E-3</v>
      </c>
      <c r="R978">
        <f t="shared" si="96"/>
        <v>4.6625752568787556E-3</v>
      </c>
    </row>
    <row r="979" spans="1:18" hidden="1" x14ac:dyDescent="0.25">
      <c r="A979" s="46">
        <v>2020</v>
      </c>
      <c r="B979" s="56">
        <v>405</v>
      </c>
      <c r="C979" s="47" t="s">
        <v>91</v>
      </c>
      <c r="D979" s="47" t="s">
        <v>51</v>
      </c>
      <c r="E979" s="47" t="s">
        <v>46</v>
      </c>
      <c r="F979" s="46">
        <v>545</v>
      </c>
      <c r="G979" s="46">
        <v>35</v>
      </c>
      <c r="H979" s="46">
        <v>170</v>
      </c>
      <c r="I979" s="46">
        <v>260</v>
      </c>
      <c r="J979" s="46">
        <v>40</v>
      </c>
      <c r="K979" s="46">
        <v>5</v>
      </c>
      <c r="L979" s="46">
        <v>35</v>
      </c>
      <c r="M979">
        <f t="shared" si="91"/>
        <v>4.0797533497689111E-3</v>
      </c>
      <c r="N979">
        <f t="shared" si="92"/>
        <v>1.9815944841734712E-2</v>
      </c>
      <c r="O979">
        <f t="shared" si="93"/>
        <v>3.030673916971191E-2</v>
      </c>
      <c r="P979">
        <f t="shared" si="94"/>
        <v>4.6625752568787556E-3</v>
      </c>
      <c r="Q979">
        <f t="shared" si="95"/>
        <v>5.8282190710984446E-4</v>
      </c>
      <c r="R979">
        <f t="shared" si="96"/>
        <v>4.0797533497689111E-3</v>
      </c>
    </row>
    <row r="980" spans="1:18" hidden="1" x14ac:dyDescent="0.25">
      <c r="A980" s="46">
        <v>2020</v>
      </c>
      <c r="B980" s="56">
        <v>405</v>
      </c>
      <c r="C980" s="47" t="s">
        <v>91</v>
      </c>
      <c r="D980" s="47" t="s">
        <v>51</v>
      </c>
      <c r="E980" s="47" t="s">
        <v>47</v>
      </c>
      <c r="F980" s="46">
        <v>590</v>
      </c>
      <c r="G980" s="46">
        <v>20</v>
      </c>
      <c r="H980" s="46">
        <v>100</v>
      </c>
      <c r="I980" s="46">
        <v>300</v>
      </c>
      <c r="J980" s="46">
        <v>95</v>
      </c>
      <c r="K980" s="46">
        <v>25</v>
      </c>
      <c r="L980" s="46">
        <v>50</v>
      </c>
      <c r="M980">
        <f t="shared" si="91"/>
        <v>2.3312876284393778E-3</v>
      </c>
      <c r="N980">
        <f t="shared" si="92"/>
        <v>1.1656438142196888E-2</v>
      </c>
      <c r="O980">
        <f t="shared" si="93"/>
        <v>3.4969314426590667E-2</v>
      </c>
      <c r="P980">
        <f t="shared" si="94"/>
        <v>1.1073616235087045E-2</v>
      </c>
      <c r="Q980">
        <f t="shared" si="95"/>
        <v>2.914109535549222E-3</v>
      </c>
      <c r="R980">
        <f t="shared" si="96"/>
        <v>5.8282190710984439E-3</v>
      </c>
    </row>
    <row r="981" spans="1:18" hidden="1" x14ac:dyDescent="0.25">
      <c r="A981" s="46">
        <v>2020</v>
      </c>
      <c r="B981" s="56">
        <v>405</v>
      </c>
      <c r="C981" s="47" t="s">
        <v>91</v>
      </c>
      <c r="D981" s="47" t="s">
        <v>51</v>
      </c>
      <c r="E981" s="47" t="s">
        <v>48</v>
      </c>
      <c r="F981" s="46">
        <v>1720</v>
      </c>
      <c r="G981" s="46">
        <v>70</v>
      </c>
      <c r="H981" s="46">
        <v>275</v>
      </c>
      <c r="I981" s="46">
        <v>600</v>
      </c>
      <c r="J981" s="46">
        <v>210</v>
      </c>
      <c r="K981" s="46">
        <v>120</v>
      </c>
      <c r="L981" s="46">
        <v>445</v>
      </c>
      <c r="M981">
        <f t="shared" si="91"/>
        <v>8.1595066995378222E-3</v>
      </c>
      <c r="N981">
        <f t="shared" si="92"/>
        <v>3.2055204891041446E-2</v>
      </c>
      <c r="O981">
        <f t="shared" si="93"/>
        <v>6.9938628853181334E-2</v>
      </c>
      <c r="P981">
        <f t="shared" si="94"/>
        <v>2.4478520098613465E-2</v>
      </c>
      <c r="Q981">
        <f t="shared" si="95"/>
        <v>1.3987725770636266E-2</v>
      </c>
      <c r="R981">
        <f t="shared" si="96"/>
        <v>5.1871149732776158E-2</v>
      </c>
    </row>
    <row r="982" spans="1:18" hidden="1" x14ac:dyDescent="0.25">
      <c r="A982" s="46">
        <v>2020</v>
      </c>
      <c r="B982" s="56">
        <v>405</v>
      </c>
      <c r="C982" s="47" t="s">
        <v>91</v>
      </c>
      <c r="D982" s="47" t="s">
        <v>51</v>
      </c>
      <c r="E982" s="47" t="s">
        <v>49</v>
      </c>
      <c r="F982" s="46">
        <v>595</v>
      </c>
      <c r="G982" s="46">
        <v>15</v>
      </c>
      <c r="H982" s="46">
        <v>65</v>
      </c>
      <c r="I982" s="46">
        <v>110</v>
      </c>
      <c r="J982" s="46">
        <v>50</v>
      </c>
      <c r="K982" s="46">
        <v>30</v>
      </c>
      <c r="L982" s="46">
        <v>325</v>
      </c>
      <c r="M982">
        <f t="shared" si="91"/>
        <v>1.7484657213295333E-3</v>
      </c>
      <c r="N982">
        <f t="shared" si="92"/>
        <v>7.5766847924279776E-3</v>
      </c>
      <c r="O982">
        <f t="shared" si="93"/>
        <v>1.2822081956416579E-2</v>
      </c>
      <c r="P982">
        <f t="shared" si="94"/>
        <v>5.8282190710984439E-3</v>
      </c>
      <c r="Q982">
        <f t="shared" si="95"/>
        <v>3.4969314426590665E-3</v>
      </c>
      <c r="R982">
        <f t="shared" si="96"/>
        <v>3.7883423962139888E-2</v>
      </c>
    </row>
    <row r="983" spans="1:18" hidden="1" x14ac:dyDescent="0.25">
      <c r="A983" s="46">
        <v>2020</v>
      </c>
      <c r="B983" s="56">
        <v>405</v>
      </c>
      <c r="C983" s="47" t="s">
        <v>91</v>
      </c>
      <c r="D983" s="47" t="s">
        <v>51</v>
      </c>
      <c r="E983" s="47" t="s">
        <v>50</v>
      </c>
      <c r="F983" s="46">
        <v>225</v>
      </c>
      <c r="G983" s="46">
        <v>0</v>
      </c>
      <c r="H983" s="46">
        <v>5</v>
      </c>
      <c r="I983" s="46">
        <v>10</v>
      </c>
      <c r="J983" s="46">
        <v>5</v>
      </c>
      <c r="K983" s="46">
        <v>5</v>
      </c>
      <c r="L983" s="46">
        <v>200</v>
      </c>
      <c r="M983">
        <f t="shared" si="91"/>
        <v>0</v>
      </c>
      <c r="N983">
        <f t="shared" si="92"/>
        <v>5.8282190710984446E-4</v>
      </c>
      <c r="O983">
        <f t="shared" si="93"/>
        <v>1.1656438142196889E-3</v>
      </c>
      <c r="P983">
        <f t="shared" si="94"/>
        <v>5.8282190710984446E-4</v>
      </c>
      <c r="Q983">
        <f t="shared" si="95"/>
        <v>5.8282190710984446E-4</v>
      </c>
      <c r="R983">
        <f t="shared" si="96"/>
        <v>2.3312876284393776E-2</v>
      </c>
    </row>
    <row r="984" spans="1:18" hidden="1" x14ac:dyDescent="0.25">
      <c r="A984" s="46">
        <v>2020</v>
      </c>
      <c r="B984" s="56">
        <v>405</v>
      </c>
      <c r="C984" s="47" t="s">
        <v>91</v>
      </c>
      <c r="D984" s="47" t="s">
        <v>52</v>
      </c>
      <c r="E984" s="47" t="s">
        <v>43</v>
      </c>
      <c r="F984" s="46">
        <v>3910</v>
      </c>
      <c r="G984" s="46">
        <v>215</v>
      </c>
      <c r="H984" s="46">
        <v>910</v>
      </c>
      <c r="I984" s="46">
        <v>1195</v>
      </c>
      <c r="J984" s="46">
        <v>345</v>
      </c>
      <c r="K984" s="46">
        <v>135</v>
      </c>
      <c r="L984" s="46">
        <v>1110</v>
      </c>
      <c r="M984">
        <f t="shared" si="91"/>
        <v>2.5061342005723308E-2</v>
      </c>
      <c r="N984">
        <f t="shared" si="92"/>
        <v>0.10607358709399169</v>
      </c>
      <c r="O984">
        <f t="shared" si="93"/>
        <v>0.13929443579925282</v>
      </c>
      <c r="P984">
        <f t="shared" si="94"/>
        <v>4.0214711590579266E-2</v>
      </c>
      <c r="Q984">
        <f t="shared" si="95"/>
        <v>1.5736191491965801E-2</v>
      </c>
      <c r="R984">
        <f t="shared" si="96"/>
        <v>0.12938646337838547</v>
      </c>
    </row>
    <row r="985" spans="1:18" hidden="1" x14ac:dyDescent="0.25">
      <c r="A985" s="46">
        <v>2020</v>
      </c>
      <c r="B985" s="56">
        <v>405</v>
      </c>
      <c r="C985" s="47" t="s">
        <v>91</v>
      </c>
      <c r="D985" s="47" t="s">
        <v>52</v>
      </c>
      <c r="E985" s="47" t="s">
        <v>44</v>
      </c>
      <c r="F985" s="46">
        <v>935</v>
      </c>
      <c r="G985" s="46">
        <v>100</v>
      </c>
      <c r="H985" s="46">
        <v>360</v>
      </c>
      <c r="I985" s="46">
        <v>380</v>
      </c>
      <c r="J985" s="46">
        <v>55</v>
      </c>
      <c r="K985" s="46">
        <v>15</v>
      </c>
      <c r="L985" s="46">
        <v>25</v>
      </c>
      <c r="M985">
        <f t="shared" si="91"/>
        <v>1.1656438142196888E-2</v>
      </c>
      <c r="N985">
        <f t="shared" si="92"/>
        <v>4.1963177311908802E-2</v>
      </c>
      <c r="O985">
        <f t="shared" si="93"/>
        <v>4.429446494034818E-2</v>
      </c>
      <c r="P985">
        <f t="shared" si="94"/>
        <v>6.4110409782082893E-3</v>
      </c>
      <c r="Q985">
        <f t="shared" si="95"/>
        <v>1.7484657213295333E-3</v>
      </c>
      <c r="R985">
        <f t="shared" si="96"/>
        <v>2.914109535549222E-3</v>
      </c>
    </row>
    <row r="986" spans="1:18" hidden="1" x14ac:dyDescent="0.25">
      <c r="A986" s="46">
        <v>2020</v>
      </c>
      <c r="B986" s="56">
        <v>405</v>
      </c>
      <c r="C986" s="47" t="s">
        <v>91</v>
      </c>
      <c r="D986" s="47" t="s">
        <v>52</v>
      </c>
      <c r="E986" s="47" t="s">
        <v>45</v>
      </c>
      <c r="F986" s="46">
        <v>205</v>
      </c>
      <c r="G986" s="46">
        <v>5</v>
      </c>
      <c r="H986" s="46">
        <v>50</v>
      </c>
      <c r="I986" s="46">
        <v>80</v>
      </c>
      <c r="J986" s="46">
        <v>25</v>
      </c>
      <c r="K986" s="46">
        <v>5</v>
      </c>
      <c r="L986" s="46">
        <v>35</v>
      </c>
      <c r="M986">
        <f t="shared" si="91"/>
        <v>5.8282190710984446E-4</v>
      </c>
      <c r="N986">
        <f t="shared" si="92"/>
        <v>5.8282190710984439E-3</v>
      </c>
      <c r="O986">
        <f t="shared" si="93"/>
        <v>9.3251505137575113E-3</v>
      </c>
      <c r="P986">
        <f t="shared" si="94"/>
        <v>2.914109535549222E-3</v>
      </c>
      <c r="Q986">
        <f t="shared" si="95"/>
        <v>5.8282190710984446E-4</v>
      </c>
      <c r="R986">
        <f t="shared" si="96"/>
        <v>4.0797533497689111E-3</v>
      </c>
    </row>
    <row r="987" spans="1:18" hidden="1" x14ac:dyDescent="0.25">
      <c r="A987" s="46">
        <v>2020</v>
      </c>
      <c r="B987" s="56">
        <v>405</v>
      </c>
      <c r="C987" s="47" t="s">
        <v>91</v>
      </c>
      <c r="D987" s="47" t="s">
        <v>52</v>
      </c>
      <c r="E987" s="47" t="s">
        <v>46</v>
      </c>
      <c r="F987" s="46">
        <v>340</v>
      </c>
      <c r="G987" s="46">
        <v>40</v>
      </c>
      <c r="H987" s="46">
        <v>125</v>
      </c>
      <c r="I987" s="46">
        <v>115</v>
      </c>
      <c r="J987" s="46">
        <v>20</v>
      </c>
      <c r="K987" s="46">
        <v>0</v>
      </c>
      <c r="L987" s="46">
        <v>40</v>
      </c>
      <c r="M987">
        <f t="shared" si="91"/>
        <v>4.6625752568787556E-3</v>
      </c>
      <c r="N987">
        <f t="shared" si="92"/>
        <v>1.4570547677746111E-2</v>
      </c>
      <c r="O987">
        <f t="shared" si="93"/>
        <v>1.3404903863526422E-2</v>
      </c>
      <c r="P987">
        <f t="shared" si="94"/>
        <v>2.3312876284393778E-3</v>
      </c>
      <c r="Q987">
        <f t="shared" si="95"/>
        <v>0</v>
      </c>
      <c r="R987">
        <f t="shared" si="96"/>
        <v>4.6625752568787556E-3</v>
      </c>
    </row>
    <row r="988" spans="1:18" hidden="1" x14ac:dyDescent="0.25">
      <c r="A988" s="46">
        <v>2020</v>
      </c>
      <c r="B988" s="56">
        <v>405</v>
      </c>
      <c r="C988" s="47" t="s">
        <v>91</v>
      </c>
      <c r="D988" s="47" t="s">
        <v>52</v>
      </c>
      <c r="E988" s="47" t="s">
        <v>47</v>
      </c>
      <c r="F988" s="46">
        <v>380</v>
      </c>
      <c r="G988" s="46">
        <v>15</v>
      </c>
      <c r="H988" s="46">
        <v>100</v>
      </c>
      <c r="I988" s="46">
        <v>155</v>
      </c>
      <c r="J988" s="46">
        <v>60</v>
      </c>
      <c r="K988" s="46">
        <v>15</v>
      </c>
      <c r="L988" s="46">
        <v>35</v>
      </c>
      <c r="M988">
        <f t="shared" si="91"/>
        <v>1.7484657213295333E-3</v>
      </c>
      <c r="N988">
        <f t="shared" si="92"/>
        <v>1.1656438142196888E-2</v>
      </c>
      <c r="O988">
        <f t="shared" si="93"/>
        <v>1.806747912040518E-2</v>
      </c>
      <c r="P988">
        <f t="shared" si="94"/>
        <v>6.993862885318133E-3</v>
      </c>
      <c r="Q988">
        <f t="shared" si="95"/>
        <v>1.7484657213295333E-3</v>
      </c>
      <c r="R988">
        <f t="shared" si="96"/>
        <v>4.0797533497689111E-3</v>
      </c>
    </row>
    <row r="989" spans="1:18" hidden="1" x14ac:dyDescent="0.25">
      <c r="A989" s="46">
        <v>2020</v>
      </c>
      <c r="B989" s="56">
        <v>405</v>
      </c>
      <c r="C989" s="47" t="s">
        <v>91</v>
      </c>
      <c r="D989" s="47" t="s">
        <v>52</v>
      </c>
      <c r="E989" s="47" t="s">
        <v>48</v>
      </c>
      <c r="F989" s="46">
        <v>1295</v>
      </c>
      <c r="G989" s="46">
        <v>40</v>
      </c>
      <c r="H989" s="46">
        <v>235</v>
      </c>
      <c r="I989" s="46">
        <v>385</v>
      </c>
      <c r="J989" s="46">
        <v>145</v>
      </c>
      <c r="K989" s="46">
        <v>70</v>
      </c>
      <c r="L989" s="46">
        <v>415</v>
      </c>
      <c r="M989">
        <f t="shared" si="91"/>
        <v>4.6625752568787556E-3</v>
      </c>
      <c r="N989">
        <f t="shared" si="92"/>
        <v>2.7392629634162689E-2</v>
      </c>
      <c r="O989">
        <f t="shared" si="93"/>
        <v>4.4877286847458023E-2</v>
      </c>
      <c r="P989">
        <f t="shared" si="94"/>
        <v>1.6901835306185491E-2</v>
      </c>
      <c r="Q989">
        <f t="shared" si="95"/>
        <v>8.1595066995378222E-3</v>
      </c>
      <c r="R989">
        <f t="shared" si="96"/>
        <v>4.8374218290117087E-2</v>
      </c>
    </row>
    <row r="990" spans="1:18" hidden="1" x14ac:dyDescent="0.25">
      <c r="A990" s="46">
        <v>2020</v>
      </c>
      <c r="B990" s="56">
        <v>405</v>
      </c>
      <c r="C990" s="47" t="s">
        <v>91</v>
      </c>
      <c r="D990" s="47" t="s">
        <v>52</v>
      </c>
      <c r="E990" s="47" t="s">
        <v>49</v>
      </c>
      <c r="F990" s="46">
        <v>450</v>
      </c>
      <c r="G990" s="46">
        <v>15</v>
      </c>
      <c r="H990" s="46">
        <v>35</v>
      </c>
      <c r="I990" s="46">
        <v>60</v>
      </c>
      <c r="J990" s="46">
        <v>30</v>
      </c>
      <c r="K990" s="46">
        <v>20</v>
      </c>
      <c r="L990" s="46">
        <v>290</v>
      </c>
      <c r="M990">
        <f t="shared" si="91"/>
        <v>1.7484657213295333E-3</v>
      </c>
      <c r="N990">
        <f t="shared" si="92"/>
        <v>4.0797533497689111E-3</v>
      </c>
      <c r="O990">
        <f t="shared" si="93"/>
        <v>6.993862885318133E-3</v>
      </c>
      <c r="P990">
        <f t="shared" si="94"/>
        <v>3.4969314426590665E-3</v>
      </c>
      <c r="Q990">
        <f t="shared" si="95"/>
        <v>2.3312876284393778E-3</v>
      </c>
      <c r="R990">
        <f t="shared" si="96"/>
        <v>3.3803670612370981E-2</v>
      </c>
    </row>
    <row r="991" spans="1:18" hidden="1" x14ac:dyDescent="0.25">
      <c r="A991" s="46">
        <v>2020</v>
      </c>
      <c r="B991" s="56">
        <v>405</v>
      </c>
      <c r="C991" s="47" t="s">
        <v>91</v>
      </c>
      <c r="D991" s="47" t="s">
        <v>52</v>
      </c>
      <c r="E991" s="47" t="s">
        <v>50</v>
      </c>
      <c r="F991" s="46">
        <v>310</v>
      </c>
      <c r="G991" s="46">
        <v>0</v>
      </c>
      <c r="H991" s="46">
        <v>10</v>
      </c>
      <c r="I991" s="46">
        <v>20</v>
      </c>
      <c r="J991" s="46">
        <v>10</v>
      </c>
      <c r="K991" s="46">
        <v>0</v>
      </c>
      <c r="L991" s="46">
        <v>270</v>
      </c>
      <c r="M991">
        <f t="shared" si="91"/>
        <v>0</v>
      </c>
      <c r="N991">
        <f t="shared" si="92"/>
        <v>1.1656438142196889E-3</v>
      </c>
      <c r="O991">
        <f t="shared" si="93"/>
        <v>2.3312876284393778E-3</v>
      </c>
      <c r="P991">
        <f t="shared" si="94"/>
        <v>1.1656438142196889E-3</v>
      </c>
      <c r="Q991">
        <f t="shared" si="95"/>
        <v>0</v>
      </c>
      <c r="R991">
        <f t="shared" si="96"/>
        <v>3.1472382983931603E-2</v>
      </c>
    </row>
    <row r="992" spans="1:18" x14ac:dyDescent="0.25">
      <c r="A992" s="46">
        <v>2020</v>
      </c>
      <c r="B992" s="56">
        <v>451</v>
      </c>
      <c r="C992" s="47" t="s">
        <v>92</v>
      </c>
      <c r="D992" s="47" t="s">
        <v>42</v>
      </c>
      <c r="E992" s="47" t="s">
        <v>43</v>
      </c>
      <c r="F992" s="46">
        <v>8735</v>
      </c>
      <c r="G992" s="46">
        <v>600</v>
      </c>
      <c r="H992" s="46">
        <v>1860</v>
      </c>
      <c r="I992" s="46">
        <v>2325</v>
      </c>
      <c r="J992" s="46">
        <v>830</v>
      </c>
      <c r="K992" s="46">
        <v>600</v>
      </c>
      <c r="L992" s="46">
        <v>2525</v>
      </c>
      <c r="M992">
        <f t="shared" si="91"/>
        <v>6.9938628853181334E-2</v>
      </c>
      <c r="N992">
        <f t="shared" si="92"/>
        <v>0.21680974944486212</v>
      </c>
      <c r="O992">
        <f t="shared" si="93"/>
        <v>0.27101218680607769</v>
      </c>
      <c r="P992">
        <f t="shared" si="94"/>
        <v>9.6748436580234173E-2</v>
      </c>
      <c r="Q992">
        <f t="shared" si="95"/>
        <v>6.9938628853181334E-2</v>
      </c>
      <c r="R992">
        <f t="shared" si="96"/>
        <v>0.29432506309047146</v>
      </c>
    </row>
    <row r="993" spans="1:18" hidden="1" x14ac:dyDescent="0.25">
      <c r="A993" s="46">
        <v>2020</v>
      </c>
      <c r="B993" s="56">
        <v>451</v>
      </c>
      <c r="C993" s="47" t="s">
        <v>92</v>
      </c>
      <c r="D993" s="47" t="s">
        <v>42</v>
      </c>
      <c r="E993" s="47" t="s">
        <v>44</v>
      </c>
      <c r="F993" s="46">
        <v>1580</v>
      </c>
      <c r="G993" s="46">
        <v>120</v>
      </c>
      <c r="H993" s="46">
        <v>530</v>
      </c>
      <c r="I993" s="46">
        <v>655</v>
      </c>
      <c r="J993" s="46">
        <v>135</v>
      </c>
      <c r="K993" s="46">
        <v>65</v>
      </c>
      <c r="L993" s="46">
        <v>75</v>
      </c>
      <c r="M993">
        <f t="shared" si="91"/>
        <v>1.3987725770636266E-2</v>
      </c>
      <c r="N993">
        <f t="shared" si="92"/>
        <v>6.1779122153643513E-2</v>
      </c>
      <c r="O993">
        <f t="shared" si="93"/>
        <v>7.6349669831389619E-2</v>
      </c>
      <c r="P993">
        <f t="shared" si="94"/>
        <v>1.5736191491965801E-2</v>
      </c>
      <c r="Q993">
        <f t="shared" si="95"/>
        <v>7.5766847924279776E-3</v>
      </c>
      <c r="R993">
        <f t="shared" si="96"/>
        <v>8.7423286066476667E-3</v>
      </c>
    </row>
    <row r="994" spans="1:18" hidden="1" x14ac:dyDescent="0.25">
      <c r="A994" s="46">
        <v>2020</v>
      </c>
      <c r="B994" s="56">
        <v>451</v>
      </c>
      <c r="C994" s="47" t="s">
        <v>92</v>
      </c>
      <c r="D994" s="47" t="s">
        <v>42</v>
      </c>
      <c r="E994" s="47" t="s">
        <v>45</v>
      </c>
      <c r="F994" s="46">
        <v>470</v>
      </c>
      <c r="G994" s="46">
        <v>40</v>
      </c>
      <c r="H994" s="46">
        <v>100</v>
      </c>
      <c r="I994" s="46">
        <v>195</v>
      </c>
      <c r="J994" s="46">
        <v>40</v>
      </c>
      <c r="K994" s="46">
        <v>15</v>
      </c>
      <c r="L994" s="46">
        <v>80</v>
      </c>
      <c r="M994">
        <f t="shared" si="91"/>
        <v>4.6625752568787556E-3</v>
      </c>
      <c r="N994">
        <f t="shared" si="92"/>
        <v>1.1656438142196888E-2</v>
      </c>
      <c r="O994">
        <f t="shared" si="93"/>
        <v>2.2730054377283933E-2</v>
      </c>
      <c r="P994">
        <f t="shared" si="94"/>
        <v>4.6625752568787556E-3</v>
      </c>
      <c r="Q994">
        <f t="shared" si="95"/>
        <v>1.7484657213295333E-3</v>
      </c>
      <c r="R994">
        <f t="shared" si="96"/>
        <v>9.3251505137575113E-3</v>
      </c>
    </row>
    <row r="995" spans="1:18" hidden="1" x14ac:dyDescent="0.25">
      <c r="A995" s="46">
        <v>2020</v>
      </c>
      <c r="B995" s="56">
        <v>451</v>
      </c>
      <c r="C995" s="47" t="s">
        <v>92</v>
      </c>
      <c r="D995" s="47" t="s">
        <v>42</v>
      </c>
      <c r="E995" s="47" t="s">
        <v>46</v>
      </c>
      <c r="F995" s="46">
        <v>695</v>
      </c>
      <c r="G995" s="46">
        <v>90</v>
      </c>
      <c r="H995" s="46">
        <v>230</v>
      </c>
      <c r="I995" s="46">
        <v>230</v>
      </c>
      <c r="J995" s="46">
        <v>40</v>
      </c>
      <c r="K995" s="46">
        <v>15</v>
      </c>
      <c r="L995" s="46">
        <v>85</v>
      </c>
      <c r="M995">
        <f t="shared" si="91"/>
        <v>1.04907943279772E-2</v>
      </c>
      <c r="N995">
        <f t="shared" si="92"/>
        <v>2.6809807727052843E-2</v>
      </c>
      <c r="O995">
        <f t="shared" si="93"/>
        <v>2.6809807727052843E-2</v>
      </c>
      <c r="P995">
        <f t="shared" si="94"/>
        <v>4.6625752568787556E-3</v>
      </c>
      <c r="Q995">
        <f t="shared" si="95"/>
        <v>1.7484657213295333E-3</v>
      </c>
      <c r="R995">
        <f t="shared" si="96"/>
        <v>9.9079724208673559E-3</v>
      </c>
    </row>
    <row r="996" spans="1:18" hidden="1" x14ac:dyDescent="0.25">
      <c r="A996" s="46">
        <v>2020</v>
      </c>
      <c r="B996" s="56">
        <v>451</v>
      </c>
      <c r="C996" s="47" t="s">
        <v>92</v>
      </c>
      <c r="D996" s="47" t="s">
        <v>42</v>
      </c>
      <c r="E996" s="47" t="s">
        <v>47</v>
      </c>
      <c r="F996" s="46">
        <v>850</v>
      </c>
      <c r="G996" s="46">
        <v>95</v>
      </c>
      <c r="H996" s="46">
        <v>240</v>
      </c>
      <c r="I996" s="46">
        <v>255</v>
      </c>
      <c r="J996" s="46">
        <v>115</v>
      </c>
      <c r="K996" s="46">
        <v>40</v>
      </c>
      <c r="L996" s="46">
        <v>105</v>
      </c>
      <c r="M996">
        <f t="shared" si="91"/>
        <v>1.1073616235087045E-2</v>
      </c>
      <c r="N996">
        <f t="shared" si="92"/>
        <v>2.7975451541272532E-2</v>
      </c>
      <c r="O996">
        <f t="shared" si="93"/>
        <v>2.9723917262602068E-2</v>
      </c>
      <c r="P996">
        <f t="shared" si="94"/>
        <v>1.3404903863526422E-2</v>
      </c>
      <c r="Q996">
        <f t="shared" si="95"/>
        <v>4.6625752568787556E-3</v>
      </c>
      <c r="R996">
        <f t="shared" si="96"/>
        <v>1.2239260049306732E-2</v>
      </c>
    </row>
    <row r="997" spans="1:18" hidden="1" x14ac:dyDescent="0.25">
      <c r="A997" s="46">
        <v>2020</v>
      </c>
      <c r="B997" s="56">
        <v>451</v>
      </c>
      <c r="C997" s="47" t="s">
        <v>92</v>
      </c>
      <c r="D997" s="47" t="s">
        <v>42</v>
      </c>
      <c r="E997" s="47" t="s">
        <v>48</v>
      </c>
      <c r="F997" s="46">
        <v>3315</v>
      </c>
      <c r="G997" s="46">
        <v>195</v>
      </c>
      <c r="H997" s="46">
        <v>600</v>
      </c>
      <c r="I997" s="46">
        <v>800</v>
      </c>
      <c r="J997" s="46">
        <v>395</v>
      </c>
      <c r="K997" s="46">
        <v>315</v>
      </c>
      <c r="L997" s="46">
        <v>1010</v>
      </c>
      <c r="M997">
        <f t="shared" si="91"/>
        <v>2.2730054377283933E-2</v>
      </c>
      <c r="N997">
        <f t="shared" si="92"/>
        <v>6.9938628853181334E-2</v>
      </c>
      <c r="O997">
        <f t="shared" si="93"/>
        <v>9.3251505137575103E-2</v>
      </c>
      <c r="P997">
        <f t="shared" si="94"/>
        <v>4.6042930661677708E-2</v>
      </c>
      <c r="Q997">
        <f t="shared" si="95"/>
        <v>3.6717780147920202E-2</v>
      </c>
      <c r="R997">
        <f t="shared" si="96"/>
        <v>0.11773002523618858</v>
      </c>
    </row>
    <row r="998" spans="1:18" hidden="1" x14ac:dyDescent="0.25">
      <c r="A998" s="46">
        <v>2020</v>
      </c>
      <c r="B998" s="56">
        <v>451</v>
      </c>
      <c r="C998" s="47" t="s">
        <v>92</v>
      </c>
      <c r="D998" s="47" t="s">
        <v>42</v>
      </c>
      <c r="E998" s="47" t="s">
        <v>49</v>
      </c>
      <c r="F998" s="46">
        <v>1330</v>
      </c>
      <c r="G998" s="46">
        <v>55</v>
      </c>
      <c r="H998" s="46">
        <v>130</v>
      </c>
      <c r="I998" s="46">
        <v>170</v>
      </c>
      <c r="J998" s="46">
        <v>90</v>
      </c>
      <c r="K998" s="46">
        <v>135</v>
      </c>
      <c r="L998" s="46">
        <v>755</v>
      </c>
      <c r="M998">
        <f t="shared" si="91"/>
        <v>6.4110409782082893E-3</v>
      </c>
      <c r="N998">
        <f t="shared" si="92"/>
        <v>1.5153369584855955E-2</v>
      </c>
      <c r="O998">
        <f t="shared" si="93"/>
        <v>1.9815944841734712E-2</v>
      </c>
      <c r="P998">
        <f t="shared" si="94"/>
        <v>1.04907943279772E-2</v>
      </c>
      <c r="Q998">
        <f t="shared" si="95"/>
        <v>1.5736191491965801E-2</v>
      </c>
      <c r="R998">
        <f t="shared" si="96"/>
        <v>8.8006107973586503E-2</v>
      </c>
    </row>
    <row r="999" spans="1:18" hidden="1" x14ac:dyDescent="0.25">
      <c r="A999" s="46">
        <v>2020</v>
      </c>
      <c r="B999" s="56">
        <v>451</v>
      </c>
      <c r="C999" s="47" t="s">
        <v>92</v>
      </c>
      <c r="D999" s="47" t="s">
        <v>42</v>
      </c>
      <c r="E999" s="47" t="s">
        <v>50</v>
      </c>
      <c r="F999" s="46">
        <v>495</v>
      </c>
      <c r="G999" s="46">
        <v>5</v>
      </c>
      <c r="H999" s="46">
        <v>20</v>
      </c>
      <c r="I999" s="46">
        <v>20</v>
      </c>
      <c r="J999" s="46">
        <v>20</v>
      </c>
      <c r="K999" s="46">
        <v>15</v>
      </c>
      <c r="L999" s="46">
        <v>410</v>
      </c>
      <c r="M999">
        <f t="shared" si="91"/>
        <v>5.8282190710984446E-4</v>
      </c>
      <c r="N999">
        <f t="shared" si="92"/>
        <v>2.3312876284393778E-3</v>
      </c>
      <c r="O999">
        <f t="shared" si="93"/>
        <v>2.3312876284393778E-3</v>
      </c>
      <c r="P999">
        <f t="shared" si="94"/>
        <v>2.3312876284393778E-3</v>
      </c>
      <c r="Q999">
        <f t="shared" si="95"/>
        <v>1.7484657213295333E-3</v>
      </c>
      <c r="R999">
        <f t="shared" si="96"/>
        <v>4.7791396383007244E-2</v>
      </c>
    </row>
    <row r="1000" spans="1:18" hidden="1" x14ac:dyDescent="0.25">
      <c r="A1000" s="46">
        <v>2020</v>
      </c>
      <c r="B1000" s="56">
        <v>451</v>
      </c>
      <c r="C1000" s="47" t="s">
        <v>92</v>
      </c>
      <c r="D1000" s="47" t="s">
        <v>51</v>
      </c>
      <c r="E1000" s="47" t="s">
        <v>43</v>
      </c>
      <c r="F1000" s="46">
        <v>4685</v>
      </c>
      <c r="G1000" s="46">
        <v>350</v>
      </c>
      <c r="H1000" s="46">
        <v>930</v>
      </c>
      <c r="I1000" s="46">
        <v>1295</v>
      </c>
      <c r="J1000" s="46">
        <v>480</v>
      </c>
      <c r="K1000" s="46">
        <v>350</v>
      </c>
      <c r="L1000" s="46">
        <v>1275</v>
      </c>
      <c r="M1000">
        <f t="shared" si="91"/>
        <v>4.0797533497689109E-2</v>
      </c>
      <c r="N1000">
        <f t="shared" si="92"/>
        <v>0.10840487472243106</v>
      </c>
      <c r="O1000">
        <f t="shared" si="93"/>
        <v>0.15095087394144971</v>
      </c>
      <c r="P1000">
        <f t="shared" si="94"/>
        <v>5.5950903082545064E-2</v>
      </c>
      <c r="Q1000">
        <f t="shared" si="95"/>
        <v>4.0797533497689109E-2</v>
      </c>
      <c r="R1000">
        <f t="shared" si="96"/>
        <v>0.14861958631301034</v>
      </c>
    </row>
    <row r="1001" spans="1:18" hidden="1" x14ac:dyDescent="0.25">
      <c r="A1001" s="46">
        <v>2020</v>
      </c>
      <c r="B1001" s="56">
        <v>451</v>
      </c>
      <c r="C1001" s="47" t="s">
        <v>92</v>
      </c>
      <c r="D1001" s="47" t="s">
        <v>51</v>
      </c>
      <c r="E1001" s="47" t="s">
        <v>44</v>
      </c>
      <c r="F1001" s="46">
        <v>770</v>
      </c>
      <c r="G1001" s="46">
        <v>50</v>
      </c>
      <c r="H1001" s="46">
        <v>255</v>
      </c>
      <c r="I1001" s="46">
        <v>325</v>
      </c>
      <c r="J1001" s="46">
        <v>75</v>
      </c>
      <c r="K1001" s="46">
        <v>35</v>
      </c>
      <c r="L1001" s="46">
        <v>35</v>
      </c>
      <c r="M1001">
        <f t="shared" si="91"/>
        <v>5.8282190710984439E-3</v>
      </c>
      <c r="N1001">
        <f t="shared" si="92"/>
        <v>2.9723917262602068E-2</v>
      </c>
      <c r="O1001">
        <f t="shared" si="93"/>
        <v>3.7883423962139888E-2</v>
      </c>
      <c r="P1001">
        <f t="shared" si="94"/>
        <v>8.7423286066476667E-3</v>
      </c>
      <c r="Q1001">
        <f t="shared" si="95"/>
        <v>4.0797533497689111E-3</v>
      </c>
      <c r="R1001">
        <f t="shared" si="96"/>
        <v>4.0797533497689111E-3</v>
      </c>
    </row>
    <row r="1002" spans="1:18" hidden="1" x14ac:dyDescent="0.25">
      <c r="A1002" s="46">
        <v>2020</v>
      </c>
      <c r="B1002" s="56">
        <v>451</v>
      </c>
      <c r="C1002" s="47" t="s">
        <v>92</v>
      </c>
      <c r="D1002" s="47" t="s">
        <v>51</v>
      </c>
      <c r="E1002" s="47" t="s">
        <v>45</v>
      </c>
      <c r="F1002" s="46">
        <v>255</v>
      </c>
      <c r="G1002" s="46">
        <v>30</v>
      </c>
      <c r="H1002" s="46">
        <v>45</v>
      </c>
      <c r="I1002" s="46">
        <v>105</v>
      </c>
      <c r="J1002" s="46">
        <v>20</v>
      </c>
      <c r="K1002" s="46">
        <v>10</v>
      </c>
      <c r="L1002" s="46">
        <v>45</v>
      </c>
      <c r="M1002">
        <f t="shared" si="91"/>
        <v>3.4969314426590665E-3</v>
      </c>
      <c r="N1002">
        <f t="shared" si="92"/>
        <v>5.2453971639886002E-3</v>
      </c>
      <c r="O1002">
        <f t="shared" si="93"/>
        <v>1.2239260049306732E-2</v>
      </c>
      <c r="P1002">
        <f t="shared" si="94"/>
        <v>2.3312876284393778E-3</v>
      </c>
      <c r="Q1002">
        <f t="shared" si="95"/>
        <v>1.1656438142196889E-3</v>
      </c>
      <c r="R1002">
        <f t="shared" si="96"/>
        <v>5.2453971639886002E-3</v>
      </c>
    </row>
    <row r="1003" spans="1:18" hidden="1" x14ac:dyDescent="0.25">
      <c r="A1003" s="46">
        <v>2020</v>
      </c>
      <c r="B1003" s="56">
        <v>451</v>
      </c>
      <c r="C1003" s="47" t="s">
        <v>92</v>
      </c>
      <c r="D1003" s="47" t="s">
        <v>51</v>
      </c>
      <c r="E1003" s="47" t="s">
        <v>46</v>
      </c>
      <c r="F1003" s="46">
        <v>400</v>
      </c>
      <c r="G1003" s="46">
        <v>60</v>
      </c>
      <c r="H1003" s="46">
        <v>115</v>
      </c>
      <c r="I1003" s="46">
        <v>150</v>
      </c>
      <c r="J1003" s="46">
        <v>25</v>
      </c>
      <c r="K1003" s="46">
        <v>10</v>
      </c>
      <c r="L1003" s="46">
        <v>45</v>
      </c>
      <c r="M1003">
        <f t="shared" si="91"/>
        <v>6.993862885318133E-3</v>
      </c>
      <c r="N1003">
        <f t="shared" si="92"/>
        <v>1.3404903863526422E-2</v>
      </c>
      <c r="O1003">
        <f t="shared" si="93"/>
        <v>1.7484657213295333E-2</v>
      </c>
      <c r="P1003">
        <f t="shared" si="94"/>
        <v>2.914109535549222E-3</v>
      </c>
      <c r="Q1003">
        <f t="shared" si="95"/>
        <v>1.1656438142196889E-3</v>
      </c>
      <c r="R1003">
        <f t="shared" si="96"/>
        <v>5.2453971639886002E-3</v>
      </c>
    </row>
    <row r="1004" spans="1:18" hidden="1" x14ac:dyDescent="0.25">
      <c r="A1004" s="46">
        <v>2020</v>
      </c>
      <c r="B1004" s="56">
        <v>451</v>
      </c>
      <c r="C1004" s="47" t="s">
        <v>92</v>
      </c>
      <c r="D1004" s="47" t="s">
        <v>51</v>
      </c>
      <c r="E1004" s="47" t="s">
        <v>47</v>
      </c>
      <c r="F1004" s="46">
        <v>475</v>
      </c>
      <c r="G1004" s="46">
        <v>60</v>
      </c>
      <c r="H1004" s="46">
        <v>125</v>
      </c>
      <c r="I1004" s="46">
        <v>160</v>
      </c>
      <c r="J1004" s="46">
        <v>70</v>
      </c>
      <c r="K1004" s="46">
        <v>15</v>
      </c>
      <c r="L1004" s="46">
        <v>40</v>
      </c>
      <c r="M1004">
        <f t="shared" si="91"/>
        <v>6.993862885318133E-3</v>
      </c>
      <c r="N1004">
        <f t="shared" si="92"/>
        <v>1.4570547677746111E-2</v>
      </c>
      <c r="O1004">
        <f t="shared" si="93"/>
        <v>1.8650301027515023E-2</v>
      </c>
      <c r="P1004">
        <f t="shared" si="94"/>
        <v>8.1595066995378222E-3</v>
      </c>
      <c r="Q1004">
        <f t="shared" si="95"/>
        <v>1.7484657213295333E-3</v>
      </c>
      <c r="R1004">
        <f t="shared" si="96"/>
        <v>4.6625752568787556E-3</v>
      </c>
    </row>
    <row r="1005" spans="1:18" hidden="1" x14ac:dyDescent="0.25">
      <c r="A1005" s="46">
        <v>2020</v>
      </c>
      <c r="B1005" s="56">
        <v>451</v>
      </c>
      <c r="C1005" s="47" t="s">
        <v>92</v>
      </c>
      <c r="D1005" s="47" t="s">
        <v>51</v>
      </c>
      <c r="E1005" s="47" t="s">
        <v>48</v>
      </c>
      <c r="F1005" s="46">
        <v>1835</v>
      </c>
      <c r="G1005" s="46">
        <v>115</v>
      </c>
      <c r="H1005" s="46">
        <v>320</v>
      </c>
      <c r="I1005" s="46">
        <v>455</v>
      </c>
      <c r="J1005" s="46">
        <v>230</v>
      </c>
      <c r="K1005" s="46">
        <v>190</v>
      </c>
      <c r="L1005" s="46">
        <v>525</v>
      </c>
      <c r="M1005">
        <f t="shared" si="91"/>
        <v>1.3404903863526422E-2</v>
      </c>
      <c r="N1005">
        <f t="shared" si="92"/>
        <v>3.7300602055030045E-2</v>
      </c>
      <c r="O1005">
        <f t="shared" si="93"/>
        <v>5.3036793546995843E-2</v>
      </c>
      <c r="P1005">
        <f t="shared" si="94"/>
        <v>2.6809807727052843E-2</v>
      </c>
      <c r="Q1005">
        <f t="shared" si="95"/>
        <v>2.214723247017409E-2</v>
      </c>
      <c r="R1005">
        <f t="shared" si="96"/>
        <v>6.1196300246533664E-2</v>
      </c>
    </row>
    <row r="1006" spans="1:18" hidden="1" x14ac:dyDescent="0.25">
      <c r="A1006" s="46">
        <v>2020</v>
      </c>
      <c r="B1006" s="56">
        <v>451</v>
      </c>
      <c r="C1006" s="47" t="s">
        <v>92</v>
      </c>
      <c r="D1006" s="47" t="s">
        <v>51</v>
      </c>
      <c r="E1006" s="47" t="s">
        <v>49</v>
      </c>
      <c r="F1006" s="46">
        <v>725</v>
      </c>
      <c r="G1006" s="46">
        <v>30</v>
      </c>
      <c r="H1006" s="46">
        <v>65</v>
      </c>
      <c r="I1006" s="46">
        <v>90</v>
      </c>
      <c r="J1006" s="46">
        <v>55</v>
      </c>
      <c r="K1006" s="46">
        <v>85</v>
      </c>
      <c r="L1006" s="46">
        <v>405</v>
      </c>
      <c r="M1006">
        <f t="shared" si="91"/>
        <v>3.4969314426590665E-3</v>
      </c>
      <c r="N1006">
        <f t="shared" si="92"/>
        <v>7.5766847924279776E-3</v>
      </c>
      <c r="O1006">
        <f t="shared" si="93"/>
        <v>1.04907943279772E-2</v>
      </c>
      <c r="P1006">
        <f t="shared" si="94"/>
        <v>6.4110409782082893E-3</v>
      </c>
      <c r="Q1006">
        <f t="shared" si="95"/>
        <v>9.9079724208673559E-3</v>
      </c>
      <c r="R1006">
        <f t="shared" si="96"/>
        <v>4.7208574475897401E-2</v>
      </c>
    </row>
    <row r="1007" spans="1:18" hidden="1" x14ac:dyDescent="0.25">
      <c r="A1007" s="46">
        <v>2020</v>
      </c>
      <c r="B1007" s="56">
        <v>451</v>
      </c>
      <c r="C1007" s="47" t="s">
        <v>92</v>
      </c>
      <c r="D1007" s="47" t="s">
        <v>51</v>
      </c>
      <c r="E1007" s="47" t="s">
        <v>50</v>
      </c>
      <c r="F1007" s="46">
        <v>225</v>
      </c>
      <c r="G1007" s="46">
        <v>5</v>
      </c>
      <c r="H1007" s="46">
        <v>10</v>
      </c>
      <c r="I1007" s="46">
        <v>10</v>
      </c>
      <c r="J1007" s="46">
        <v>5</v>
      </c>
      <c r="K1007" s="46">
        <v>10</v>
      </c>
      <c r="L1007" s="46">
        <v>180</v>
      </c>
      <c r="M1007">
        <f t="shared" si="91"/>
        <v>5.8282190710984446E-4</v>
      </c>
      <c r="N1007">
        <f t="shared" si="92"/>
        <v>1.1656438142196889E-3</v>
      </c>
      <c r="O1007">
        <f t="shared" si="93"/>
        <v>1.1656438142196889E-3</v>
      </c>
      <c r="P1007">
        <f t="shared" si="94"/>
        <v>5.8282190710984446E-4</v>
      </c>
      <c r="Q1007">
        <f t="shared" si="95"/>
        <v>1.1656438142196889E-3</v>
      </c>
      <c r="R1007">
        <f t="shared" si="96"/>
        <v>2.0981588655954401E-2</v>
      </c>
    </row>
    <row r="1008" spans="1:18" hidden="1" x14ac:dyDescent="0.25">
      <c r="A1008" s="46">
        <v>2020</v>
      </c>
      <c r="B1008" s="56">
        <v>451</v>
      </c>
      <c r="C1008" s="47" t="s">
        <v>92</v>
      </c>
      <c r="D1008" s="47" t="s">
        <v>52</v>
      </c>
      <c r="E1008" s="47" t="s">
        <v>43</v>
      </c>
      <c r="F1008" s="46">
        <v>4050</v>
      </c>
      <c r="G1008" s="46">
        <v>250</v>
      </c>
      <c r="H1008" s="46">
        <v>925</v>
      </c>
      <c r="I1008" s="46">
        <v>1025</v>
      </c>
      <c r="J1008" s="46">
        <v>355</v>
      </c>
      <c r="K1008" s="46">
        <v>250</v>
      </c>
      <c r="L1008" s="46">
        <v>1250</v>
      </c>
      <c r="M1008">
        <f t="shared" si="91"/>
        <v>2.9141095355492221E-2</v>
      </c>
      <c r="N1008">
        <f t="shared" si="92"/>
        <v>0.10782205281532123</v>
      </c>
      <c r="O1008">
        <f t="shared" si="93"/>
        <v>0.11947849095751811</v>
      </c>
      <c r="P1008">
        <f t="shared" si="94"/>
        <v>4.1380355404798952E-2</v>
      </c>
      <c r="Q1008">
        <f t="shared" si="95"/>
        <v>2.9141095355492221E-2</v>
      </c>
      <c r="R1008">
        <f t="shared" si="96"/>
        <v>0.14570547677746112</v>
      </c>
    </row>
    <row r="1009" spans="1:18" hidden="1" x14ac:dyDescent="0.25">
      <c r="A1009" s="46">
        <v>2020</v>
      </c>
      <c r="B1009" s="56">
        <v>451</v>
      </c>
      <c r="C1009" s="47" t="s">
        <v>92</v>
      </c>
      <c r="D1009" s="47" t="s">
        <v>52</v>
      </c>
      <c r="E1009" s="47" t="s">
        <v>44</v>
      </c>
      <c r="F1009" s="46">
        <v>810</v>
      </c>
      <c r="G1009" s="46">
        <v>70</v>
      </c>
      <c r="H1009" s="46">
        <v>280</v>
      </c>
      <c r="I1009" s="46">
        <v>330</v>
      </c>
      <c r="J1009" s="46">
        <v>60</v>
      </c>
      <c r="K1009" s="46">
        <v>30</v>
      </c>
      <c r="L1009" s="46">
        <v>40</v>
      </c>
      <c r="M1009">
        <f t="shared" si="91"/>
        <v>8.1595066995378222E-3</v>
      </c>
      <c r="N1009">
        <f t="shared" si="92"/>
        <v>3.2638026798151289E-2</v>
      </c>
      <c r="O1009">
        <f t="shared" si="93"/>
        <v>3.8466245869249731E-2</v>
      </c>
      <c r="P1009">
        <f t="shared" si="94"/>
        <v>6.993862885318133E-3</v>
      </c>
      <c r="Q1009">
        <f t="shared" si="95"/>
        <v>3.4969314426590665E-3</v>
      </c>
      <c r="R1009">
        <f t="shared" si="96"/>
        <v>4.6625752568787556E-3</v>
      </c>
    </row>
    <row r="1010" spans="1:18" hidden="1" x14ac:dyDescent="0.25">
      <c r="A1010" s="46">
        <v>2020</v>
      </c>
      <c r="B1010" s="56">
        <v>451</v>
      </c>
      <c r="C1010" s="47" t="s">
        <v>92</v>
      </c>
      <c r="D1010" s="47" t="s">
        <v>52</v>
      </c>
      <c r="E1010" s="47" t="s">
        <v>45</v>
      </c>
      <c r="F1010" s="46">
        <v>215</v>
      </c>
      <c r="G1010" s="46">
        <v>10</v>
      </c>
      <c r="H1010" s="46">
        <v>55</v>
      </c>
      <c r="I1010" s="46">
        <v>90</v>
      </c>
      <c r="J1010" s="46">
        <v>20</v>
      </c>
      <c r="K1010" s="46">
        <v>5</v>
      </c>
      <c r="L1010" s="46">
        <v>40</v>
      </c>
      <c r="M1010">
        <f t="shared" si="91"/>
        <v>1.1656438142196889E-3</v>
      </c>
      <c r="N1010">
        <f t="shared" si="92"/>
        <v>6.4110409782082893E-3</v>
      </c>
      <c r="O1010">
        <f t="shared" si="93"/>
        <v>1.04907943279772E-2</v>
      </c>
      <c r="P1010">
        <f t="shared" si="94"/>
        <v>2.3312876284393778E-3</v>
      </c>
      <c r="Q1010">
        <f t="shared" si="95"/>
        <v>5.8282190710984446E-4</v>
      </c>
      <c r="R1010">
        <f t="shared" si="96"/>
        <v>4.6625752568787556E-3</v>
      </c>
    </row>
    <row r="1011" spans="1:18" hidden="1" x14ac:dyDescent="0.25">
      <c r="A1011" s="46">
        <v>2020</v>
      </c>
      <c r="B1011" s="56">
        <v>451</v>
      </c>
      <c r="C1011" s="47" t="s">
        <v>92</v>
      </c>
      <c r="D1011" s="47" t="s">
        <v>52</v>
      </c>
      <c r="E1011" s="47" t="s">
        <v>46</v>
      </c>
      <c r="F1011" s="46">
        <v>295</v>
      </c>
      <c r="G1011" s="46">
        <v>30</v>
      </c>
      <c r="H1011" s="46">
        <v>115</v>
      </c>
      <c r="I1011" s="46">
        <v>80</v>
      </c>
      <c r="J1011" s="46">
        <v>15</v>
      </c>
      <c r="K1011" s="46">
        <v>10</v>
      </c>
      <c r="L1011" s="46">
        <v>45</v>
      </c>
      <c r="M1011">
        <f t="shared" si="91"/>
        <v>3.4969314426590665E-3</v>
      </c>
      <c r="N1011">
        <f t="shared" si="92"/>
        <v>1.3404903863526422E-2</v>
      </c>
      <c r="O1011">
        <f t="shared" si="93"/>
        <v>9.3251505137575113E-3</v>
      </c>
      <c r="P1011">
        <f t="shared" si="94"/>
        <v>1.7484657213295333E-3</v>
      </c>
      <c r="Q1011">
        <f t="shared" si="95"/>
        <v>1.1656438142196889E-3</v>
      </c>
      <c r="R1011">
        <f t="shared" si="96"/>
        <v>5.2453971639886002E-3</v>
      </c>
    </row>
    <row r="1012" spans="1:18" hidden="1" x14ac:dyDescent="0.25">
      <c r="A1012" s="46">
        <v>2020</v>
      </c>
      <c r="B1012" s="56">
        <v>451</v>
      </c>
      <c r="C1012" s="47" t="s">
        <v>92</v>
      </c>
      <c r="D1012" s="47" t="s">
        <v>52</v>
      </c>
      <c r="E1012" s="47" t="s">
        <v>47</v>
      </c>
      <c r="F1012" s="46">
        <v>375</v>
      </c>
      <c r="G1012" s="46">
        <v>35</v>
      </c>
      <c r="H1012" s="46">
        <v>115</v>
      </c>
      <c r="I1012" s="46">
        <v>95</v>
      </c>
      <c r="J1012" s="46">
        <v>45</v>
      </c>
      <c r="K1012" s="46">
        <v>20</v>
      </c>
      <c r="L1012" s="46">
        <v>65</v>
      </c>
      <c r="M1012">
        <f t="shared" si="91"/>
        <v>4.0797533497689111E-3</v>
      </c>
      <c r="N1012">
        <f t="shared" si="92"/>
        <v>1.3404903863526422E-2</v>
      </c>
      <c r="O1012">
        <f t="shared" si="93"/>
        <v>1.1073616235087045E-2</v>
      </c>
      <c r="P1012">
        <f t="shared" si="94"/>
        <v>5.2453971639886002E-3</v>
      </c>
      <c r="Q1012">
        <f t="shared" si="95"/>
        <v>2.3312876284393778E-3</v>
      </c>
      <c r="R1012">
        <f t="shared" si="96"/>
        <v>7.5766847924279776E-3</v>
      </c>
    </row>
    <row r="1013" spans="1:18" hidden="1" x14ac:dyDescent="0.25">
      <c r="A1013" s="46">
        <v>2020</v>
      </c>
      <c r="B1013" s="56">
        <v>451</v>
      </c>
      <c r="C1013" s="47" t="s">
        <v>92</v>
      </c>
      <c r="D1013" s="47" t="s">
        <v>52</v>
      </c>
      <c r="E1013" s="47" t="s">
        <v>48</v>
      </c>
      <c r="F1013" s="46">
        <v>1480</v>
      </c>
      <c r="G1013" s="46">
        <v>80</v>
      </c>
      <c r="H1013" s="46">
        <v>285</v>
      </c>
      <c r="I1013" s="46">
        <v>345</v>
      </c>
      <c r="J1013" s="46">
        <v>165</v>
      </c>
      <c r="K1013" s="46">
        <v>125</v>
      </c>
      <c r="L1013" s="46">
        <v>485</v>
      </c>
      <c r="M1013">
        <f t="shared" si="91"/>
        <v>9.3251505137575113E-3</v>
      </c>
      <c r="N1013">
        <f t="shared" si="92"/>
        <v>3.3220848705261131E-2</v>
      </c>
      <c r="O1013">
        <f t="shared" si="93"/>
        <v>4.0214711590579266E-2</v>
      </c>
      <c r="P1013">
        <f t="shared" si="94"/>
        <v>1.9233122934624865E-2</v>
      </c>
      <c r="Q1013">
        <f t="shared" si="95"/>
        <v>1.4570547677746111E-2</v>
      </c>
      <c r="R1013">
        <f t="shared" si="96"/>
        <v>5.6533724989654914E-2</v>
      </c>
    </row>
    <row r="1014" spans="1:18" hidden="1" x14ac:dyDescent="0.25">
      <c r="A1014" s="46">
        <v>2020</v>
      </c>
      <c r="B1014" s="56">
        <v>451</v>
      </c>
      <c r="C1014" s="47" t="s">
        <v>92</v>
      </c>
      <c r="D1014" s="47" t="s">
        <v>52</v>
      </c>
      <c r="E1014" s="47" t="s">
        <v>49</v>
      </c>
      <c r="F1014" s="46">
        <v>605</v>
      </c>
      <c r="G1014" s="46">
        <v>25</v>
      </c>
      <c r="H1014" s="46">
        <v>65</v>
      </c>
      <c r="I1014" s="46">
        <v>80</v>
      </c>
      <c r="J1014" s="46">
        <v>35</v>
      </c>
      <c r="K1014" s="46">
        <v>50</v>
      </c>
      <c r="L1014" s="46">
        <v>350</v>
      </c>
      <c r="M1014">
        <f t="shared" si="91"/>
        <v>2.914109535549222E-3</v>
      </c>
      <c r="N1014">
        <f t="shared" si="92"/>
        <v>7.5766847924279776E-3</v>
      </c>
      <c r="O1014">
        <f t="shared" si="93"/>
        <v>9.3251505137575113E-3</v>
      </c>
      <c r="P1014">
        <f t="shared" si="94"/>
        <v>4.0797533497689111E-3</v>
      </c>
      <c r="Q1014">
        <f t="shared" si="95"/>
        <v>5.8282190710984439E-3</v>
      </c>
      <c r="R1014">
        <f t="shared" si="96"/>
        <v>4.0797533497689109E-2</v>
      </c>
    </row>
    <row r="1015" spans="1:18" hidden="1" x14ac:dyDescent="0.25">
      <c r="A1015" s="46">
        <v>2020</v>
      </c>
      <c r="B1015" s="56">
        <v>451</v>
      </c>
      <c r="C1015" s="47" t="s">
        <v>92</v>
      </c>
      <c r="D1015" s="47" t="s">
        <v>52</v>
      </c>
      <c r="E1015" s="47" t="s">
        <v>50</v>
      </c>
      <c r="F1015" s="46">
        <v>275</v>
      </c>
      <c r="G1015" s="46">
        <v>0</v>
      </c>
      <c r="H1015" s="46">
        <v>10</v>
      </c>
      <c r="I1015" s="46">
        <v>10</v>
      </c>
      <c r="J1015" s="46">
        <v>15</v>
      </c>
      <c r="K1015" s="46">
        <v>10</v>
      </c>
      <c r="L1015" s="46">
        <v>230</v>
      </c>
      <c r="M1015">
        <f t="shared" si="91"/>
        <v>0</v>
      </c>
      <c r="N1015">
        <f t="shared" si="92"/>
        <v>1.1656438142196889E-3</v>
      </c>
      <c r="O1015">
        <f t="shared" si="93"/>
        <v>1.1656438142196889E-3</v>
      </c>
      <c r="P1015">
        <f t="shared" si="94"/>
        <v>1.7484657213295333E-3</v>
      </c>
      <c r="Q1015">
        <f t="shared" si="95"/>
        <v>1.1656438142196889E-3</v>
      </c>
      <c r="R1015">
        <f t="shared" si="96"/>
        <v>2.6809807727052843E-2</v>
      </c>
    </row>
    <row r="1016" spans="1:18" x14ac:dyDescent="0.25">
      <c r="A1016" s="46">
        <v>2020</v>
      </c>
      <c r="B1016" s="56">
        <v>452</v>
      </c>
      <c r="C1016" s="47" t="s">
        <v>93</v>
      </c>
      <c r="D1016" s="47" t="s">
        <v>42</v>
      </c>
      <c r="E1016" s="47" t="s">
        <v>43</v>
      </c>
      <c r="F1016" s="46">
        <v>11465</v>
      </c>
      <c r="G1016" s="46">
        <v>660</v>
      </c>
      <c r="H1016" s="46">
        <v>2485</v>
      </c>
      <c r="I1016" s="46">
        <v>2810</v>
      </c>
      <c r="J1016" s="46">
        <v>1385</v>
      </c>
      <c r="K1016" s="46">
        <v>600</v>
      </c>
      <c r="L1016" s="46">
        <v>3525</v>
      </c>
      <c r="M1016">
        <f t="shared" si="91"/>
        <v>7.6932491738499462E-2</v>
      </c>
      <c r="N1016">
        <f t="shared" si="92"/>
        <v>0.28966248783359272</v>
      </c>
      <c r="O1016">
        <f t="shared" si="93"/>
        <v>0.32754591179573256</v>
      </c>
      <c r="P1016">
        <f t="shared" si="94"/>
        <v>0.16144166826942691</v>
      </c>
      <c r="Q1016">
        <f t="shared" si="95"/>
        <v>6.9938628853181334E-2</v>
      </c>
      <c r="R1016">
        <f t="shared" si="96"/>
        <v>0.41088944451244036</v>
      </c>
    </row>
    <row r="1017" spans="1:18" hidden="1" x14ac:dyDescent="0.25">
      <c r="A1017" s="46">
        <v>2020</v>
      </c>
      <c r="B1017" s="56">
        <v>452</v>
      </c>
      <c r="C1017" s="47" t="s">
        <v>93</v>
      </c>
      <c r="D1017" s="47" t="s">
        <v>42</v>
      </c>
      <c r="E1017" s="47" t="s">
        <v>44</v>
      </c>
      <c r="F1017" s="46">
        <v>1975</v>
      </c>
      <c r="G1017" s="46">
        <v>195</v>
      </c>
      <c r="H1017" s="46">
        <v>690</v>
      </c>
      <c r="I1017" s="46">
        <v>595</v>
      </c>
      <c r="J1017" s="46">
        <v>260</v>
      </c>
      <c r="K1017" s="46">
        <v>70</v>
      </c>
      <c r="L1017" s="46">
        <v>165</v>
      </c>
      <c r="M1017">
        <f t="shared" si="91"/>
        <v>2.2730054377283933E-2</v>
      </c>
      <c r="N1017">
        <f t="shared" si="92"/>
        <v>8.0429423181158533E-2</v>
      </c>
      <c r="O1017">
        <f t="shared" si="93"/>
        <v>6.9355806946071491E-2</v>
      </c>
      <c r="P1017">
        <f t="shared" si="94"/>
        <v>3.030673916971191E-2</v>
      </c>
      <c r="Q1017">
        <f t="shared" si="95"/>
        <v>8.1595066995378222E-3</v>
      </c>
      <c r="R1017">
        <f t="shared" si="96"/>
        <v>1.9233122934624865E-2</v>
      </c>
    </row>
    <row r="1018" spans="1:18" hidden="1" x14ac:dyDescent="0.25">
      <c r="A1018" s="46">
        <v>2020</v>
      </c>
      <c r="B1018" s="56">
        <v>452</v>
      </c>
      <c r="C1018" s="47" t="s">
        <v>93</v>
      </c>
      <c r="D1018" s="47" t="s">
        <v>42</v>
      </c>
      <c r="E1018" s="47" t="s">
        <v>45</v>
      </c>
      <c r="F1018" s="46">
        <v>600</v>
      </c>
      <c r="G1018" s="46">
        <v>50</v>
      </c>
      <c r="H1018" s="46">
        <v>130</v>
      </c>
      <c r="I1018" s="46">
        <v>170</v>
      </c>
      <c r="J1018" s="46">
        <v>65</v>
      </c>
      <c r="K1018" s="46">
        <v>25</v>
      </c>
      <c r="L1018" s="46">
        <v>160</v>
      </c>
      <c r="M1018">
        <f t="shared" si="91"/>
        <v>5.8282190710984439E-3</v>
      </c>
      <c r="N1018">
        <f t="shared" si="92"/>
        <v>1.5153369584855955E-2</v>
      </c>
      <c r="O1018">
        <f t="shared" si="93"/>
        <v>1.9815944841734712E-2</v>
      </c>
      <c r="P1018">
        <f t="shared" si="94"/>
        <v>7.5766847924279776E-3</v>
      </c>
      <c r="Q1018">
        <f t="shared" si="95"/>
        <v>2.914109535549222E-3</v>
      </c>
      <c r="R1018">
        <f t="shared" si="96"/>
        <v>1.8650301027515023E-2</v>
      </c>
    </row>
    <row r="1019" spans="1:18" hidden="1" x14ac:dyDescent="0.25">
      <c r="A1019" s="46">
        <v>2020</v>
      </c>
      <c r="B1019" s="56">
        <v>452</v>
      </c>
      <c r="C1019" s="47" t="s">
        <v>93</v>
      </c>
      <c r="D1019" s="47" t="s">
        <v>42</v>
      </c>
      <c r="E1019" s="47" t="s">
        <v>46</v>
      </c>
      <c r="F1019" s="46">
        <v>1080</v>
      </c>
      <c r="G1019" s="46">
        <v>100</v>
      </c>
      <c r="H1019" s="46">
        <v>360</v>
      </c>
      <c r="I1019" s="46">
        <v>385</v>
      </c>
      <c r="J1019" s="46">
        <v>65</v>
      </c>
      <c r="K1019" s="46">
        <v>25</v>
      </c>
      <c r="L1019" s="46">
        <v>145</v>
      </c>
      <c r="M1019">
        <f t="shared" si="91"/>
        <v>1.1656438142196888E-2</v>
      </c>
      <c r="N1019">
        <f t="shared" si="92"/>
        <v>4.1963177311908802E-2</v>
      </c>
      <c r="O1019">
        <f t="shared" si="93"/>
        <v>4.4877286847458023E-2</v>
      </c>
      <c r="P1019">
        <f t="shared" si="94"/>
        <v>7.5766847924279776E-3</v>
      </c>
      <c r="Q1019">
        <f t="shared" si="95"/>
        <v>2.914109535549222E-3</v>
      </c>
      <c r="R1019">
        <f t="shared" si="96"/>
        <v>1.6901835306185491E-2</v>
      </c>
    </row>
    <row r="1020" spans="1:18" hidden="1" x14ac:dyDescent="0.25">
      <c r="A1020" s="46">
        <v>2020</v>
      </c>
      <c r="B1020" s="56">
        <v>452</v>
      </c>
      <c r="C1020" s="47" t="s">
        <v>93</v>
      </c>
      <c r="D1020" s="47" t="s">
        <v>42</v>
      </c>
      <c r="E1020" s="47" t="s">
        <v>47</v>
      </c>
      <c r="F1020" s="46">
        <v>1300</v>
      </c>
      <c r="G1020" s="46">
        <v>85</v>
      </c>
      <c r="H1020" s="46">
        <v>350</v>
      </c>
      <c r="I1020" s="46">
        <v>445</v>
      </c>
      <c r="J1020" s="46">
        <v>195</v>
      </c>
      <c r="K1020" s="46">
        <v>55</v>
      </c>
      <c r="L1020" s="46">
        <v>175</v>
      </c>
      <c r="M1020">
        <f t="shared" si="91"/>
        <v>9.9079724208673559E-3</v>
      </c>
      <c r="N1020">
        <f t="shared" si="92"/>
        <v>4.0797533497689109E-2</v>
      </c>
      <c r="O1020">
        <f t="shared" si="93"/>
        <v>5.1871149732776158E-2</v>
      </c>
      <c r="P1020">
        <f t="shared" si="94"/>
        <v>2.2730054377283933E-2</v>
      </c>
      <c r="Q1020">
        <f t="shared" si="95"/>
        <v>6.4110409782082893E-3</v>
      </c>
      <c r="R1020">
        <f t="shared" si="96"/>
        <v>2.0398766748844555E-2</v>
      </c>
    </row>
    <row r="1021" spans="1:18" hidden="1" x14ac:dyDescent="0.25">
      <c r="A1021" s="46">
        <v>2020</v>
      </c>
      <c r="B1021" s="56">
        <v>452</v>
      </c>
      <c r="C1021" s="47" t="s">
        <v>93</v>
      </c>
      <c r="D1021" s="47" t="s">
        <v>42</v>
      </c>
      <c r="E1021" s="47" t="s">
        <v>48</v>
      </c>
      <c r="F1021" s="46">
        <v>4080</v>
      </c>
      <c r="G1021" s="46">
        <v>185</v>
      </c>
      <c r="H1021" s="46">
        <v>755</v>
      </c>
      <c r="I1021" s="46">
        <v>975</v>
      </c>
      <c r="J1021" s="46">
        <v>625</v>
      </c>
      <c r="K1021" s="46">
        <v>295</v>
      </c>
      <c r="L1021" s="46">
        <v>1245</v>
      </c>
      <c r="M1021">
        <f t="shared" si="91"/>
        <v>2.1564410563064244E-2</v>
      </c>
      <c r="N1021">
        <f t="shared" si="92"/>
        <v>8.8006107973586503E-2</v>
      </c>
      <c r="O1021">
        <f t="shared" si="93"/>
        <v>0.11365027188641966</v>
      </c>
      <c r="P1021">
        <f t="shared" si="94"/>
        <v>7.2852738388730562E-2</v>
      </c>
      <c r="Q1021">
        <f t="shared" si="95"/>
        <v>3.4386492519480824E-2</v>
      </c>
      <c r="R1021">
        <f t="shared" si="96"/>
        <v>0.14512265487035125</v>
      </c>
    </row>
    <row r="1022" spans="1:18" hidden="1" x14ac:dyDescent="0.25">
      <c r="A1022" s="46">
        <v>2020</v>
      </c>
      <c r="B1022" s="56">
        <v>452</v>
      </c>
      <c r="C1022" s="47" t="s">
        <v>93</v>
      </c>
      <c r="D1022" s="47" t="s">
        <v>42</v>
      </c>
      <c r="E1022" s="47" t="s">
        <v>49</v>
      </c>
      <c r="F1022" s="46">
        <v>1770</v>
      </c>
      <c r="G1022" s="46">
        <v>35</v>
      </c>
      <c r="H1022" s="46">
        <v>170</v>
      </c>
      <c r="I1022" s="46">
        <v>205</v>
      </c>
      <c r="J1022" s="46">
        <v>140</v>
      </c>
      <c r="K1022" s="46">
        <v>110</v>
      </c>
      <c r="L1022" s="46">
        <v>1105</v>
      </c>
      <c r="M1022">
        <f t="shared" si="91"/>
        <v>4.0797533497689111E-3</v>
      </c>
      <c r="N1022">
        <f t="shared" si="92"/>
        <v>1.9815944841734712E-2</v>
      </c>
      <c r="O1022">
        <f t="shared" si="93"/>
        <v>2.3895698191503622E-2</v>
      </c>
      <c r="P1022">
        <f t="shared" si="94"/>
        <v>1.6319013399075644E-2</v>
      </c>
      <c r="Q1022">
        <f t="shared" si="95"/>
        <v>1.2822081956416579E-2</v>
      </c>
      <c r="R1022">
        <f t="shared" si="96"/>
        <v>0.12880364147127563</v>
      </c>
    </row>
    <row r="1023" spans="1:18" hidden="1" x14ac:dyDescent="0.25">
      <c r="A1023" s="46">
        <v>2020</v>
      </c>
      <c r="B1023" s="56">
        <v>452</v>
      </c>
      <c r="C1023" s="47" t="s">
        <v>93</v>
      </c>
      <c r="D1023" s="47" t="s">
        <v>42</v>
      </c>
      <c r="E1023" s="47" t="s">
        <v>50</v>
      </c>
      <c r="F1023" s="46">
        <v>660</v>
      </c>
      <c r="G1023" s="46">
        <v>5</v>
      </c>
      <c r="H1023" s="46">
        <v>25</v>
      </c>
      <c r="I1023" s="46">
        <v>40</v>
      </c>
      <c r="J1023" s="46">
        <v>40</v>
      </c>
      <c r="K1023" s="46">
        <v>20</v>
      </c>
      <c r="L1023" s="46">
        <v>530</v>
      </c>
      <c r="M1023">
        <f t="shared" si="91"/>
        <v>5.8282190710984446E-4</v>
      </c>
      <c r="N1023">
        <f t="shared" si="92"/>
        <v>2.914109535549222E-3</v>
      </c>
      <c r="O1023">
        <f t="shared" si="93"/>
        <v>4.6625752568787556E-3</v>
      </c>
      <c r="P1023">
        <f t="shared" si="94"/>
        <v>4.6625752568787556E-3</v>
      </c>
      <c r="Q1023">
        <f t="shared" si="95"/>
        <v>2.3312876284393778E-3</v>
      </c>
      <c r="R1023">
        <f t="shared" si="96"/>
        <v>6.1779122153643513E-2</v>
      </c>
    </row>
    <row r="1024" spans="1:18" hidden="1" x14ac:dyDescent="0.25">
      <c r="A1024" s="46">
        <v>2020</v>
      </c>
      <c r="B1024" s="56">
        <v>452</v>
      </c>
      <c r="C1024" s="47" t="s">
        <v>93</v>
      </c>
      <c r="D1024" s="47" t="s">
        <v>51</v>
      </c>
      <c r="E1024" s="47" t="s">
        <v>43</v>
      </c>
      <c r="F1024" s="46">
        <v>6335</v>
      </c>
      <c r="G1024" s="46">
        <v>330</v>
      </c>
      <c r="H1024" s="46">
        <v>1360</v>
      </c>
      <c r="I1024" s="46">
        <v>1725</v>
      </c>
      <c r="J1024" s="46">
        <v>795</v>
      </c>
      <c r="K1024" s="46">
        <v>300</v>
      </c>
      <c r="L1024" s="46">
        <v>1825</v>
      </c>
      <c r="M1024">
        <f t="shared" si="91"/>
        <v>3.8466245869249731E-2</v>
      </c>
      <c r="N1024">
        <f t="shared" si="92"/>
        <v>0.15852755873387769</v>
      </c>
      <c r="O1024">
        <f t="shared" si="93"/>
        <v>0.20107355795289636</v>
      </c>
      <c r="P1024">
        <f t="shared" si="94"/>
        <v>9.266868323046526E-2</v>
      </c>
      <c r="Q1024">
        <f t="shared" si="95"/>
        <v>3.4969314426590667E-2</v>
      </c>
      <c r="R1024">
        <f t="shared" si="96"/>
        <v>0.21272999609509322</v>
      </c>
    </row>
    <row r="1025" spans="1:18" hidden="1" x14ac:dyDescent="0.25">
      <c r="A1025" s="46">
        <v>2020</v>
      </c>
      <c r="B1025" s="56">
        <v>452</v>
      </c>
      <c r="C1025" s="47" t="s">
        <v>93</v>
      </c>
      <c r="D1025" s="47" t="s">
        <v>51</v>
      </c>
      <c r="E1025" s="47" t="s">
        <v>44</v>
      </c>
      <c r="F1025" s="46">
        <v>1025</v>
      </c>
      <c r="G1025" s="46">
        <v>95</v>
      </c>
      <c r="H1025" s="46">
        <v>360</v>
      </c>
      <c r="I1025" s="46">
        <v>295</v>
      </c>
      <c r="J1025" s="46">
        <v>140</v>
      </c>
      <c r="K1025" s="46">
        <v>40</v>
      </c>
      <c r="L1025" s="46">
        <v>90</v>
      </c>
      <c r="M1025">
        <f t="shared" si="91"/>
        <v>1.1073616235087045E-2</v>
      </c>
      <c r="N1025">
        <f t="shared" si="92"/>
        <v>4.1963177311908802E-2</v>
      </c>
      <c r="O1025">
        <f t="shared" si="93"/>
        <v>3.4386492519480824E-2</v>
      </c>
      <c r="P1025">
        <f t="shared" si="94"/>
        <v>1.6319013399075644E-2</v>
      </c>
      <c r="Q1025">
        <f t="shared" si="95"/>
        <v>4.6625752568787556E-3</v>
      </c>
      <c r="R1025">
        <f t="shared" si="96"/>
        <v>1.04907943279772E-2</v>
      </c>
    </row>
    <row r="1026" spans="1:18" hidden="1" x14ac:dyDescent="0.25">
      <c r="A1026" s="46">
        <v>2020</v>
      </c>
      <c r="B1026" s="56">
        <v>452</v>
      </c>
      <c r="C1026" s="47" t="s">
        <v>93</v>
      </c>
      <c r="D1026" s="47" t="s">
        <v>51</v>
      </c>
      <c r="E1026" s="47" t="s">
        <v>45</v>
      </c>
      <c r="F1026" s="46">
        <v>325</v>
      </c>
      <c r="G1026" s="46">
        <v>20</v>
      </c>
      <c r="H1026" s="46">
        <v>75</v>
      </c>
      <c r="I1026" s="46">
        <v>85</v>
      </c>
      <c r="J1026" s="46">
        <v>30</v>
      </c>
      <c r="K1026" s="46">
        <v>15</v>
      </c>
      <c r="L1026" s="46">
        <v>95</v>
      </c>
      <c r="M1026">
        <f t="shared" si="91"/>
        <v>2.3312876284393778E-3</v>
      </c>
      <c r="N1026">
        <f t="shared" si="92"/>
        <v>8.7423286066476667E-3</v>
      </c>
      <c r="O1026">
        <f t="shared" si="93"/>
        <v>9.9079724208673559E-3</v>
      </c>
      <c r="P1026">
        <f t="shared" si="94"/>
        <v>3.4969314426590665E-3</v>
      </c>
      <c r="Q1026">
        <f t="shared" si="95"/>
        <v>1.7484657213295333E-3</v>
      </c>
      <c r="R1026">
        <f t="shared" si="96"/>
        <v>1.1073616235087045E-2</v>
      </c>
    </row>
    <row r="1027" spans="1:18" hidden="1" x14ac:dyDescent="0.25">
      <c r="A1027" s="46">
        <v>2020</v>
      </c>
      <c r="B1027" s="56">
        <v>452</v>
      </c>
      <c r="C1027" s="47" t="s">
        <v>93</v>
      </c>
      <c r="D1027" s="47" t="s">
        <v>51</v>
      </c>
      <c r="E1027" s="47" t="s">
        <v>46</v>
      </c>
      <c r="F1027" s="46">
        <v>660</v>
      </c>
      <c r="G1027" s="46">
        <v>45</v>
      </c>
      <c r="H1027" s="46">
        <v>205</v>
      </c>
      <c r="I1027" s="46">
        <v>290</v>
      </c>
      <c r="J1027" s="46">
        <v>40</v>
      </c>
      <c r="K1027" s="46">
        <v>15</v>
      </c>
      <c r="L1027" s="46">
        <v>70</v>
      </c>
      <c r="M1027">
        <f t="shared" si="91"/>
        <v>5.2453971639886002E-3</v>
      </c>
      <c r="N1027">
        <f t="shared" si="92"/>
        <v>2.3895698191503622E-2</v>
      </c>
      <c r="O1027">
        <f t="shared" si="93"/>
        <v>3.3803670612370981E-2</v>
      </c>
      <c r="P1027">
        <f t="shared" si="94"/>
        <v>4.6625752568787556E-3</v>
      </c>
      <c r="Q1027">
        <f t="shared" si="95"/>
        <v>1.7484657213295333E-3</v>
      </c>
      <c r="R1027">
        <f t="shared" si="96"/>
        <v>8.1595066995378222E-3</v>
      </c>
    </row>
    <row r="1028" spans="1:18" hidden="1" x14ac:dyDescent="0.25">
      <c r="A1028" s="46">
        <v>2020</v>
      </c>
      <c r="B1028" s="56">
        <v>452</v>
      </c>
      <c r="C1028" s="47" t="s">
        <v>93</v>
      </c>
      <c r="D1028" s="47" t="s">
        <v>51</v>
      </c>
      <c r="E1028" s="47" t="s">
        <v>47</v>
      </c>
      <c r="F1028" s="46">
        <v>780</v>
      </c>
      <c r="G1028" s="46">
        <v>45</v>
      </c>
      <c r="H1028" s="46">
        <v>215</v>
      </c>
      <c r="I1028" s="46">
        <v>290</v>
      </c>
      <c r="J1028" s="46">
        <v>105</v>
      </c>
      <c r="K1028" s="46">
        <v>25</v>
      </c>
      <c r="L1028" s="46">
        <v>105</v>
      </c>
      <c r="M1028">
        <f t="shared" si="91"/>
        <v>5.2453971639886002E-3</v>
      </c>
      <c r="N1028">
        <f t="shared" si="92"/>
        <v>2.5061342005723308E-2</v>
      </c>
      <c r="O1028">
        <f t="shared" si="93"/>
        <v>3.3803670612370981E-2</v>
      </c>
      <c r="P1028">
        <f t="shared" si="94"/>
        <v>1.2239260049306732E-2</v>
      </c>
      <c r="Q1028">
        <f t="shared" si="95"/>
        <v>2.914109535549222E-3</v>
      </c>
      <c r="R1028">
        <f t="shared" si="96"/>
        <v>1.2239260049306732E-2</v>
      </c>
    </row>
    <row r="1029" spans="1:18" hidden="1" x14ac:dyDescent="0.25">
      <c r="A1029" s="46">
        <v>2020</v>
      </c>
      <c r="B1029" s="56">
        <v>452</v>
      </c>
      <c r="C1029" s="47" t="s">
        <v>93</v>
      </c>
      <c r="D1029" s="47" t="s">
        <v>51</v>
      </c>
      <c r="E1029" s="47" t="s">
        <v>48</v>
      </c>
      <c r="F1029" s="46">
        <v>2295</v>
      </c>
      <c r="G1029" s="46">
        <v>100</v>
      </c>
      <c r="H1029" s="46">
        <v>415</v>
      </c>
      <c r="I1029" s="46">
        <v>630</v>
      </c>
      <c r="J1029" s="46">
        <v>380</v>
      </c>
      <c r="K1029" s="46">
        <v>145</v>
      </c>
      <c r="L1029" s="46">
        <v>620</v>
      </c>
      <c r="M1029">
        <f t="shared" si="91"/>
        <v>1.1656438142196888E-2</v>
      </c>
      <c r="N1029">
        <f t="shared" si="92"/>
        <v>4.8374218290117087E-2</v>
      </c>
      <c r="O1029">
        <f t="shared" si="93"/>
        <v>7.3435560295840405E-2</v>
      </c>
      <c r="P1029">
        <f t="shared" si="94"/>
        <v>4.429446494034818E-2</v>
      </c>
      <c r="Q1029">
        <f t="shared" si="95"/>
        <v>1.6901835306185491E-2</v>
      </c>
      <c r="R1029">
        <f t="shared" si="96"/>
        <v>7.2269916481620719E-2</v>
      </c>
    </row>
    <row r="1030" spans="1:18" hidden="1" x14ac:dyDescent="0.25">
      <c r="A1030" s="46">
        <v>2020</v>
      </c>
      <c r="B1030" s="56">
        <v>452</v>
      </c>
      <c r="C1030" s="47" t="s">
        <v>93</v>
      </c>
      <c r="D1030" s="47" t="s">
        <v>51</v>
      </c>
      <c r="E1030" s="47" t="s">
        <v>49</v>
      </c>
      <c r="F1030" s="46">
        <v>930</v>
      </c>
      <c r="G1030" s="46">
        <v>20</v>
      </c>
      <c r="H1030" s="46">
        <v>75</v>
      </c>
      <c r="I1030" s="46">
        <v>115</v>
      </c>
      <c r="J1030" s="46">
        <v>80</v>
      </c>
      <c r="K1030" s="46">
        <v>50</v>
      </c>
      <c r="L1030" s="46">
        <v>585</v>
      </c>
      <c r="M1030">
        <f t="shared" si="91"/>
        <v>2.3312876284393778E-3</v>
      </c>
      <c r="N1030">
        <f t="shared" si="92"/>
        <v>8.7423286066476667E-3</v>
      </c>
      <c r="O1030">
        <f t="shared" si="93"/>
        <v>1.3404903863526422E-2</v>
      </c>
      <c r="P1030">
        <f t="shared" si="94"/>
        <v>9.3251505137575113E-3</v>
      </c>
      <c r="Q1030">
        <f t="shared" si="95"/>
        <v>5.8282190710984439E-3</v>
      </c>
      <c r="R1030">
        <f t="shared" si="96"/>
        <v>6.8190163131851805E-2</v>
      </c>
    </row>
    <row r="1031" spans="1:18" hidden="1" x14ac:dyDescent="0.25">
      <c r="A1031" s="46">
        <v>2020</v>
      </c>
      <c r="B1031" s="56">
        <v>452</v>
      </c>
      <c r="C1031" s="47" t="s">
        <v>93</v>
      </c>
      <c r="D1031" s="47" t="s">
        <v>51</v>
      </c>
      <c r="E1031" s="47" t="s">
        <v>50</v>
      </c>
      <c r="F1031" s="46">
        <v>325</v>
      </c>
      <c r="G1031" s="46">
        <v>0</v>
      </c>
      <c r="H1031" s="46">
        <v>15</v>
      </c>
      <c r="I1031" s="46">
        <v>15</v>
      </c>
      <c r="J1031" s="46">
        <v>20</v>
      </c>
      <c r="K1031" s="46">
        <v>10</v>
      </c>
      <c r="L1031" s="46">
        <v>260</v>
      </c>
      <c r="M1031">
        <f t="shared" si="91"/>
        <v>0</v>
      </c>
      <c r="N1031">
        <f t="shared" si="92"/>
        <v>1.7484657213295333E-3</v>
      </c>
      <c r="O1031">
        <f t="shared" si="93"/>
        <v>1.7484657213295333E-3</v>
      </c>
      <c r="P1031">
        <f t="shared" si="94"/>
        <v>2.3312876284393778E-3</v>
      </c>
      <c r="Q1031">
        <f t="shared" si="95"/>
        <v>1.1656438142196889E-3</v>
      </c>
      <c r="R1031">
        <f t="shared" si="96"/>
        <v>3.030673916971191E-2</v>
      </c>
    </row>
    <row r="1032" spans="1:18" hidden="1" x14ac:dyDescent="0.25">
      <c r="A1032" s="46">
        <v>2020</v>
      </c>
      <c r="B1032" s="56">
        <v>452</v>
      </c>
      <c r="C1032" s="47" t="s">
        <v>93</v>
      </c>
      <c r="D1032" s="47" t="s">
        <v>52</v>
      </c>
      <c r="E1032" s="47" t="s">
        <v>43</v>
      </c>
      <c r="F1032" s="46">
        <v>5130</v>
      </c>
      <c r="G1032" s="46">
        <v>330</v>
      </c>
      <c r="H1032" s="46">
        <v>1120</v>
      </c>
      <c r="I1032" s="46">
        <v>1085</v>
      </c>
      <c r="J1032" s="46">
        <v>590</v>
      </c>
      <c r="K1032" s="46">
        <v>300</v>
      </c>
      <c r="L1032" s="46">
        <v>1700</v>
      </c>
      <c r="M1032">
        <f t="shared" si="91"/>
        <v>3.8466245869249731E-2</v>
      </c>
      <c r="N1032">
        <f t="shared" si="92"/>
        <v>0.13055210719260515</v>
      </c>
      <c r="O1032">
        <f t="shared" si="93"/>
        <v>0.12647235384283623</v>
      </c>
      <c r="P1032">
        <f t="shared" si="94"/>
        <v>6.8772985038961648E-2</v>
      </c>
      <c r="Q1032">
        <f t="shared" si="95"/>
        <v>3.4969314426590667E-2</v>
      </c>
      <c r="R1032">
        <f t="shared" si="96"/>
        <v>0.19815944841734709</v>
      </c>
    </row>
    <row r="1033" spans="1:18" hidden="1" x14ac:dyDescent="0.25">
      <c r="A1033" s="46">
        <v>2020</v>
      </c>
      <c r="B1033" s="56">
        <v>452</v>
      </c>
      <c r="C1033" s="47" t="s">
        <v>93</v>
      </c>
      <c r="D1033" s="47" t="s">
        <v>52</v>
      </c>
      <c r="E1033" s="47" t="s">
        <v>44</v>
      </c>
      <c r="F1033" s="46">
        <v>950</v>
      </c>
      <c r="G1033" s="46">
        <v>100</v>
      </c>
      <c r="H1033" s="46">
        <v>325</v>
      </c>
      <c r="I1033" s="46">
        <v>295</v>
      </c>
      <c r="J1033" s="46">
        <v>115</v>
      </c>
      <c r="K1033" s="46">
        <v>30</v>
      </c>
      <c r="L1033" s="46">
        <v>80</v>
      </c>
      <c r="M1033">
        <f t="shared" ref="M1033:M1096" si="97">G1033/$F$8*100</f>
        <v>1.1656438142196888E-2</v>
      </c>
      <c r="N1033">
        <f t="shared" ref="N1033:N1096" si="98">H1033/$F$8*100</f>
        <v>3.7883423962139888E-2</v>
      </c>
      <c r="O1033">
        <f t="shared" ref="O1033:O1096" si="99">I1033/$F$8*100</f>
        <v>3.4386492519480824E-2</v>
      </c>
      <c r="P1033">
        <f t="shared" ref="P1033:P1096" si="100">J1033/$F$8*100</f>
        <v>1.3404903863526422E-2</v>
      </c>
      <c r="Q1033">
        <f t="shared" ref="Q1033:Q1096" si="101">K1033/$F$8*100</f>
        <v>3.4969314426590665E-3</v>
      </c>
      <c r="R1033">
        <f t="shared" ref="R1033:R1096" si="102">L1033/$F$8*100</f>
        <v>9.3251505137575113E-3</v>
      </c>
    </row>
    <row r="1034" spans="1:18" hidden="1" x14ac:dyDescent="0.25">
      <c r="A1034" s="46">
        <v>2020</v>
      </c>
      <c r="B1034" s="56">
        <v>452</v>
      </c>
      <c r="C1034" s="47" t="s">
        <v>93</v>
      </c>
      <c r="D1034" s="47" t="s">
        <v>52</v>
      </c>
      <c r="E1034" s="47" t="s">
        <v>45</v>
      </c>
      <c r="F1034" s="46">
        <v>280</v>
      </c>
      <c r="G1034" s="46">
        <v>30</v>
      </c>
      <c r="H1034" s="46">
        <v>55</v>
      </c>
      <c r="I1034" s="46">
        <v>85</v>
      </c>
      <c r="J1034" s="46">
        <v>35</v>
      </c>
      <c r="K1034" s="46">
        <v>10</v>
      </c>
      <c r="L1034" s="46">
        <v>70</v>
      </c>
      <c r="M1034">
        <f t="shared" si="97"/>
        <v>3.4969314426590665E-3</v>
      </c>
      <c r="N1034">
        <f t="shared" si="98"/>
        <v>6.4110409782082893E-3</v>
      </c>
      <c r="O1034">
        <f t="shared" si="99"/>
        <v>9.9079724208673559E-3</v>
      </c>
      <c r="P1034">
        <f t="shared" si="100"/>
        <v>4.0797533497689111E-3</v>
      </c>
      <c r="Q1034">
        <f t="shared" si="101"/>
        <v>1.1656438142196889E-3</v>
      </c>
      <c r="R1034">
        <f t="shared" si="102"/>
        <v>8.1595066995378222E-3</v>
      </c>
    </row>
    <row r="1035" spans="1:18" hidden="1" x14ac:dyDescent="0.25">
      <c r="A1035" s="46">
        <v>2020</v>
      </c>
      <c r="B1035" s="56">
        <v>452</v>
      </c>
      <c r="C1035" s="47" t="s">
        <v>93</v>
      </c>
      <c r="D1035" s="47" t="s">
        <v>52</v>
      </c>
      <c r="E1035" s="47" t="s">
        <v>46</v>
      </c>
      <c r="F1035" s="46">
        <v>415</v>
      </c>
      <c r="G1035" s="46">
        <v>55</v>
      </c>
      <c r="H1035" s="46">
        <v>160</v>
      </c>
      <c r="I1035" s="46">
        <v>95</v>
      </c>
      <c r="J1035" s="46">
        <v>25</v>
      </c>
      <c r="K1035" s="46">
        <v>10</v>
      </c>
      <c r="L1035" s="46">
        <v>75</v>
      </c>
      <c r="M1035">
        <f t="shared" si="97"/>
        <v>6.4110409782082893E-3</v>
      </c>
      <c r="N1035">
        <f t="shared" si="98"/>
        <v>1.8650301027515023E-2</v>
      </c>
      <c r="O1035">
        <f t="shared" si="99"/>
        <v>1.1073616235087045E-2</v>
      </c>
      <c r="P1035">
        <f t="shared" si="100"/>
        <v>2.914109535549222E-3</v>
      </c>
      <c r="Q1035">
        <f t="shared" si="101"/>
        <v>1.1656438142196889E-3</v>
      </c>
      <c r="R1035">
        <f t="shared" si="102"/>
        <v>8.7423286066476667E-3</v>
      </c>
    </row>
    <row r="1036" spans="1:18" hidden="1" x14ac:dyDescent="0.25">
      <c r="A1036" s="46">
        <v>2020</v>
      </c>
      <c r="B1036" s="56">
        <v>452</v>
      </c>
      <c r="C1036" s="47" t="s">
        <v>93</v>
      </c>
      <c r="D1036" s="47" t="s">
        <v>52</v>
      </c>
      <c r="E1036" s="47" t="s">
        <v>47</v>
      </c>
      <c r="F1036" s="46">
        <v>520</v>
      </c>
      <c r="G1036" s="46">
        <v>40</v>
      </c>
      <c r="H1036" s="46">
        <v>135</v>
      </c>
      <c r="I1036" s="46">
        <v>155</v>
      </c>
      <c r="J1036" s="46">
        <v>90</v>
      </c>
      <c r="K1036" s="46">
        <v>30</v>
      </c>
      <c r="L1036" s="46">
        <v>70</v>
      </c>
      <c r="M1036">
        <f t="shared" si="97"/>
        <v>4.6625752568787556E-3</v>
      </c>
      <c r="N1036">
        <f t="shared" si="98"/>
        <v>1.5736191491965801E-2</v>
      </c>
      <c r="O1036">
        <f t="shared" si="99"/>
        <v>1.806747912040518E-2</v>
      </c>
      <c r="P1036">
        <f t="shared" si="100"/>
        <v>1.04907943279772E-2</v>
      </c>
      <c r="Q1036">
        <f t="shared" si="101"/>
        <v>3.4969314426590665E-3</v>
      </c>
      <c r="R1036">
        <f t="shared" si="102"/>
        <v>8.1595066995378222E-3</v>
      </c>
    </row>
    <row r="1037" spans="1:18" hidden="1" x14ac:dyDescent="0.25">
      <c r="A1037" s="46">
        <v>2020</v>
      </c>
      <c r="B1037" s="56">
        <v>452</v>
      </c>
      <c r="C1037" s="47" t="s">
        <v>93</v>
      </c>
      <c r="D1037" s="47" t="s">
        <v>52</v>
      </c>
      <c r="E1037" s="47" t="s">
        <v>48</v>
      </c>
      <c r="F1037" s="46">
        <v>1785</v>
      </c>
      <c r="G1037" s="46">
        <v>85</v>
      </c>
      <c r="H1037" s="46">
        <v>340</v>
      </c>
      <c r="I1037" s="46">
        <v>345</v>
      </c>
      <c r="J1037" s="46">
        <v>245</v>
      </c>
      <c r="K1037" s="46">
        <v>150</v>
      </c>
      <c r="L1037" s="46">
        <v>625</v>
      </c>
      <c r="M1037">
        <f t="shared" si="97"/>
        <v>9.9079724208673559E-3</v>
      </c>
      <c r="N1037">
        <f t="shared" si="98"/>
        <v>3.9631889683469423E-2</v>
      </c>
      <c r="O1037">
        <f t="shared" si="99"/>
        <v>4.0214711590579266E-2</v>
      </c>
      <c r="P1037">
        <f t="shared" si="100"/>
        <v>2.8558273448382378E-2</v>
      </c>
      <c r="Q1037">
        <f t="shared" si="101"/>
        <v>1.7484657213295333E-2</v>
      </c>
      <c r="R1037">
        <f t="shared" si="102"/>
        <v>7.2852738388730562E-2</v>
      </c>
    </row>
    <row r="1038" spans="1:18" hidden="1" x14ac:dyDescent="0.25">
      <c r="A1038" s="46">
        <v>2020</v>
      </c>
      <c r="B1038" s="56">
        <v>452</v>
      </c>
      <c r="C1038" s="47" t="s">
        <v>93</v>
      </c>
      <c r="D1038" s="47" t="s">
        <v>52</v>
      </c>
      <c r="E1038" s="47" t="s">
        <v>49</v>
      </c>
      <c r="F1038" s="46">
        <v>840</v>
      </c>
      <c r="G1038" s="46">
        <v>15</v>
      </c>
      <c r="H1038" s="46">
        <v>95</v>
      </c>
      <c r="I1038" s="46">
        <v>85</v>
      </c>
      <c r="J1038" s="46">
        <v>60</v>
      </c>
      <c r="K1038" s="46">
        <v>60</v>
      </c>
      <c r="L1038" s="46">
        <v>520</v>
      </c>
      <c r="M1038">
        <f t="shared" si="97"/>
        <v>1.7484657213295333E-3</v>
      </c>
      <c r="N1038">
        <f t="shared" si="98"/>
        <v>1.1073616235087045E-2</v>
      </c>
      <c r="O1038">
        <f t="shared" si="99"/>
        <v>9.9079724208673559E-3</v>
      </c>
      <c r="P1038">
        <f t="shared" si="100"/>
        <v>6.993862885318133E-3</v>
      </c>
      <c r="Q1038">
        <f t="shared" si="101"/>
        <v>6.993862885318133E-3</v>
      </c>
      <c r="R1038">
        <f t="shared" si="102"/>
        <v>6.0613478339423821E-2</v>
      </c>
    </row>
    <row r="1039" spans="1:18" hidden="1" x14ac:dyDescent="0.25">
      <c r="A1039" s="46">
        <v>2020</v>
      </c>
      <c r="B1039" s="56">
        <v>452</v>
      </c>
      <c r="C1039" s="47" t="s">
        <v>93</v>
      </c>
      <c r="D1039" s="47" t="s">
        <v>52</v>
      </c>
      <c r="E1039" s="47" t="s">
        <v>50</v>
      </c>
      <c r="F1039" s="46">
        <v>335</v>
      </c>
      <c r="G1039" s="46">
        <v>5</v>
      </c>
      <c r="H1039" s="46">
        <v>10</v>
      </c>
      <c r="I1039" s="46">
        <v>25</v>
      </c>
      <c r="J1039" s="46">
        <v>20</v>
      </c>
      <c r="K1039" s="46">
        <v>10</v>
      </c>
      <c r="L1039" s="46">
        <v>270</v>
      </c>
      <c r="M1039">
        <f t="shared" si="97"/>
        <v>5.8282190710984446E-4</v>
      </c>
      <c r="N1039">
        <f t="shared" si="98"/>
        <v>1.1656438142196889E-3</v>
      </c>
      <c r="O1039">
        <f t="shared" si="99"/>
        <v>2.914109535549222E-3</v>
      </c>
      <c r="P1039">
        <f t="shared" si="100"/>
        <v>2.3312876284393778E-3</v>
      </c>
      <c r="Q1039">
        <f t="shared" si="101"/>
        <v>1.1656438142196889E-3</v>
      </c>
      <c r="R1039">
        <f t="shared" si="102"/>
        <v>3.1472382983931603E-2</v>
      </c>
    </row>
    <row r="1040" spans="1:18" x14ac:dyDescent="0.25">
      <c r="A1040" s="46">
        <v>2020</v>
      </c>
      <c r="B1040" s="56">
        <v>453</v>
      </c>
      <c r="C1040" s="47" t="s">
        <v>94</v>
      </c>
      <c r="D1040" s="47" t="s">
        <v>42</v>
      </c>
      <c r="E1040" s="47" t="s">
        <v>43</v>
      </c>
      <c r="F1040" s="46">
        <v>20565</v>
      </c>
      <c r="G1040" s="46">
        <v>1215</v>
      </c>
      <c r="H1040" s="46">
        <v>5320</v>
      </c>
      <c r="I1040" s="46">
        <v>4690</v>
      </c>
      <c r="J1040" s="46">
        <v>2465</v>
      </c>
      <c r="K1040" s="46">
        <v>1530</v>
      </c>
      <c r="L1040" s="46">
        <v>5345</v>
      </c>
      <c r="M1040">
        <f t="shared" si="97"/>
        <v>0.1416257234276922</v>
      </c>
      <c r="N1040">
        <f t="shared" si="98"/>
        <v>0.62012250916487444</v>
      </c>
      <c r="O1040">
        <f t="shared" si="99"/>
        <v>0.54668694886903413</v>
      </c>
      <c r="P1040">
        <f t="shared" si="100"/>
        <v>0.28733120020515335</v>
      </c>
      <c r="Q1040">
        <f t="shared" si="101"/>
        <v>0.17834350357561241</v>
      </c>
      <c r="R1040">
        <f t="shared" si="102"/>
        <v>0.62303661870042371</v>
      </c>
    </row>
    <row r="1041" spans="1:18" hidden="1" x14ac:dyDescent="0.25">
      <c r="A1041" s="46">
        <v>2020</v>
      </c>
      <c r="B1041" s="56">
        <v>453</v>
      </c>
      <c r="C1041" s="47" t="s">
        <v>94</v>
      </c>
      <c r="D1041" s="47" t="s">
        <v>42</v>
      </c>
      <c r="E1041" s="47" t="s">
        <v>44</v>
      </c>
      <c r="F1041" s="46">
        <v>3520</v>
      </c>
      <c r="G1041" s="46">
        <v>350</v>
      </c>
      <c r="H1041" s="46">
        <v>1375</v>
      </c>
      <c r="I1041" s="46">
        <v>1120</v>
      </c>
      <c r="J1041" s="46">
        <v>390</v>
      </c>
      <c r="K1041" s="46">
        <v>160</v>
      </c>
      <c r="L1041" s="46">
        <v>130</v>
      </c>
      <c r="M1041">
        <f t="shared" si="97"/>
        <v>4.0797533497689109E-2</v>
      </c>
      <c r="N1041">
        <f t="shared" si="98"/>
        <v>0.16027602445520722</v>
      </c>
      <c r="O1041">
        <f t="shared" si="99"/>
        <v>0.13055210719260515</v>
      </c>
      <c r="P1041">
        <f t="shared" si="100"/>
        <v>4.5460108754567866E-2</v>
      </c>
      <c r="Q1041">
        <f t="shared" si="101"/>
        <v>1.8650301027515023E-2</v>
      </c>
      <c r="R1041">
        <f t="shared" si="102"/>
        <v>1.5153369584855955E-2</v>
      </c>
    </row>
    <row r="1042" spans="1:18" hidden="1" x14ac:dyDescent="0.25">
      <c r="A1042" s="46">
        <v>2020</v>
      </c>
      <c r="B1042" s="56">
        <v>453</v>
      </c>
      <c r="C1042" s="47" t="s">
        <v>94</v>
      </c>
      <c r="D1042" s="47" t="s">
        <v>42</v>
      </c>
      <c r="E1042" s="47" t="s">
        <v>45</v>
      </c>
      <c r="F1042" s="46">
        <v>980</v>
      </c>
      <c r="G1042" s="46">
        <v>95</v>
      </c>
      <c r="H1042" s="46">
        <v>250</v>
      </c>
      <c r="I1042" s="46">
        <v>305</v>
      </c>
      <c r="J1042" s="46">
        <v>95</v>
      </c>
      <c r="K1042" s="46">
        <v>50</v>
      </c>
      <c r="L1042" s="46">
        <v>180</v>
      </c>
      <c r="M1042">
        <f t="shared" si="97"/>
        <v>1.1073616235087045E-2</v>
      </c>
      <c r="N1042">
        <f t="shared" si="98"/>
        <v>2.9141095355492221E-2</v>
      </c>
      <c r="O1042">
        <f t="shared" si="99"/>
        <v>3.555213633370051E-2</v>
      </c>
      <c r="P1042">
        <f t="shared" si="100"/>
        <v>1.1073616235087045E-2</v>
      </c>
      <c r="Q1042">
        <f t="shared" si="101"/>
        <v>5.8282190710984439E-3</v>
      </c>
      <c r="R1042">
        <f t="shared" si="102"/>
        <v>2.0981588655954401E-2</v>
      </c>
    </row>
    <row r="1043" spans="1:18" hidden="1" x14ac:dyDescent="0.25">
      <c r="A1043" s="46">
        <v>2020</v>
      </c>
      <c r="B1043" s="56">
        <v>453</v>
      </c>
      <c r="C1043" s="47" t="s">
        <v>94</v>
      </c>
      <c r="D1043" s="47" t="s">
        <v>42</v>
      </c>
      <c r="E1043" s="47" t="s">
        <v>46</v>
      </c>
      <c r="F1043" s="46">
        <v>1775</v>
      </c>
      <c r="G1043" s="46">
        <v>185</v>
      </c>
      <c r="H1043" s="46">
        <v>740</v>
      </c>
      <c r="I1043" s="46">
        <v>480</v>
      </c>
      <c r="J1043" s="46">
        <v>110</v>
      </c>
      <c r="K1043" s="46">
        <v>45</v>
      </c>
      <c r="L1043" s="46">
        <v>210</v>
      </c>
      <c r="M1043">
        <f t="shared" si="97"/>
        <v>2.1564410563064244E-2</v>
      </c>
      <c r="N1043">
        <f t="shared" si="98"/>
        <v>8.6257642252256975E-2</v>
      </c>
      <c r="O1043">
        <f t="shared" si="99"/>
        <v>5.5950903082545064E-2</v>
      </c>
      <c r="P1043">
        <f t="shared" si="100"/>
        <v>1.2822081956416579E-2</v>
      </c>
      <c r="Q1043">
        <f t="shared" si="101"/>
        <v>5.2453971639886002E-3</v>
      </c>
      <c r="R1043">
        <f t="shared" si="102"/>
        <v>2.4478520098613465E-2</v>
      </c>
    </row>
    <row r="1044" spans="1:18" hidden="1" x14ac:dyDescent="0.25">
      <c r="A1044" s="46">
        <v>2020</v>
      </c>
      <c r="B1044" s="56">
        <v>453</v>
      </c>
      <c r="C1044" s="47" t="s">
        <v>94</v>
      </c>
      <c r="D1044" s="47" t="s">
        <v>42</v>
      </c>
      <c r="E1044" s="47" t="s">
        <v>47</v>
      </c>
      <c r="F1044" s="46">
        <v>2265</v>
      </c>
      <c r="G1044" s="46">
        <v>145</v>
      </c>
      <c r="H1044" s="46">
        <v>675</v>
      </c>
      <c r="I1044" s="46">
        <v>650</v>
      </c>
      <c r="J1044" s="46">
        <v>395</v>
      </c>
      <c r="K1044" s="46">
        <v>175</v>
      </c>
      <c r="L1044" s="46">
        <v>220</v>
      </c>
      <c r="M1044">
        <f t="shared" si="97"/>
        <v>1.6901835306185491E-2</v>
      </c>
      <c r="N1044">
        <f t="shared" si="98"/>
        <v>7.8680957459829004E-2</v>
      </c>
      <c r="O1044">
        <f t="shared" si="99"/>
        <v>7.5766847924279776E-2</v>
      </c>
      <c r="P1044">
        <f t="shared" si="100"/>
        <v>4.6042930661677708E-2</v>
      </c>
      <c r="Q1044">
        <f t="shared" si="101"/>
        <v>2.0398766748844555E-2</v>
      </c>
      <c r="R1044">
        <f t="shared" si="102"/>
        <v>2.5644163912833157E-2</v>
      </c>
    </row>
    <row r="1045" spans="1:18" hidden="1" x14ac:dyDescent="0.25">
      <c r="A1045" s="46">
        <v>2020</v>
      </c>
      <c r="B1045" s="56">
        <v>453</v>
      </c>
      <c r="C1045" s="47" t="s">
        <v>94</v>
      </c>
      <c r="D1045" s="47" t="s">
        <v>42</v>
      </c>
      <c r="E1045" s="47" t="s">
        <v>48</v>
      </c>
      <c r="F1045" s="46">
        <v>8525</v>
      </c>
      <c r="G1045" s="46">
        <v>365</v>
      </c>
      <c r="H1045" s="46">
        <v>1810</v>
      </c>
      <c r="I1045" s="46">
        <v>1740</v>
      </c>
      <c r="J1045" s="46">
        <v>1180</v>
      </c>
      <c r="K1045" s="46">
        <v>850</v>
      </c>
      <c r="L1045" s="46">
        <v>2580</v>
      </c>
      <c r="M1045">
        <f t="shared" si="97"/>
        <v>4.2545999219018645E-2</v>
      </c>
      <c r="N1045">
        <f t="shared" si="98"/>
        <v>0.21098153037376366</v>
      </c>
      <c r="O1045">
        <f t="shared" si="99"/>
        <v>0.20282202367422586</v>
      </c>
      <c r="P1045">
        <f t="shared" si="100"/>
        <v>0.1375459700779233</v>
      </c>
      <c r="Q1045">
        <f t="shared" si="101"/>
        <v>9.9079724208673545E-2</v>
      </c>
      <c r="R1045">
        <f t="shared" si="102"/>
        <v>0.30073610406867973</v>
      </c>
    </row>
    <row r="1046" spans="1:18" hidden="1" x14ac:dyDescent="0.25">
      <c r="A1046" s="46">
        <v>2020</v>
      </c>
      <c r="B1046" s="56">
        <v>453</v>
      </c>
      <c r="C1046" s="47" t="s">
        <v>94</v>
      </c>
      <c r="D1046" s="47" t="s">
        <v>42</v>
      </c>
      <c r="E1046" s="47" t="s">
        <v>49</v>
      </c>
      <c r="F1046" s="46">
        <v>2900</v>
      </c>
      <c r="G1046" s="46">
        <v>65</v>
      </c>
      <c r="H1046" s="46">
        <v>440</v>
      </c>
      <c r="I1046" s="46">
        <v>350</v>
      </c>
      <c r="J1046" s="46">
        <v>275</v>
      </c>
      <c r="K1046" s="46">
        <v>225</v>
      </c>
      <c r="L1046" s="46">
        <v>1545</v>
      </c>
      <c r="M1046">
        <f t="shared" si="97"/>
        <v>7.5766847924279776E-3</v>
      </c>
      <c r="N1046">
        <f t="shared" si="98"/>
        <v>5.1288327825666315E-2</v>
      </c>
      <c r="O1046">
        <f t="shared" si="99"/>
        <v>4.0797533497689109E-2</v>
      </c>
      <c r="P1046">
        <f t="shared" si="100"/>
        <v>3.2055204891041446E-2</v>
      </c>
      <c r="Q1046">
        <f t="shared" si="101"/>
        <v>2.6226985819943E-2</v>
      </c>
      <c r="R1046">
        <f t="shared" si="102"/>
        <v>0.18009196929694193</v>
      </c>
    </row>
    <row r="1047" spans="1:18" hidden="1" x14ac:dyDescent="0.25">
      <c r="A1047" s="46">
        <v>2020</v>
      </c>
      <c r="B1047" s="56">
        <v>453</v>
      </c>
      <c r="C1047" s="47" t="s">
        <v>94</v>
      </c>
      <c r="D1047" s="47" t="s">
        <v>42</v>
      </c>
      <c r="E1047" s="47" t="s">
        <v>50</v>
      </c>
      <c r="F1047" s="46">
        <v>605</v>
      </c>
      <c r="G1047" s="46">
        <v>5</v>
      </c>
      <c r="H1047" s="46">
        <v>25</v>
      </c>
      <c r="I1047" s="46">
        <v>45</v>
      </c>
      <c r="J1047" s="46">
        <v>20</v>
      </c>
      <c r="K1047" s="46">
        <v>25</v>
      </c>
      <c r="L1047" s="46">
        <v>480</v>
      </c>
      <c r="M1047">
        <f t="shared" si="97"/>
        <v>5.8282190710984446E-4</v>
      </c>
      <c r="N1047">
        <f t="shared" si="98"/>
        <v>2.914109535549222E-3</v>
      </c>
      <c r="O1047">
        <f t="shared" si="99"/>
        <v>5.2453971639886002E-3</v>
      </c>
      <c r="P1047">
        <f t="shared" si="100"/>
        <v>2.3312876284393778E-3</v>
      </c>
      <c r="Q1047">
        <f t="shared" si="101"/>
        <v>2.914109535549222E-3</v>
      </c>
      <c r="R1047">
        <f t="shared" si="102"/>
        <v>5.5950903082545064E-2</v>
      </c>
    </row>
    <row r="1048" spans="1:18" hidden="1" x14ac:dyDescent="0.25">
      <c r="A1048" s="46">
        <v>2020</v>
      </c>
      <c r="B1048" s="56">
        <v>453</v>
      </c>
      <c r="C1048" s="47" t="s">
        <v>94</v>
      </c>
      <c r="D1048" s="47" t="s">
        <v>51</v>
      </c>
      <c r="E1048" s="47" t="s">
        <v>43</v>
      </c>
      <c r="F1048" s="46">
        <v>11780</v>
      </c>
      <c r="G1048" s="46">
        <v>700</v>
      </c>
      <c r="H1048" s="46">
        <v>3020</v>
      </c>
      <c r="I1048" s="46">
        <v>2735</v>
      </c>
      <c r="J1048" s="46">
        <v>1390</v>
      </c>
      <c r="K1048" s="46">
        <v>900</v>
      </c>
      <c r="L1048" s="46">
        <v>3040</v>
      </c>
      <c r="M1048">
        <f t="shared" si="97"/>
        <v>8.1595066995378218E-2</v>
      </c>
      <c r="N1048">
        <f t="shared" si="98"/>
        <v>0.35202443189434601</v>
      </c>
      <c r="O1048">
        <f t="shared" si="99"/>
        <v>0.31880358318908492</v>
      </c>
      <c r="P1048">
        <f t="shared" si="100"/>
        <v>0.16202449017653675</v>
      </c>
      <c r="Q1048">
        <f t="shared" si="101"/>
        <v>0.104907943279772</v>
      </c>
      <c r="R1048">
        <f t="shared" si="102"/>
        <v>0.35435571952278544</v>
      </c>
    </row>
    <row r="1049" spans="1:18" hidden="1" x14ac:dyDescent="0.25">
      <c r="A1049" s="46">
        <v>2020</v>
      </c>
      <c r="B1049" s="56">
        <v>453</v>
      </c>
      <c r="C1049" s="47" t="s">
        <v>94</v>
      </c>
      <c r="D1049" s="47" t="s">
        <v>51</v>
      </c>
      <c r="E1049" s="47" t="s">
        <v>44</v>
      </c>
      <c r="F1049" s="46">
        <v>1800</v>
      </c>
      <c r="G1049" s="46">
        <v>185</v>
      </c>
      <c r="H1049" s="46">
        <v>705</v>
      </c>
      <c r="I1049" s="46">
        <v>575</v>
      </c>
      <c r="J1049" s="46">
        <v>185</v>
      </c>
      <c r="K1049" s="46">
        <v>85</v>
      </c>
      <c r="L1049" s="46">
        <v>70</v>
      </c>
      <c r="M1049">
        <f t="shared" si="97"/>
        <v>2.1564410563064244E-2</v>
      </c>
      <c r="N1049">
        <f t="shared" si="98"/>
        <v>8.2177888902488061E-2</v>
      </c>
      <c r="O1049">
        <f t="shared" si="99"/>
        <v>6.702451931763212E-2</v>
      </c>
      <c r="P1049">
        <f t="shared" si="100"/>
        <v>2.1564410563064244E-2</v>
      </c>
      <c r="Q1049">
        <f t="shared" si="101"/>
        <v>9.9079724208673559E-3</v>
      </c>
      <c r="R1049">
        <f t="shared" si="102"/>
        <v>8.1595066995378222E-3</v>
      </c>
    </row>
    <row r="1050" spans="1:18" hidden="1" x14ac:dyDescent="0.25">
      <c r="A1050" s="46">
        <v>2020</v>
      </c>
      <c r="B1050" s="56">
        <v>453</v>
      </c>
      <c r="C1050" s="47" t="s">
        <v>94</v>
      </c>
      <c r="D1050" s="47" t="s">
        <v>51</v>
      </c>
      <c r="E1050" s="47" t="s">
        <v>45</v>
      </c>
      <c r="F1050" s="46">
        <v>545</v>
      </c>
      <c r="G1050" s="46">
        <v>65</v>
      </c>
      <c r="H1050" s="46">
        <v>140</v>
      </c>
      <c r="I1050" s="46">
        <v>180</v>
      </c>
      <c r="J1050" s="46">
        <v>40</v>
      </c>
      <c r="K1050" s="46">
        <v>25</v>
      </c>
      <c r="L1050" s="46">
        <v>85</v>
      </c>
      <c r="M1050">
        <f t="shared" si="97"/>
        <v>7.5766847924279776E-3</v>
      </c>
      <c r="N1050">
        <f t="shared" si="98"/>
        <v>1.6319013399075644E-2</v>
      </c>
      <c r="O1050">
        <f t="shared" si="99"/>
        <v>2.0981588655954401E-2</v>
      </c>
      <c r="P1050">
        <f t="shared" si="100"/>
        <v>4.6625752568787556E-3</v>
      </c>
      <c r="Q1050">
        <f t="shared" si="101"/>
        <v>2.914109535549222E-3</v>
      </c>
      <c r="R1050">
        <f t="shared" si="102"/>
        <v>9.9079724208673559E-3</v>
      </c>
    </row>
    <row r="1051" spans="1:18" hidden="1" x14ac:dyDescent="0.25">
      <c r="A1051" s="46">
        <v>2020</v>
      </c>
      <c r="B1051" s="56">
        <v>453</v>
      </c>
      <c r="C1051" s="47" t="s">
        <v>94</v>
      </c>
      <c r="D1051" s="47" t="s">
        <v>51</v>
      </c>
      <c r="E1051" s="47" t="s">
        <v>46</v>
      </c>
      <c r="F1051" s="46">
        <v>1095</v>
      </c>
      <c r="G1051" s="46">
        <v>120</v>
      </c>
      <c r="H1051" s="46">
        <v>450</v>
      </c>
      <c r="I1051" s="46">
        <v>325</v>
      </c>
      <c r="J1051" s="46">
        <v>60</v>
      </c>
      <c r="K1051" s="46">
        <v>25</v>
      </c>
      <c r="L1051" s="46">
        <v>120</v>
      </c>
      <c r="M1051">
        <f t="shared" si="97"/>
        <v>1.3987725770636266E-2</v>
      </c>
      <c r="N1051">
        <f t="shared" si="98"/>
        <v>5.2453971639886E-2</v>
      </c>
      <c r="O1051">
        <f t="shared" si="99"/>
        <v>3.7883423962139888E-2</v>
      </c>
      <c r="P1051">
        <f t="shared" si="100"/>
        <v>6.993862885318133E-3</v>
      </c>
      <c r="Q1051">
        <f t="shared" si="101"/>
        <v>2.914109535549222E-3</v>
      </c>
      <c r="R1051">
        <f t="shared" si="102"/>
        <v>1.3987725770636266E-2</v>
      </c>
    </row>
    <row r="1052" spans="1:18" hidden="1" x14ac:dyDescent="0.25">
      <c r="A1052" s="46">
        <v>2020</v>
      </c>
      <c r="B1052" s="56">
        <v>453</v>
      </c>
      <c r="C1052" s="47" t="s">
        <v>94</v>
      </c>
      <c r="D1052" s="47" t="s">
        <v>51</v>
      </c>
      <c r="E1052" s="47" t="s">
        <v>47</v>
      </c>
      <c r="F1052" s="46">
        <v>1285</v>
      </c>
      <c r="G1052" s="46">
        <v>80</v>
      </c>
      <c r="H1052" s="46">
        <v>380</v>
      </c>
      <c r="I1052" s="46">
        <v>400</v>
      </c>
      <c r="J1052" s="46">
        <v>200</v>
      </c>
      <c r="K1052" s="46">
        <v>95</v>
      </c>
      <c r="L1052" s="46">
        <v>125</v>
      </c>
      <c r="M1052">
        <f t="shared" si="97"/>
        <v>9.3251505137575113E-3</v>
      </c>
      <c r="N1052">
        <f t="shared" si="98"/>
        <v>4.429446494034818E-2</v>
      </c>
      <c r="O1052">
        <f t="shared" si="99"/>
        <v>4.6625752568787551E-2</v>
      </c>
      <c r="P1052">
        <f t="shared" si="100"/>
        <v>2.3312876284393776E-2</v>
      </c>
      <c r="Q1052">
        <f t="shared" si="101"/>
        <v>1.1073616235087045E-2</v>
      </c>
      <c r="R1052">
        <f t="shared" si="102"/>
        <v>1.4570547677746111E-2</v>
      </c>
    </row>
    <row r="1053" spans="1:18" hidden="1" x14ac:dyDescent="0.25">
      <c r="A1053" s="46">
        <v>2020</v>
      </c>
      <c r="B1053" s="56">
        <v>453</v>
      </c>
      <c r="C1053" s="47" t="s">
        <v>94</v>
      </c>
      <c r="D1053" s="47" t="s">
        <v>51</v>
      </c>
      <c r="E1053" s="47" t="s">
        <v>48</v>
      </c>
      <c r="F1053" s="46">
        <v>4995</v>
      </c>
      <c r="G1053" s="46">
        <v>215</v>
      </c>
      <c r="H1053" s="46">
        <v>1065</v>
      </c>
      <c r="I1053" s="46">
        <v>995</v>
      </c>
      <c r="J1053" s="46">
        <v>725</v>
      </c>
      <c r="K1053" s="46">
        <v>520</v>
      </c>
      <c r="L1053" s="46">
        <v>1480</v>
      </c>
      <c r="M1053">
        <f t="shared" si="97"/>
        <v>2.5061342005723308E-2</v>
      </c>
      <c r="N1053">
        <f t="shared" si="98"/>
        <v>0.12414106621439687</v>
      </c>
      <c r="O1053">
        <f t="shared" si="99"/>
        <v>0.11598155951485904</v>
      </c>
      <c r="P1053">
        <f t="shared" si="100"/>
        <v>8.4509176530927446E-2</v>
      </c>
      <c r="Q1053">
        <f t="shared" si="101"/>
        <v>6.0613478339423821E-2</v>
      </c>
      <c r="R1053">
        <f t="shared" si="102"/>
        <v>0.17251528450451395</v>
      </c>
    </row>
    <row r="1054" spans="1:18" hidden="1" x14ac:dyDescent="0.25">
      <c r="A1054" s="46">
        <v>2020</v>
      </c>
      <c r="B1054" s="56">
        <v>453</v>
      </c>
      <c r="C1054" s="47" t="s">
        <v>94</v>
      </c>
      <c r="D1054" s="47" t="s">
        <v>51</v>
      </c>
      <c r="E1054" s="47" t="s">
        <v>49</v>
      </c>
      <c r="F1054" s="46">
        <v>1735</v>
      </c>
      <c r="G1054" s="46">
        <v>35</v>
      </c>
      <c r="H1054" s="46">
        <v>260</v>
      </c>
      <c r="I1054" s="46">
        <v>240</v>
      </c>
      <c r="J1054" s="46">
        <v>165</v>
      </c>
      <c r="K1054" s="46">
        <v>140</v>
      </c>
      <c r="L1054" s="46">
        <v>900</v>
      </c>
      <c r="M1054">
        <f t="shared" si="97"/>
        <v>4.0797533497689111E-3</v>
      </c>
      <c r="N1054">
        <f t="shared" si="98"/>
        <v>3.030673916971191E-2</v>
      </c>
      <c r="O1054">
        <f t="shared" si="99"/>
        <v>2.7975451541272532E-2</v>
      </c>
      <c r="P1054">
        <f t="shared" si="100"/>
        <v>1.9233122934624865E-2</v>
      </c>
      <c r="Q1054">
        <f t="shared" si="101"/>
        <v>1.6319013399075644E-2</v>
      </c>
      <c r="R1054">
        <f t="shared" si="102"/>
        <v>0.104907943279772</v>
      </c>
    </row>
    <row r="1055" spans="1:18" hidden="1" x14ac:dyDescent="0.25">
      <c r="A1055" s="46">
        <v>2020</v>
      </c>
      <c r="B1055" s="56">
        <v>453</v>
      </c>
      <c r="C1055" s="47" t="s">
        <v>94</v>
      </c>
      <c r="D1055" s="47" t="s">
        <v>51</v>
      </c>
      <c r="E1055" s="47" t="s">
        <v>50</v>
      </c>
      <c r="F1055" s="46">
        <v>325</v>
      </c>
      <c r="G1055" s="46">
        <v>5</v>
      </c>
      <c r="H1055" s="46">
        <v>10</v>
      </c>
      <c r="I1055" s="46">
        <v>20</v>
      </c>
      <c r="J1055" s="46">
        <v>15</v>
      </c>
      <c r="K1055" s="46">
        <v>10</v>
      </c>
      <c r="L1055" s="46">
        <v>265</v>
      </c>
      <c r="M1055">
        <f t="shared" si="97"/>
        <v>5.8282190710984446E-4</v>
      </c>
      <c r="N1055">
        <f t="shared" si="98"/>
        <v>1.1656438142196889E-3</v>
      </c>
      <c r="O1055">
        <f t="shared" si="99"/>
        <v>2.3312876284393778E-3</v>
      </c>
      <c r="P1055">
        <f t="shared" si="100"/>
        <v>1.7484657213295333E-3</v>
      </c>
      <c r="Q1055">
        <f t="shared" si="101"/>
        <v>1.1656438142196889E-3</v>
      </c>
      <c r="R1055">
        <f t="shared" si="102"/>
        <v>3.0889561076821757E-2</v>
      </c>
    </row>
    <row r="1056" spans="1:18" hidden="1" x14ac:dyDescent="0.25">
      <c r="A1056" s="46">
        <v>2020</v>
      </c>
      <c r="B1056" s="56">
        <v>453</v>
      </c>
      <c r="C1056" s="47" t="s">
        <v>94</v>
      </c>
      <c r="D1056" s="47" t="s">
        <v>52</v>
      </c>
      <c r="E1056" s="47" t="s">
        <v>43</v>
      </c>
      <c r="F1056" s="46">
        <v>8785</v>
      </c>
      <c r="G1056" s="46">
        <v>515</v>
      </c>
      <c r="H1056" s="46">
        <v>2305</v>
      </c>
      <c r="I1056" s="46">
        <v>1955</v>
      </c>
      <c r="J1056" s="46">
        <v>1075</v>
      </c>
      <c r="K1056" s="46">
        <v>630</v>
      </c>
      <c r="L1056" s="46">
        <v>2305</v>
      </c>
      <c r="M1056">
        <f t="shared" si="97"/>
        <v>6.0030656432313978E-2</v>
      </c>
      <c r="N1056">
        <f t="shared" si="98"/>
        <v>0.26868089917763832</v>
      </c>
      <c r="O1056">
        <f t="shared" si="99"/>
        <v>0.22788336567994916</v>
      </c>
      <c r="P1056">
        <f t="shared" si="100"/>
        <v>0.12530671002861654</v>
      </c>
      <c r="Q1056">
        <f t="shared" si="101"/>
        <v>7.3435560295840405E-2</v>
      </c>
      <c r="R1056">
        <f t="shared" si="102"/>
        <v>0.26868089917763832</v>
      </c>
    </row>
    <row r="1057" spans="1:18" hidden="1" x14ac:dyDescent="0.25">
      <c r="A1057" s="46">
        <v>2020</v>
      </c>
      <c r="B1057" s="56">
        <v>453</v>
      </c>
      <c r="C1057" s="47" t="s">
        <v>94</v>
      </c>
      <c r="D1057" s="47" t="s">
        <v>52</v>
      </c>
      <c r="E1057" s="47" t="s">
        <v>44</v>
      </c>
      <c r="F1057" s="46">
        <v>1720</v>
      </c>
      <c r="G1057" s="46">
        <v>160</v>
      </c>
      <c r="H1057" s="46">
        <v>665</v>
      </c>
      <c r="I1057" s="46">
        <v>545</v>
      </c>
      <c r="J1057" s="46">
        <v>205</v>
      </c>
      <c r="K1057" s="46">
        <v>75</v>
      </c>
      <c r="L1057" s="46">
        <v>65</v>
      </c>
      <c r="M1057">
        <f t="shared" si="97"/>
        <v>1.8650301027515023E-2</v>
      </c>
      <c r="N1057">
        <f t="shared" si="98"/>
        <v>7.7515313645609304E-2</v>
      </c>
      <c r="O1057">
        <f t="shared" si="99"/>
        <v>6.3527587874973049E-2</v>
      </c>
      <c r="P1057">
        <f t="shared" si="100"/>
        <v>2.3895698191503622E-2</v>
      </c>
      <c r="Q1057">
        <f t="shared" si="101"/>
        <v>8.7423286066476667E-3</v>
      </c>
      <c r="R1057">
        <f t="shared" si="102"/>
        <v>7.5766847924279776E-3</v>
      </c>
    </row>
    <row r="1058" spans="1:18" hidden="1" x14ac:dyDescent="0.25">
      <c r="A1058" s="46">
        <v>2020</v>
      </c>
      <c r="B1058" s="56">
        <v>453</v>
      </c>
      <c r="C1058" s="47" t="s">
        <v>94</v>
      </c>
      <c r="D1058" s="47" t="s">
        <v>52</v>
      </c>
      <c r="E1058" s="47" t="s">
        <v>45</v>
      </c>
      <c r="F1058" s="46">
        <v>435</v>
      </c>
      <c r="G1058" s="46">
        <v>30</v>
      </c>
      <c r="H1058" s="46">
        <v>110</v>
      </c>
      <c r="I1058" s="46">
        <v>125</v>
      </c>
      <c r="J1058" s="46">
        <v>55</v>
      </c>
      <c r="K1058" s="46">
        <v>25</v>
      </c>
      <c r="L1058" s="46">
        <v>95</v>
      </c>
      <c r="M1058">
        <f t="shared" si="97"/>
        <v>3.4969314426590665E-3</v>
      </c>
      <c r="N1058">
        <f t="shared" si="98"/>
        <v>1.2822081956416579E-2</v>
      </c>
      <c r="O1058">
        <f t="shared" si="99"/>
        <v>1.4570547677746111E-2</v>
      </c>
      <c r="P1058">
        <f t="shared" si="100"/>
        <v>6.4110409782082893E-3</v>
      </c>
      <c r="Q1058">
        <f t="shared" si="101"/>
        <v>2.914109535549222E-3</v>
      </c>
      <c r="R1058">
        <f t="shared" si="102"/>
        <v>1.1073616235087045E-2</v>
      </c>
    </row>
    <row r="1059" spans="1:18" hidden="1" x14ac:dyDescent="0.25">
      <c r="A1059" s="46">
        <v>2020</v>
      </c>
      <c r="B1059" s="56">
        <v>453</v>
      </c>
      <c r="C1059" s="47" t="s">
        <v>94</v>
      </c>
      <c r="D1059" s="47" t="s">
        <v>52</v>
      </c>
      <c r="E1059" s="47" t="s">
        <v>46</v>
      </c>
      <c r="F1059" s="46">
        <v>680</v>
      </c>
      <c r="G1059" s="46">
        <v>65</v>
      </c>
      <c r="H1059" s="46">
        <v>290</v>
      </c>
      <c r="I1059" s="46">
        <v>160</v>
      </c>
      <c r="J1059" s="46">
        <v>55</v>
      </c>
      <c r="K1059" s="46">
        <v>20</v>
      </c>
      <c r="L1059" s="46">
        <v>85</v>
      </c>
      <c r="M1059">
        <f t="shared" si="97"/>
        <v>7.5766847924279776E-3</v>
      </c>
      <c r="N1059">
        <f t="shared" si="98"/>
        <v>3.3803670612370981E-2</v>
      </c>
      <c r="O1059">
        <f t="shared" si="99"/>
        <v>1.8650301027515023E-2</v>
      </c>
      <c r="P1059">
        <f t="shared" si="100"/>
        <v>6.4110409782082893E-3</v>
      </c>
      <c r="Q1059">
        <f t="shared" si="101"/>
        <v>2.3312876284393778E-3</v>
      </c>
      <c r="R1059">
        <f t="shared" si="102"/>
        <v>9.9079724208673559E-3</v>
      </c>
    </row>
    <row r="1060" spans="1:18" hidden="1" x14ac:dyDescent="0.25">
      <c r="A1060" s="46">
        <v>2020</v>
      </c>
      <c r="B1060" s="56">
        <v>453</v>
      </c>
      <c r="C1060" s="47" t="s">
        <v>94</v>
      </c>
      <c r="D1060" s="47" t="s">
        <v>52</v>
      </c>
      <c r="E1060" s="47" t="s">
        <v>47</v>
      </c>
      <c r="F1060" s="46">
        <v>980</v>
      </c>
      <c r="G1060" s="46">
        <v>65</v>
      </c>
      <c r="H1060" s="46">
        <v>295</v>
      </c>
      <c r="I1060" s="46">
        <v>250</v>
      </c>
      <c r="J1060" s="46">
        <v>195</v>
      </c>
      <c r="K1060" s="46">
        <v>80</v>
      </c>
      <c r="L1060" s="46">
        <v>95</v>
      </c>
      <c r="M1060">
        <f t="shared" si="97"/>
        <v>7.5766847924279776E-3</v>
      </c>
      <c r="N1060">
        <f t="shared" si="98"/>
        <v>3.4386492519480824E-2</v>
      </c>
      <c r="O1060">
        <f t="shared" si="99"/>
        <v>2.9141095355492221E-2</v>
      </c>
      <c r="P1060">
        <f t="shared" si="100"/>
        <v>2.2730054377283933E-2</v>
      </c>
      <c r="Q1060">
        <f t="shared" si="101"/>
        <v>9.3251505137575113E-3</v>
      </c>
      <c r="R1060">
        <f t="shared" si="102"/>
        <v>1.1073616235087045E-2</v>
      </c>
    </row>
    <row r="1061" spans="1:18" hidden="1" x14ac:dyDescent="0.25">
      <c r="A1061" s="46">
        <v>2020</v>
      </c>
      <c r="B1061" s="56">
        <v>453</v>
      </c>
      <c r="C1061" s="47" t="s">
        <v>94</v>
      </c>
      <c r="D1061" s="47" t="s">
        <v>52</v>
      </c>
      <c r="E1061" s="47" t="s">
        <v>48</v>
      </c>
      <c r="F1061" s="46">
        <v>3530</v>
      </c>
      <c r="G1061" s="46">
        <v>155</v>
      </c>
      <c r="H1061" s="46">
        <v>745</v>
      </c>
      <c r="I1061" s="46">
        <v>740</v>
      </c>
      <c r="J1061" s="46">
        <v>455</v>
      </c>
      <c r="K1061" s="46">
        <v>330</v>
      </c>
      <c r="L1061" s="46">
        <v>1100</v>
      </c>
      <c r="M1061">
        <f t="shared" si="97"/>
        <v>1.806747912040518E-2</v>
      </c>
      <c r="N1061">
        <f t="shared" si="98"/>
        <v>8.6840464159366818E-2</v>
      </c>
      <c r="O1061">
        <f t="shared" si="99"/>
        <v>8.6257642252256975E-2</v>
      </c>
      <c r="P1061">
        <f t="shared" si="100"/>
        <v>5.3036793546995843E-2</v>
      </c>
      <c r="Q1061">
        <f t="shared" si="101"/>
        <v>3.8466245869249731E-2</v>
      </c>
      <c r="R1061">
        <f t="shared" si="102"/>
        <v>0.12822081956416578</v>
      </c>
    </row>
    <row r="1062" spans="1:18" hidden="1" x14ac:dyDescent="0.25">
      <c r="A1062" s="46">
        <v>2020</v>
      </c>
      <c r="B1062" s="56">
        <v>453</v>
      </c>
      <c r="C1062" s="47" t="s">
        <v>94</v>
      </c>
      <c r="D1062" s="47" t="s">
        <v>52</v>
      </c>
      <c r="E1062" s="47" t="s">
        <v>49</v>
      </c>
      <c r="F1062" s="46">
        <v>1165</v>
      </c>
      <c r="G1062" s="46">
        <v>35</v>
      </c>
      <c r="H1062" s="46">
        <v>185</v>
      </c>
      <c r="I1062" s="46">
        <v>110</v>
      </c>
      <c r="J1062" s="46">
        <v>105</v>
      </c>
      <c r="K1062" s="46">
        <v>85</v>
      </c>
      <c r="L1062" s="46">
        <v>645</v>
      </c>
      <c r="M1062">
        <f t="shared" si="97"/>
        <v>4.0797533497689111E-3</v>
      </c>
      <c r="N1062">
        <f t="shared" si="98"/>
        <v>2.1564410563064244E-2</v>
      </c>
      <c r="O1062">
        <f t="shared" si="99"/>
        <v>1.2822081956416579E-2</v>
      </c>
      <c r="P1062">
        <f t="shared" si="100"/>
        <v>1.2239260049306732E-2</v>
      </c>
      <c r="Q1062">
        <f t="shared" si="101"/>
        <v>9.9079724208673559E-3</v>
      </c>
      <c r="R1062">
        <f t="shared" si="102"/>
        <v>7.5184026017169933E-2</v>
      </c>
    </row>
    <row r="1063" spans="1:18" hidden="1" x14ac:dyDescent="0.25">
      <c r="A1063" s="46">
        <v>2020</v>
      </c>
      <c r="B1063" s="56">
        <v>453</v>
      </c>
      <c r="C1063" s="47" t="s">
        <v>94</v>
      </c>
      <c r="D1063" s="47" t="s">
        <v>52</v>
      </c>
      <c r="E1063" s="47" t="s">
        <v>50</v>
      </c>
      <c r="F1063" s="46">
        <v>280</v>
      </c>
      <c r="G1063" s="46">
        <v>5</v>
      </c>
      <c r="H1063" s="46">
        <v>15</v>
      </c>
      <c r="I1063" s="46">
        <v>20</v>
      </c>
      <c r="J1063" s="46">
        <v>5</v>
      </c>
      <c r="K1063" s="46">
        <v>15</v>
      </c>
      <c r="L1063" s="46">
        <v>220</v>
      </c>
      <c r="M1063">
        <f t="shared" si="97"/>
        <v>5.8282190710984446E-4</v>
      </c>
      <c r="N1063">
        <f t="shared" si="98"/>
        <v>1.7484657213295333E-3</v>
      </c>
      <c r="O1063">
        <f t="shared" si="99"/>
        <v>2.3312876284393778E-3</v>
      </c>
      <c r="P1063">
        <f t="shared" si="100"/>
        <v>5.8282190710984446E-4</v>
      </c>
      <c r="Q1063">
        <f t="shared" si="101"/>
        <v>1.7484657213295333E-3</v>
      </c>
      <c r="R1063">
        <f t="shared" si="102"/>
        <v>2.5644163912833157E-2</v>
      </c>
    </row>
    <row r="1064" spans="1:18" x14ac:dyDescent="0.25">
      <c r="A1064" s="46">
        <v>2020</v>
      </c>
      <c r="B1064" s="56">
        <v>454</v>
      </c>
      <c r="C1064" s="47" t="s">
        <v>95</v>
      </c>
      <c r="D1064" s="47" t="s">
        <v>42</v>
      </c>
      <c r="E1064" s="47" t="s">
        <v>43</v>
      </c>
      <c r="F1064" s="46">
        <v>41090</v>
      </c>
      <c r="G1064" s="46">
        <v>3545</v>
      </c>
      <c r="H1064" s="46">
        <v>10710</v>
      </c>
      <c r="I1064" s="46">
        <v>8320</v>
      </c>
      <c r="J1064" s="46">
        <v>4040</v>
      </c>
      <c r="K1064" s="46">
        <v>2785</v>
      </c>
      <c r="L1064" s="46">
        <v>11690</v>
      </c>
      <c r="M1064">
        <f t="shared" si="97"/>
        <v>0.41322073214087968</v>
      </c>
      <c r="N1064">
        <f t="shared" si="98"/>
        <v>1.2484045250292868</v>
      </c>
      <c r="O1064">
        <f t="shared" si="99"/>
        <v>0.96981565343078113</v>
      </c>
      <c r="P1064">
        <f t="shared" si="100"/>
        <v>0.47092010094475434</v>
      </c>
      <c r="Q1064">
        <f t="shared" si="101"/>
        <v>0.32463180226018334</v>
      </c>
      <c r="R1064">
        <f t="shared" si="102"/>
        <v>1.3626376188228162</v>
      </c>
    </row>
    <row r="1065" spans="1:18" hidden="1" x14ac:dyDescent="0.25">
      <c r="A1065" s="46">
        <v>2020</v>
      </c>
      <c r="B1065" s="56">
        <v>454</v>
      </c>
      <c r="C1065" s="47" t="s">
        <v>95</v>
      </c>
      <c r="D1065" s="47" t="s">
        <v>42</v>
      </c>
      <c r="E1065" s="47" t="s">
        <v>44</v>
      </c>
      <c r="F1065" s="46">
        <v>6565</v>
      </c>
      <c r="G1065" s="46">
        <v>790</v>
      </c>
      <c r="H1065" s="46">
        <v>2595</v>
      </c>
      <c r="I1065" s="46">
        <v>1785</v>
      </c>
      <c r="J1065" s="46">
        <v>685</v>
      </c>
      <c r="K1065" s="46">
        <v>325</v>
      </c>
      <c r="L1065" s="46">
        <v>385</v>
      </c>
      <c r="M1065">
        <f t="shared" si="97"/>
        <v>9.2085861323355417E-2</v>
      </c>
      <c r="N1065">
        <f t="shared" si="98"/>
        <v>0.30248456979000926</v>
      </c>
      <c r="O1065">
        <f t="shared" si="99"/>
        <v>0.20806742083821447</v>
      </c>
      <c r="P1065">
        <f t="shared" si="100"/>
        <v>7.984660127404869E-2</v>
      </c>
      <c r="Q1065">
        <f t="shared" si="101"/>
        <v>3.7883423962139888E-2</v>
      </c>
      <c r="R1065">
        <f t="shared" si="102"/>
        <v>4.4877286847458023E-2</v>
      </c>
    </row>
    <row r="1066" spans="1:18" hidden="1" x14ac:dyDescent="0.25">
      <c r="A1066" s="46">
        <v>2020</v>
      </c>
      <c r="B1066" s="56">
        <v>454</v>
      </c>
      <c r="C1066" s="47" t="s">
        <v>95</v>
      </c>
      <c r="D1066" s="47" t="s">
        <v>42</v>
      </c>
      <c r="E1066" s="47" t="s">
        <v>45</v>
      </c>
      <c r="F1066" s="46">
        <v>1980</v>
      </c>
      <c r="G1066" s="46">
        <v>270</v>
      </c>
      <c r="H1066" s="46">
        <v>490</v>
      </c>
      <c r="I1066" s="46">
        <v>490</v>
      </c>
      <c r="J1066" s="46">
        <v>175</v>
      </c>
      <c r="K1066" s="46">
        <v>90</v>
      </c>
      <c r="L1066" s="46">
        <v>460</v>
      </c>
      <c r="M1066">
        <f t="shared" si="97"/>
        <v>3.1472382983931603E-2</v>
      </c>
      <c r="N1066">
        <f t="shared" si="98"/>
        <v>5.7116546896764757E-2</v>
      </c>
      <c r="O1066">
        <f t="shared" si="99"/>
        <v>5.7116546896764757E-2</v>
      </c>
      <c r="P1066">
        <f t="shared" si="100"/>
        <v>2.0398766748844555E-2</v>
      </c>
      <c r="Q1066">
        <f t="shared" si="101"/>
        <v>1.04907943279772E-2</v>
      </c>
      <c r="R1066">
        <f t="shared" si="102"/>
        <v>5.3619615454105686E-2</v>
      </c>
    </row>
    <row r="1067" spans="1:18" hidden="1" x14ac:dyDescent="0.25">
      <c r="A1067" s="46">
        <v>2020</v>
      </c>
      <c r="B1067" s="56">
        <v>454</v>
      </c>
      <c r="C1067" s="47" t="s">
        <v>95</v>
      </c>
      <c r="D1067" s="47" t="s">
        <v>42</v>
      </c>
      <c r="E1067" s="47" t="s">
        <v>46</v>
      </c>
      <c r="F1067" s="46">
        <v>3320</v>
      </c>
      <c r="G1067" s="46">
        <v>525</v>
      </c>
      <c r="H1067" s="46">
        <v>1230</v>
      </c>
      <c r="I1067" s="46">
        <v>840</v>
      </c>
      <c r="J1067" s="46">
        <v>145</v>
      </c>
      <c r="K1067" s="46">
        <v>75</v>
      </c>
      <c r="L1067" s="46">
        <v>505</v>
      </c>
      <c r="M1067">
        <f t="shared" si="97"/>
        <v>6.1196300246533664E-2</v>
      </c>
      <c r="N1067">
        <f t="shared" si="98"/>
        <v>0.14337418914902172</v>
      </c>
      <c r="O1067">
        <f t="shared" si="99"/>
        <v>9.7914080394453859E-2</v>
      </c>
      <c r="P1067">
        <f t="shared" si="100"/>
        <v>1.6901835306185491E-2</v>
      </c>
      <c r="Q1067">
        <f t="shared" si="101"/>
        <v>8.7423286066476667E-3</v>
      </c>
      <c r="R1067">
        <f t="shared" si="102"/>
        <v>5.8865012618094292E-2</v>
      </c>
    </row>
    <row r="1068" spans="1:18" hidden="1" x14ac:dyDescent="0.25">
      <c r="A1068" s="46">
        <v>2020</v>
      </c>
      <c r="B1068" s="56">
        <v>454</v>
      </c>
      <c r="C1068" s="47" t="s">
        <v>95</v>
      </c>
      <c r="D1068" s="47" t="s">
        <v>42</v>
      </c>
      <c r="E1068" s="47" t="s">
        <v>47</v>
      </c>
      <c r="F1068" s="46">
        <v>4100</v>
      </c>
      <c r="G1068" s="46">
        <v>415</v>
      </c>
      <c r="H1068" s="46">
        <v>1430</v>
      </c>
      <c r="I1068" s="46">
        <v>1120</v>
      </c>
      <c r="J1068" s="46">
        <v>450</v>
      </c>
      <c r="K1068" s="46">
        <v>225</v>
      </c>
      <c r="L1068" s="46">
        <v>460</v>
      </c>
      <c r="M1068">
        <f t="shared" si="97"/>
        <v>4.8374218290117087E-2</v>
      </c>
      <c r="N1068">
        <f t="shared" si="98"/>
        <v>0.16668706543341552</v>
      </c>
      <c r="O1068">
        <f t="shared" si="99"/>
        <v>0.13055210719260515</v>
      </c>
      <c r="P1068">
        <f t="shared" si="100"/>
        <v>5.2453971639886E-2</v>
      </c>
      <c r="Q1068">
        <f t="shared" si="101"/>
        <v>2.6226985819943E-2</v>
      </c>
      <c r="R1068">
        <f t="shared" si="102"/>
        <v>5.3619615454105686E-2</v>
      </c>
    </row>
    <row r="1069" spans="1:18" hidden="1" x14ac:dyDescent="0.25">
      <c r="A1069" s="46">
        <v>2020</v>
      </c>
      <c r="B1069" s="56">
        <v>454</v>
      </c>
      <c r="C1069" s="47" t="s">
        <v>95</v>
      </c>
      <c r="D1069" s="47" t="s">
        <v>42</v>
      </c>
      <c r="E1069" s="47" t="s">
        <v>48</v>
      </c>
      <c r="F1069" s="46">
        <v>16095</v>
      </c>
      <c r="G1069" s="46">
        <v>1215</v>
      </c>
      <c r="H1069" s="46">
        <v>3815</v>
      </c>
      <c r="I1069" s="46">
        <v>3185</v>
      </c>
      <c r="J1069" s="46">
        <v>1955</v>
      </c>
      <c r="K1069" s="46">
        <v>1480</v>
      </c>
      <c r="L1069" s="46">
        <v>4450</v>
      </c>
      <c r="M1069">
        <f t="shared" si="97"/>
        <v>0.1416257234276922</v>
      </c>
      <c r="N1069">
        <f t="shared" si="98"/>
        <v>0.44469311512481136</v>
      </c>
      <c r="O1069">
        <f t="shared" si="99"/>
        <v>0.37125755482897094</v>
      </c>
      <c r="P1069">
        <f t="shared" si="100"/>
        <v>0.22788336567994916</v>
      </c>
      <c r="Q1069">
        <f t="shared" si="101"/>
        <v>0.17251528450451395</v>
      </c>
      <c r="R1069">
        <f t="shared" si="102"/>
        <v>0.51871149732776156</v>
      </c>
    </row>
    <row r="1070" spans="1:18" hidden="1" x14ac:dyDescent="0.25">
      <c r="A1070" s="46">
        <v>2020</v>
      </c>
      <c r="B1070" s="56">
        <v>454</v>
      </c>
      <c r="C1070" s="47" t="s">
        <v>95</v>
      </c>
      <c r="D1070" s="47" t="s">
        <v>42</v>
      </c>
      <c r="E1070" s="47" t="s">
        <v>49</v>
      </c>
      <c r="F1070" s="46">
        <v>6425</v>
      </c>
      <c r="G1070" s="46">
        <v>280</v>
      </c>
      <c r="H1070" s="46">
        <v>995</v>
      </c>
      <c r="I1070" s="46">
        <v>750</v>
      </c>
      <c r="J1070" s="46">
        <v>505</v>
      </c>
      <c r="K1070" s="46">
        <v>470</v>
      </c>
      <c r="L1070" s="46">
        <v>3425</v>
      </c>
      <c r="M1070">
        <f t="shared" si="97"/>
        <v>3.2638026798151289E-2</v>
      </c>
      <c r="N1070">
        <f t="shared" si="98"/>
        <v>0.11598155951485904</v>
      </c>
      <c r="O1070">
        <f t="shared" si="99"/>
        <v>8.742328606647666E-2</v>
      </c>
      <c r="P1070">
        <f t="shared" si="100"/>
        <v>5.8865012618094292E-2</v>
      </c>
      <c r="Q1070">
        <f t="shared" si="101"/>
        <v>5.4785259268325379E-2</v>
      </c>
      <c r="R1070">
        <f t="shared" si="102"/>
        <v>0.39923300637024345</v>
      </c>
    </row>
    <row r="1071" spans="1:18" hidden="1" x14ac:dyDescent="0.25">
      <c r="A1071" s="46">
        <v>2020</v>
      </c>
      <c r="B1071" s="56">
        <v>454</v>
      </c>
      <c r="C1071" s="47" t="s">
        <v>95</v>
      </c>
      <c r="D1071" s="47" t="s">
        <v>42</v>
      </c>
      <c r="E1071" s="47" t="s">
        <v>50</v>
      </c>
      <c r="F1071" s="46">
        <v>2605</v>
      </c>
      <c r="G1071" s="46">
        <v>50</v>
      </c>
      <c r="H1071" s="46">
        <v>155</v>
      </c>
      <c r="I1071" s="46">
        <v>150</v>
      </c>
      <c r="J1071" s="46">
        <v>125</v>
      </c>
      <c r="K1071" s="46">
        <v>125</v>
      </c>
      <c r="L1071" s="46">
        <v>2000</v>
      </c>
      <c r="M1071">
        <f t="shared" si="97"/>
        <v>5.8282190710984439E-3</v>
      </c>
      <c r="N1071">
        <f t="shared" si="98"/>
        <v>1.806747912040518E-2</v>
      </c>
      <c r="O1071">
        <f t="shared" si="99"/>
        <v>1.7484657213295333E-2</v>
      </c>
      <c r="P1071">
        <f t="shared" si="100"/>
        <v>1.4570547677746111E-2</v>
      </c>
      <c r="Q1071">
        <f t="shared" si="101"/>
        <v>1.4570547677746111E-2</v>
      </c>
      <c r="R1071">
        <f t="shared" si="102"/>
        <v>0.23312876284393777</v>
      </c>
    </row>
    <row r="1072" spans="1:18" hidden="1" x14ac:dyDescent="0.25">
      <c r="A1072" s="46">
        <v>2020</v>
      </c>
      <c r="B1072" s="56">
        <v>454</v>
      </c>
      <c r="C1072" s="47" t="s">
        <v>95</v>
      </c>
      <c r="D1072" s="47" t="s">
        <v>51</v>
      </c>
      <c r="E1072" s="47" t="s">
        <v>43</v>
      </c>
      <c r="F1072" s="46">
        <v>24310</v>
      </c>
      <c r="G1072" s="46">
        <v>2120</v>
      </c>
      <c r="H1072" s="46">
        <v>6340</v>
      </c>
      <c r="I1072" s="46">
        <v>5030</v>
      </c>
      <c r="J1072" s="46">
        <v>2410</v>
      </c>
      <c r="K1072" s="46">
        <v>1765</v>
      </c>
      <c r="L1072" s="46">
        <v>6640</v>
      </c>
      <c r="M1072">
        <f t="shared" si="97"/>
        <v>0.24711648861457405</v>
      </c>
      <c r="N1072">
        <f t="shared" si="98"/>
        <v>0.73901817821528282</v>
      </c>
      <c r="O1072">
        <f t="shared" si="99"/>
        <v>0.58631883855250344</v>
      </c>
      <c r="P1072">
        <f t="shared" si="100"/>
        <v>0.28092015922694502</v>
      </c>
      <c r="Q1072">
        <f t="shared" si="101"/>
        <v>0.2057361332097751</v>
      </c>
      <c r="R1072">
        <f t="shared" si="102"/>
        <v>0.77398749264187339</v>
      </c>
    </row>
    <row r="1073" spans="1:18" hidden="1" x14ac:dyDescent="0.25">
      <c r="A1073" s="46">
        <v>2020</v>
      </c>
      <c r="B1073" s="56">
        <v>454</v>
      </c>
      <c r="C1073" s="47" t="s">
        <v>95</v>
      </c>
      <c r="D1073" s="47" t="s">
        <v>51</v>
      </c>
      <c r="E1073" s="47" t="s">
        <v>44</v>
      </c>
      <c r="F1073" s="46">
        <v>3345</v>
      </c>
      <c r="G1073" s="46">
        <v>405</v>
      </c>
      <c r="H1073" s="46">
        <v>1345</v>
      </c>
      <c r="I1073" s="46">
        <v>905</v>
      </c>
      <c r="J1073" s="46">
        <v>320</v>
      </c>
      <c r="K1073" s="46">
        <v>180</v>
      </c>
      <c r="L1073" s="46">
        <v>185</v>
      </c>
      <c r="M1073">
        <f t="shared" si="97"/>
        <v>4.7208574475897401E-2</v>
      </c>
      <c r="N1073">
        <f t="shared" si="98"/>
        <v>0.15677909301254817</v>
      </c>
      <c r="O1073">
        <f t="shared" si="99"/>
        <v>0.10549076518688183</v>
      </c>
      <c r="P1073">
        <f t="shared" si="100"/>
        <v>3.7300602055030045E-2</v>
      </c>
      <c r="Q1073">
        <f t="shared" si="101"/>
        <v>2.0981588655954401E-2</v>
      </c>
      <c r="R1073">
        <f t="shared" si="102"/>
        <v>2.1564410563064244E-2</v>
      </c>
    </row>
    <row r="1074" spans="1:18" hidden="1" x14ac:dyDescent="0.25">
      <c r="A1074" s="46">
        <v>2020</v>
      </c>
      <c r="B1074" s="56">
        <v>454</v>
      </c>
      <c r="C1074" s="47" t="s">
        <v>95</v>
      </c>
      <c r="D1074" s="47" t="s">
        <v>51</v>
      </c>
      <c r="E1074" s="47" t="s">
        <v>45</v>
      </c>
      <c r="F1074" s="46">
        <v>1085</v>
      </c>
      <c r="G1074" s="46">
        <v>155</v>
      </c>
      <c r="H1074" s="46">
        <v>275</v>
      </c>
      <c r="I1074" s="46">
        <v>275</v>
      </c>
      <c r="J1074" s="46">
        <v>90</v>
      </c>
      <c r="K1074" s="46">
        <v>45</v>
      </c>
      <c r="L1074" s="46">
        <v>245</v>
      </c>
      <c r="M1074">
        <f t="shared" si="97"/>
        <v>1.806747912040518E-2</v>
      </c>
      <c r="N1074">
        <f t="shared" si="98"/>
        <v>3.2055204891041446E-2</v>
      </c>
      <c r="O1074">
        <f t="shared" si="99"/>
        <v>3.2055204891041446E-2</v>
      </c>
      <c r="P1074">
        <f t="shared" si="100"/>
        <v>1.04907943279772E-2</v>
      </c>
      <c r="Q1074">
        <f t="shared" si="101"/>
        <v>5.2453971639886002E-3</v>
      </c>
      <c r="R1074">
        <f t="shared" si="102"/>
        <v>2.8558273448382378E-2</v>
      </c>
    </row>
    <row r="1075" spans="1:18" hidden="1" x14ac:dyDescent="0.25">
      <c r="A1075" s="46">
        <v>2020</v>
      </c>
      <c r="B1075" s="56">
        <v>454</v>
      </c>
      <c r="C1075" s="47" t="s">
        <v>95</v>
      </c>
      <c r="D1075" s="47" t="s">
        <v>51</v>
      </c>
      <c r="E1075" s="47" t="s">
        <v>46</v>
      </c>
      <c r="F1075" s="46">
        <v>2020</v>
      </c>
      <c r="G1075" s="46">
        <v>315</v>
      </c>
      <c r="H1075" s="46">
        <v>725</v>
      </c>
      <c r="I1075" s="46">
        <v>580</v>
      </c>
      <c r="J1075" s="46">
        <v>85</v>
      </c>
      <c r="K1075" s="46">
        <v>45</v>
      </c>
      <c r="L1075" s="46">
        <v>265</v>
      </c>
      <c r="M1075">
        <f t="shared" si="97"/>
        <v>3.6717780147920202E-2</v>
      </c>
      <c r="N1075">
        <f t="shared" si="98"/>
        <v>8.4509176530927446E-2</v>
      </c>
      <c r="O1075">
        <f t="shared" si="99"/>
        <v>6.7607341224741963E-2</v>
      </c>
      <c r="P1075">
        <f t="shared" si="100"/>
        <v>9.9079724208673559E-3</v>
      </c>
      <c r="Q1075">
        <f t="shared" si="101"/>
        <v>5.2453971639886002E-3</v>
      </c>
      <c r="R1075">
        <f t="shared" si="102"/>
        <v>3.0889561076821757E-2</v>
      </c>
    </row>
    <row r="1076" spans="1:18" hidden="1" x14ac:dyDescent="0.25">
      <c r="A1076" s="46">
        <v>2020</v>
      </c>
      <c r="B1076" s="56">
        <v>454</v>
      </c>
      <c r="C1076" s="47" t="s">
        <v>95</v>
      </c>
      <c r="D1076" s="47" t="s">
        <v>51</v>
      </c>
      <c r="E1076" s="47" t="s">
        <v>47</v>
      </c>
      <c r="F1076" s="46">
        <v>2540</v>
      </c>
      <c r="G1076" s="46">
        <v>280</v>
      </c>
      <c r="H1076" s="46">
        <v>865</v>
      </c>
      <c r="I1076" s="46">
        <v>735</v>
      </c>
      <c r="J1076" s="46">
        <v>270</v>
      </c>
      <c r="K1076" s="46">
        <v>130</v>
      </c>
      <c r="L1076" s="46">
        <v>255</v>
      </c>
      <c r="M1076">
        <f t="shared" si="97"/>
        <v>3.2638026798151289E-2</v>
      </c>
      <c r="N1076">
        <f t="shared" si="98"/>
        <v>0.10082818993000309</v>
      </c>
      <c r="O1076">
        <f t="shared" si="99"/>
        <v>8.5674820345147132E-2</v>
      </c>
      <c r="P1076">
        <f t="shared" si="100"/>
        <v>3.1472382983931603E-2</v>
      </c>
      <c r="Q1076">
        <f t="shared" si="101"/>
        <v>1.5153369584855955E-2</v>
      </c>
      <c r="R1076">
        <f t="shared" si="102"/>
        <v>2.9723917262602068E-2</v>
      </c>
    </row>
    <row r="1077" spans="1:18" hidden="1" x14ac:dyDescent="0.25">
      <c r="A1077" s="46">
        <v>2020</v>
      </c>
      <c r="B1077" s="56">
        <v>454</v>
      </c>
      <c r="C1077" s="47" t="s">
        <v>95</v>
      </c>
      <c r="D1077" s="47" t="s">
        <v>51</v>
      </c>
      <c r="E1077" s="47" t="s">
        <v>48</v>
      </c>
      <c r="F1077" s="46">
        <v>9920</v>
      </c>
      <c r="G1077" s="46">
        <v>765</v>
      </c>
      <c r="H1077" s="46">
        <v>2400</v>
      </c>
      <c r="I1077" s="46">
        <v>2005</v>
      </c>
      <c r="J1077" s="46">
        <v>1230</v>
      </c>
      <c r="K1077" s="46">
        <v>970</v>
      </c>
      <c r="L1077" s="46">
        <v>2550</v>
      </c>
      <c r="M1077">
        <f t="shared" si="97"/>
        <v>8.9171751787806203E-2</v>
      </c>
      <c r="N1077">
        <f t="shared" si="98"/>
        <v>0.27975451541272534</v>
      </c>
      <c r="O1077">
        <f t="shared" si="99"/>
        <v>0.23371158475104761</v>
      </c>
      <c r="P1077">
        <f t="shared" si="100"/>
        <v>0.14337418914902172</v>
      </c>
      <c r="Q1077">
        <f t="shared" si="101"/>
        <v>0.11306744997930983</v>
      </c>
      <c r="R1077">
        <f t="shared" si="102"/>
        <v>0.29723917262602068</v>
      </c>
    </row>
    <row r="1078" spans="1:18" hidden="1" x14ac:dyDescent="0.25">
      <c r="A1078" s="46">
        <v>2020</v>
      </c>
      <c r="B1078" s="56">
        <v>454</v>
      </c>
      <c r="C1078" s="47" t="s">
        <v>95</v>
      </c>
      <c r="D1078" s="47" t="s">
        <v>51</v>
      </c>
      <c r="E1078" s="47" t="s">
        <v>49</v>
      </c>
      <c r="F1078" s="46">
        <v>3995</v>
      </c>
      <c r="G1078" s="46">
        <v>175</v>
      </c>
      <c r="H1078" s="46">
        <v>645</v>
      </c>
      <c r="I1078" s="46">
        <v>455</v>
      </c>
      <c r="J1078" s="46">
        <v>330</v>
      </c>
      <c r="K1078" s="46">
        <v>320</v>
      </c>
      <c r="L1078" s="46">
        <v>2070</v>
      </c>
      <c r="M1078">
        <f t="shared" si="97"/>
        <v>2.0398766748844555E-2</v>
      </c>
      <c r="N1078">
        <f t="shared" si="98"/>
        <v>7.5184026017169933E-2</v>
      </c>
      <c r="O1078">
        <f t="shared" si="99"/>
        <v>5.3036793546995843E-2</v>
      </c>
      <c r="P1078">
        <f t="shared" si="100"/>
        <v>3.8466245869249731E-2</v>
      </c>
      <c r="Q1078">
        <f t="shared" si="101"/>
        <v>3.7300602055030045E-2</v>
      </c>
      <c r="R1078">
        <f t="shared" si="102"/>
        <v>0.2412882695434756</v>
      </c>
    </row>
    <row r="1079" spans="1:18" hidden="1" x14ac:dyDescent="0.25">
      <c r="A1079" s="46">
        <v>2020</v>
      </c>
      <c r="B1079" s="56">
        <v>454</v>
      </c>
      <c r="C1079" s="47" t="s">
        <v>95</v>
      </c>
      <c r="D1079" s="47" t="s">
        <v>51</v>
      </c>
      <c r="E1079" s="47" t="s">
        <v>50</v>
      </c>
      <c r="F1079" s="46">
        <v>1405</v>
      </c>
      <c r="G1079" s="46">
        <v>25</v>
      </c>
      <c r="H1079" s="46">
        <v>80</v>
      </c>
      <c r="I1079" s="46">
        <v>80</v>
      </c>
      <c r="J1079" s="46">
        <v>85</v>
      </c>
      <c r="K1079" s="46">
        <v>70</v>
      </c>
      <c r="L1079" s="46">
        <v>1065</v>
      </c>
      <c r="M1079">
        <f t="shared" si="97"/>
        <v>2.914109535549222E-3</v>
      </c>
      <c r="N1079">
        <f t="shared" si="98"/>
        <v>9.3251505137575113E-3</v>
      </c>
      <c r="O1079">
        <f t="shared" si="99"/>
        <v>9.3251505137575113E-3</v>
      </c>
      <c r="P1079">
        <f t="shared" si="100"/>
        <v>9.9079724208673559E-3</v>
      </c>
      <c r="Q1079">
        <f t="shared" si="101"/>
        <v>8.1595066995378222E-3</v>
      </c>
      <c r="R1079">
        <f t="shared" si="102"/>
        <v>0.12414106621439687</v>
      </c>
    </row>
    <row r="1080" spans="1:18" hidden="1" x14ac:dyDescent="0.25">
      <c r="A1080" s="46">
        <v>2020</v>
      </c>
      <c r="B1080" s="56">
        <v>454</v>
      </c>
      <c r="C1080" s="47" t="s">
        <v>95</v>
      </c>
      <c r="D1080" s="47" t="s">
        <v>52</v>
      </c>
      <c r="E1080" s="47" t="s">
        <v>43</v>
      </c>
      <c r="F1080" s="46">
        <v>16780</v>
      </c>
      <c r="G1080" s="46">
        <v>1425</v>
      </c>
      <c r="H1080" s="46">
        <v>4370</v>
      </c>
      <c r="I1080" s="46">
        <v>3290</v>
      </c>
      <c r="J1080" s="46">
        <v>1625</v>
      </c>
      <c r="K1080" s="46">
        <v>1020</v>
      </c>
      <c r="L1080" s="46">
        <v>5050</v>
      </c>
      <c r="M1080">
        <f t="shared" si="97"/>
        <v>0.16610424352630568</v>
      </c>
      <c r="N1080">
        <f t="shared" si="98"/>
        <v>0.50938634681400408</v>
      </c>
      <c r="O1080">
        <f t="shared" si="99"/>
        <v>0.38349681487827764</v>
      </c>
      <c r="P1080">
        <f t="shared" si="100"/>
        <v>0.18941711981069945</v>
      </c>
      <c r="Q1080">
        <f t="shared" si="101"/>
        <v>0.11889566905040827</v>
      </c>
      <c r="R1080">
        <f t="shared" si="102"/>
        <v>0.58865012618094292</v>
      </c>
    </row>
    <row r="1081" spans="1:18" hidden="1" x14ac:dyDescent="0.25">
      <c r="A1081" s="46">
        <v>2020</v>
      </c>
      <c r="B1081" s="56">
        <v>454</v>
      </c>
      <c r="C1081" s="47" t="s">
        <v>95</v>
      </c>
      <c r="D1081" s="47" t="s">
        <v>52</v>
      </c>
      <c r="E1081" s="47" t="s">
        <v>44</v>
      </c>
      <c r="F1081" s="46">
        <v>3220</v>
      </c>
      <c r="G1081" s="46">
        <v>385</v>
      </c>
      <c r="H1081" s="46">
        <v>1250</v>
      </c>
      <c r="I1081" s="46">
        <v>880</v>
      </c>
      <c r="J1081" s="46">
        <v>360</v>
      </c>
      <c r="K1081" s="46">
        <v>145</v>
      </c>
      <c r="L1081" s="46">
        <v>200</v>
      </c>
      <c r="M1081">
        <f t="shared" si="97"/>
        <v>4.4877286847458023E-2</v>
      </c>
      <c r="N1081">
        <f t="shared" si="98"/>
        <v>0.14570547677746112</v>
      </c>
      <c r="O1081">
        <f t="shared" si="99"/>
        <v>0.10257665565133263</v>
      </c>
      <c r="P1081">
        <f t="shared" si="100"/>
        <v>4.1963177311908802E-2</v>
      </c>
      <c r="Q1081">
        <f t="shared" si="101"/>
        <v>1.6901835306185491E-2</v>
      </c>
      <c r="R1081">
        <f t="shared" si="102"/>
        <v>2.3312876284393776E-2</v>
      </c>
    </row>
    <row r="1082" spans="1:18" hidden="1" x14ac:dyDescent="0.25">
      <c r="A1082" s="46">
        <v>2020</v>
      </c>
      <c r="B1082" s="56">
        <v>454</v>
      </c>
      <c r="C1082" s="47" t="s">
        <v>95</v>
      </c>
      <c r="D1082" s="47" t="s">
        <v>52</v>
      </c>
      <c r="E1082" s="47" t="s">
        <v>45</v>
      </c>
      <c r="F1082" s="46">
        <v>890</v>
      </c>
      <c r="G1082" s="46">
        <v>115</v>
      </c>
      <c r="H1082" s="46">
        <v>215</v>
      </c>
      <c r="I1082" s="46">
        <v>215</v>
      </c>
      <c r="J1082" s="46">
        <v>85</v>
      </c>
      <c r="K1082" s="46">
        <v>40</v>
      </c>
      <c r="L1082" s="46">
        <v>215</v>
      </c>
      <c r="M1082">
        <f t="shared" si="97"/>
        <v>1.3404903863526422E-2</v>
      </c>
      <c r="N1082">
        <f t="shared" si="98"/>
        <v>2.5061342005723308E-2</v>
      </c>
      <c r="O1082">
        <f t="shared" si="99"/>
        <v>2.5061342005723308E-2</v>
      </c>
      <c r="P1082">
        <f t="shared" si="100"/>
        <v>9.9079724208673559E-3</v>
      </c>
      <c r="Q1082">
        <f t="shared" si="101"/>
        <v>4.6625752568787556E-3</v>
      </c>
      <c r="R1082">
        <f t="shared" si="102"/>
        <v>2.5061342005723308E-2</v>
      </c>
    </row>
    <row r="1083" spans="1:18" hidden="1" x14ac:dyDescent="0.25">
      <c r="A1083" s="46">
        <v>2020</v>
      </c>
      <c r="B1083" s="56">
        <v>454</v>
      </c>
      <c r="C1083" s="47" t="s">
        <v>95</v>
      </c>
      <c r="D1083" s="47" t="s">
        <v>52</v>
      </c>
      <c r="E1083" s="47" t="s">
        <v>46</v>
      </c>
      <c r="F1083" s="46">
        <v>1300</v>
      </c>
      <c r="G1083" s="46">
        <v>210</v>
      </c>
      <c r="H1083" s="46">
        <v>505</v>
      </c>
      <c r="I1083" s="46">
        <v>260</v>
      </c>
      <c r="J1083" s="46">
        <v>60</v>
      </c>
      <c r="K1083" s="46">
        <v>30</v>
      </c>
      <c r="L1083" s="46">
        <v>240</v>
      </c>
      <c r="M1083">
        <f t="shared" si="97"/>
        <v>2.4478520098613465E-2</v>
      </c>
      <c r="N1083">
        <f t="shared" si="98"/>
        <v>5.8865012618094292E-2</v>
      </c>
      <c r="O1083">
        <f t="shared" si="99"/>
        <v>3.030673916971191E-2</v>
      </c>
      <c r="P1083">
        <f t="shared" si="100"/>
        <v>6.993862885318133E-3</v>
      </c>
      <c r="Q1083">
        <f t="shared" si="101"/>
        <v>3.4969314426590665E-3</v>
      </c>
      <c r="R1083">
        <f t="shared" si="102"/>
        <v>2.7975451541272532E-2</v>
      </c>
    </row>
    <row r="1084" spans="1:18" hidden="1" x14ac:dyDescent="0.25">
      <c r="A1084" s="46">
        <v>2020</v>
      </c>
      <c r="B1084" s="56">
        <v>454</v>
      </c>
      <c r="C1084" s="47" t="s">
        <v>95</v>
      </c>
      <c r="D1084" s="47" t="s">
        <v>52</v>
      </c>
      <c r="E1084" s="47" t="s">
        <v>47</v>
      </c>
      <c r="F1084" s="46">
        <v>1565</v>
      </c>
      <c r="G1084" s="46">
        <v>135</v>
      </c>
      <c r="H1084" s="46">
        <v>565</v>
      </c>
      <c r="I1084" s="46">
        <v>385</v>
      </c>
      <c r="J1084" s="46">
        <v>180</v>
      </c>
      <c r="K1084" s="46">
        <v>90</v>
      </c>
      <c r="L1084" s="46">
        <v>205</v>
      </c>
      <c r="M1084">
        <f t="shared" si="97"/>
        <v>1.5736191491965801E-2</v>
      </c>
      <c r="N1084">
        <f t="shared" si="98"/>
        <v>6.585887550341242E-2</v>
      </c>
      <c r="O1084">
        <f t="shared" si="99"/>
        <v>4.4877286847458023E-2</v>
      </c>
      <c r="P1084">
        <f t="shared" si="100"/>
        <v>2.0981588655954401E-2</v>
      </c>
      <c r="Q1084">
        <f t="shared" si="101"/>
        <v>1.04907943279772E-2</v>
      </c>
      <c r="R1084">
        <f t="shared" si="102"/>
        <v>2.3895698191503622E-2</v>
      </c>
    </row>
    <row r="1085" spans="1:18" hidden="1" x14ac:dyDescent="0.25">
      <c r="A1085" s="46">
        <v>2020</v>
      </c>
      <c r="B1085" s="56">
        <v>454</v>
      </c>
      <c r="C1085" s="47" t="s">
        <v>95</v>
      </c>
      <c r="D1085" s="47" t="s">
        <v>52</v>
      </c>
      <c r="E1085" s="47" t="s">
        <v>48</v>
      </c>
      <c r="F1085" s="46">
        <v>6175</v>
      </c>
      <c r="G1085" s="46">
        <v>450</v>
      </c>
      <c r="H1085" s="46">
        <v>1410</v>
      </c>
      <c r="I1085" s="46">
        <v>1180</v>
      </c>
      <c r="J1085" s="46">
        <v>725</v>
      </c>
      <c r="K1085" s="46">
        <v>510</v>
      </c>
      <c r="L1085" s="46">
        <v>1900</v>
      </c>
      <c r="M1085">
        <f t="shared" si="97"/>
        <v>5.2453971639886E-2</v>
      </c>
      <c r="N1085">
        <f t="shared" si="98"/>
        <v>0.16435577780497612</v>
      </c>
      <c r="O1085">
        <f t="shared" si="99"/>
        <v>0.1375459700779233</v>
      </c>
      <c r="P1085">
        <f t="shared" si="100"/>
        <v>8.4509176530927446E-2</v>
      </c>
      <c r="Q1085">
        <f t="shared" si="101"/>
        <v>5.9447834525204135E-2</v>
      </c>
      <c r="R1085">
        <f t="shared" si="102"/>
        <v>0.22147232470174089</v>
      </c>
    </row>
    <row r="1086" spans="1:18" hidden="1" x14ac:dyDescent="0.25">
      <c r="A1086" s="46">
        <v>2020</v>
      </c>
      <c r="B1086" s="56">
        <v>454</v>
      </c>
      <c r="C1086" s="47" t="s">
        <v>95</v>
      </c>
      <c r="D1086" s="47" t="s">
        <v>52</v>
      </c>
      <c r="E1086" s="47" t="s">
        <v>49</v>
      </c>
      <c r="F1086" s="46">
        <v>2430</v>
      </c>
      <c r="G1086" s="46">
        <v>105</v>
      </c>
      <c r="H1086" s="46">
        <v>350</v>
      </c>
      <c r="I1086" s="46">
        <v>295</v>
      </c>
      <c r="J1086" s="46">
        <v>175</v>
      </c>
      <c r="K1086" s="46">
        <v>150</v>
      </c>
      <c r="L1086" s="46">
        <v>1355</v>
      </c>
      <c r="M1086">
        <f t="shared" si="97"/>
        <v>1.2239260049306732E-2</v>
      </c>
      <c r="N1086">
        <f t="shared" si="98"/>
        <v>4.0797533497689109E-2</v>
      </c>
      <c r="O1086">
        <f t="shared" si="99"/>
        <v>3.4386492519480824E-2</v>
      </c>
      <c r="P1086">
        <f t="shared" si="100"/>
        <v>2.0398766748844555E-2</v>
      </c>
      <c r="Q1086">
        <f t="shared" si="101"/>
        <v>1.7484657213295333E-2</v>
      </c>
      <c r="R1086">
        <f t="shared" si="102"/>
        <v>0.15794473682676785</v>
      </c>
    </row>
    <row r="1087" spans="1:18" hidden="1" x14ac:dyDescent="0.25">
      <c r="A1087" s="46">
        <v>2020</v>
      </c>
      <c r="B1087" s="56">
        <v>454</v>
      </c>
      <c r="C1087" s="47" t="s">
        <v>95</v>
      </c>
      <c r="D1087" s="47" t="s">
        <v>52</v>
      </c>
      <c r="E1087" s="47" t="s">
        <v>50</v>
      </c>
      <c r="F1087" s="46">
        <v>1200</v>
      </c>
      <c r="G1087" s="46">
        <v>25</v>
      </c>
      <c r="H1087" s="46">
        <v>75</v>
      </c>
      <c r="I1087" s="46">
        <v>70</v>
      </c>
      <c r="J1087" s="46">
        <v>45</v>
      </c>
      <c r="K1087" s="46">
        <v>50</v>
      </c>
      <c r="L1087" s="46">
        <v>935</v>
      </c>
      <c r="M1087">
        <f t="shared" si="97"/>
        <v>2.914109535549222E-3</v>
      </c>
      <c r="N1087">
        <f t="shared" si="98"/>
        <v>8.7423286066476667E-3</v>
      </c>
      <c r="O1087">
        <f t="shared" si="99"/>
        <v>8.1595066995378222E-3</v>
      </c>
      <c r="P1087">
        <f t="shared" si="100"/>
        <v>5.2453971639886002E-3</v>
      </c>
      <c r="Q1087">
        <f t="shared" si="101"/>
        <v>5.8282190710984439E-3</v>
      </c>
      <c r="R1087">
        <f t="shared" si="102"/>
        <v>0.10898769662954091</v>
      </c>
    </row>
    <row r="1088" spans="1:18" x14ac:dyDescent="0.25">
      <c r="A1088" s="46">
        <v>2020</v>
      </c>
      <c r="B1088" s="56">
        <v>455</v>
      </c>
      <c r="C1088" s="47" t="s">
        <v>96</v>
      </c>
      <c r="D1088" s="47" t="s">
        <v>42</v>
      </c>
      <c r="E1088" s="47" t="s">
        <v>43</v>
      </c>
      <c r="F1088" s="46">
        <v>4905</v>
      </c>
      <c r="G1088" s="46">
        <v>270</v>
      </c>
      <c r="H1088" s="46">
        <v>775</v>
      </c>
      <c r="I1088" s="46">
        <v>1450</v>
      </c>
      <c r="J1088" s="46">
        <v>440</v>
      </c>
      <c r="K1088" s="46">
        <v>240</v>
      </c>
      <c r="L1088" s="46">
        <v>1730</v>
      </c>
      <c r="M1088">
        <f t="shared" si="97"/>
        <v>3.1472382983931603E-2</v>
      </c>
      <c r="N1088">
        <f t="shared" si="98"/>
        <v>9.0337395602025888E-2</v>
      </c>
      <c r="O1088">
        <f t="shared" si="99"/>
        <v>0.16901835306185489</v>
      </c>
      <c r="P1088">
        <f t="shared" si="100"/>
        <v>5.1288327825666315E-2</v>
      </c>
      <c r="Q1088">
        <f t="shared" si="101"/>
        <v>2.7975451541272532E-2</v>
      </c>
      <c r="R1088">
        <f t="shared" si="102"/>
        <v>0.20165637986000617</v>
      </c>
    </row>
    <row r="1089" spans="1:18" hidden="1" x14ac:dyDescent="0.25">
      <c r="A1089" s="46">
        <v>2020</v>
      </c>
      <c r="B1089" s="56">
        <v>455</v>
      </c>
      <c r="C1089" s="47" t="s">
        <v>96</v>
      </c>
      <c r="D1089" s="47" t="s">
        <v>42</v>
      </c>
      <c r="E1089" s="47" t="s">
        <v>44</v>
      </c>
      <c r="F1089" s="46">
        <v>1000</v>
      </c>
      <c r="G1089" s="46">
        <v>75</v>
      </c>
      <c r="H1089" s="46">
        <v>270</v>
      </c>
      <c r="I1089" s="46">
        <v>480</v>
      </c>
      <c r="J1089" s="46">
        <v>95</v>
      </c>
      <c r="K1089" s="46">
        <v>35</v>
      </c>
      <c r="L1089" s="46">
        <v>45</v>
      </c>
      <c r="M1089">
        <f t="shared" si="97"/>
        <v>8.7423286066476667E-3</v>
      </c>
      <c r="N1089">
        <f t="shared" si="98"/>
        <v>3.1472382983931603E-2</v>
      </c>
      <c r="O1089">
        <f t="shared" si="99"/>
        <v>5.5950903082545064E-2</v>
      </c>
      <c r="P1089">
        <f t="shared" si="100"/>
        <v>1.1073616235087045E-2</v>
      </c>
      <c r="Q1089">
        <f t="shared" si="101"/>
        <v>4.0797533497689111E-3</v>
      </c>
      <c r="R1089">
        <f t="shared" si="102"/>
        <v>5.2453971639886002E-3</v>
      </c>
    </row>
    <row r="1090" spans="1:18" hidden="1" x14ac:dyDescent="0.25">
      <c r="A1090" s="46">
        <v>2020</v>
      </c>
      <c r="B1090" s="56">
        <v>455</v>
      </c>
      <c r="C1090" s="47" t="s">
        <v>96</v>
      </c>
      <c r="D1090" s="47" t="s">
        <v>42</v>
      </c>
      <c r="E1090" s="47" t="s">
        <v>45</v>
      </c>
      <c r="F1090" s="46">
        <v>275</v>
      </c>
      <c r="G1090" s="46">
        <v>20</v>
      </c>
      <c r="H1090" s="46">
        <v>40</v>
      </c>
      <c r="I1090" s="46">
        <v>120</v>
      </c>
      <c r="J1090" s="46">
        <v>25</v>
      </c>
      <c r="K1090" s="46">
        <v>10</v>
      </c>
      <c r="L1090" s="46">
        <v>60</v>
      </c>
      <c r="M1090">
        <f t="shared" si="97"/>
        <v>2.3312876284393778E-3</v>
      </c>
      <c r="N1090">
        <f t="shared" si="98"/>
        <v>4.6625752568787556E-3</v>
      </c>
      <c r="O1090">
        <f t="shared" si="99"/>
        <v>1.3987725770636266E-2</v>
      </c>
      <c r="P1090">
        <f t="shared" si="100"/>
        <v>2.914109535549222E-3</v>
      </c>
      <c r="Q1090">
        <f t="shared" si="101"/>
        <v>1.1656438142196889E-3</v>
      </c>
      <c r="R1090">
        <f t="shared" si="102"/>
        <v>6.993862885318133E-3</v>
      </c>
    </row>
    <row r="1091" spans="1:18" hidden="1" x14ac:dyDescent="0.25">
      <c r="A1091" s="46">
        <v>2020</v>
      </c>
      <c r="B1091" s="56">
        <v>455</v>
      </c>
      <c r="C1091" s="47" t="s">
        <v>96</v>
      </c>
      <c r="D1091" s="47" t="s">
        <v>42</v>
      </c>
      <c r="E1091" s="47" t="s">
        <v>46</v>
      </c>
      <c r="F1091" s="46">
        <v>405</v>
      </c>
      <c r="G1091" s="46">
        <v>45</v>
      </c>
      <c r="H1091" s="46">
        <v>90</v>
      </c>
      <c r="I1091" s="46">
        <v>170</v>
      </c>
      <c r="J1091" s="46">
        <v>25</v>
      </c>
      <c r="K1091" s="46">
        <v>5</v>
      </c>
      <c r="L1091" s="46">
        <v>65</v>
      </c>
      <c r="M1091">
        <f t="shared" si="97"/>
        <v>5.2453971639886002E-3</v>
      </c>
      <c r="N1091">
        <f t="shared" si="98"/>
        <v>1.04907943279772E-2</v>
      </c>
      <c r="O1091">
        <f t="shared" si="99"/>
        <v>1.9815944841734712E-2</v>
      </c>
      <c r="P1091">
        <f t="shared" si="100"/>
        <v>2.914109535549222E-3</v>
      </c>
      <c r="Q1091">
        <f t="shared" si="101"/>
        <v>5.8282190710984446E-4</v>
      </c>
      <c r="R1091">
        <f t="shared" si="102"/>
        <v>7.5766847924279776E-3</v>
      </c>
    </row>
    <row r="1092" spans="1:18" hidden="1" x14ac:dyDescent="0.25">
      <c r="A1092" s="46">
        <v>2020</v>
      </c>
      <c r="B1092" s="56">
        <v>455</v>
      </c>
      <c r="C1092" s="47" t="s">
        <v>96</v>
      </c>
      <c r="D1092" s="47" t="s">
        <v>42</v>
      </c>
      <c r="E1092" s="47" t="s">
        <v>47</v>
      </c>
      <c r="F1092" s="46">
        <v>365</v>
      </c>
      <c r="G1092" s="46">
        <v>25</v>
      </c>
      <c r="H1092" s="46">
        <v>80</v>
      </c>
      <c r="I1092" s="46">
        <v>125</v>
      </c>
      <c r="J1092" s="46">
        <v>45</v>
      </c>
      <c r="K1092" s="46">
        <v>15</v>
      </c>
      <c r="L1092" s="46">
        <v>75</v>
      </c>
      <c r="M1092">
        <f t="shared" si="97"/>
        <v>2.914109535549222E-3</v>
      </c>
      <c r="N1092">
        <f t="shared" si="98"/>
        <v>9.3251505137575113E-3</v>
      </c>
      <c r="O1092">
        <f t="shared" si="99"/>
        <v>1.4570547677746111E-2</v>
      </c>
      <c r="P1092">
        <f t="shared" si="100"/>
        <v>5.2453971639886002E-3</v>
      </c>
      <c r="Q1092">
        <f t="shared" si="101"/>
        <v>1.7484657213295333E-3</v>
      </c>
      <c r="R1092">
        <f t="shared" si="102"/>
        <v>8.7423286066476667E-3</v>
      </c>
    </row>
    <row r="1093" spans="1:18" hidden="1" x14ac:dyDescent="0.25">
      <c r="A1093" s="46">
        <v>2020</v>
      </c>
      <c r="B1093" s="56">
        <v>455</v>
      </c>
      <c r="C1093" s="47" t="s">
        <v>96</v>
      </c>
      <c r="D1093" s="47" t="s">
        <v>42</v>
      </c>
      <c r="E1093" s="47" t="s">
        <v>48</v>
      </c>
      <c r="F1093" s="46">
        <v>1700</v>
      </c>
      <c r="G1093" s="46">
        <v>75</v>
      </c>
      <c r="H1093" s="46">
        <v>225</v>
      </c>
      <c r="I1093" s="46">
        <v>460</v>
      </c>
      <c r="J1093" s="46">
        <v>190</v>
      </c>
      <c r="K1093" s="46">
        <v>135</v>
      </c>
      <c r="L1093" s="46">
        <v>625</v>
      </c>
      <c r="M1093">
        <f t="shared" si="97"/>
        <v>8.7423286066476667E-3</v>
      </c>
      <c r="N1093">
        <f t="shared" si="98"/>
        <v>2.6226985819943E-2</v>
      </c>
      <c r="O1093">
        <f t="shared" si="99"/>
        <v>5.3619615454105686E-2</v>
      </c>
      <c r="P1093">
        <f t="shared" si="100"/>
        <v>2.214723247017409E-2</v>
      </c>
      <c r="Q1093">
        <f t="shared" si="101"/>
        <v>1.5736191491965801E-2</v>
      </c>
      <c r="R1093">
        <f t="shared" si="102"/>
        <v>7.2852738388730562E-2</v>
      </c>
    </row>
    <row r="1094" spans="1:18" hidden="1" x14ac:dyDescent="0.25">
      <c r="A1094" s="46">
        <v>2020</v>
      </c>
      <c r="B1094" s="56">
        <v>455</v>
      </c>
      <c r="C1094" s="47" t="s">
        <v>96</v>
      </c>
      <c r="D1094" s="47" t="s">
        <v>42</v>
      </c>
      <c r="E1094" s="47" t="s">
        <v>49</v>
      </c>
      <c r="F1094" s="46">
        <v>770</v>
      </c>
      <c r="G1094" s="46">
        <v>25</v>
      </c>
      <c r="H1094" s="46">
        <v>65</v>
      </c>
      <c r="I1094" s="46">
        <v>90</v>
      </c>
      <c r="J1094" s="46">
        <v>45</v>
      </c>
      <c r="K1094" s="46">
        <v>30</v>
      </c>
      <c r="L1094" s="46">
        <v>515</v>
      </c>
      <c r="M1094">
        <f t="shared" si="97"/>
        <v>2.914109535549222E-3</v>
      </c>
      <c r="N1094">
        <f t="shared" si="98"/>
        <v>7.5766847924279776E-3</v>
      </c>
      <c r="O1094">
        <f t="shared" si="99"/>
        <v>1.04907943279772E-2</v>
      </c>
      <c r="P1094">
        <f t="shared" si="100"/>
        <v>5.2453971639886002E-3</v>
      </c>
      <c r="Q1094">
        <f t="shared" si="101"/>
        <v>3.4969314426590665E-3</v>
      </c>
      <c r="R1094">
        <f t="shared" si="102"/>
        <v>6.0030656432313978E-2</v>
      </c>
    </row>
    <row r="1095" spans="1:18" hidden="1" x14ac:dyDescent="0.25">
      <c r="A1095" s="46">
        <v>2020</v>
      </c>
      <c r="B1095" s="56">
        <v>455</v>
      </c>
      <c r="C1095" s="47" t="s">
        <v>96</v>
      </c>
      <c r="D1095" s="47" t="s">
        <v>42</v>
      </c>
      <c r="E1095" s="47" t="s">
        <v>50</v>
      </c>
      <c r="F1095" s="46">
        <v>395</v>
      </c>
      <c r="G1095" s="46">
        <v>5</v>
      </c>
      <c r="H1095" s="46">
        <v>5</v>
      </c>
      <c r="I1095" s="46">
        <v>15</v>
      </c>
      <c r="J1095" s="46">
        <v>10</v>
      </c>
      <c r="K1095" s="46">
        <v>10</v>
      </c>
      <c r="L1095" s="46">
        <v>350</v>
      </c>
      <c r="M1095">
        <f t="shared" si="97"/>
        <v>5.8282190710984446E-4</v>
      </c>
      <c r="N1095">
        <f t="shared" si="98"/>
        <v>5.8282190710984446E-4</v>
      </c>
      <c r="O1095">
        <f t="shared" si="99"/>
        <v>1.7484657213295333E-3</v>
      </c>
      <c r="P1095">
        <f t="shared" si="100"/>
        <v>1.1656438142196889E-3</v>
      </c>
      <c r="Q1095">
        <f t="shared" si="101"/>
        <v>1.1656438142196889E-3</v>
      </c>
      <c r="R1095">
        <f t="shared" si="102"/>
        <v>4.0797533497689109E-2</v>
      </c>
    </row>
    <row r="1096" spans="1:18" hidden="1" x14ac:dyDescent="0.25">
      <c r="A1096" s="46">
        <v>2020</v>
      </c>
      <c r="B1096" s="56">
        <v>455</v>
      </c>
      <c r="C1096" s="47" t="s">
        <v>96</v>
      </c>
      <c r="D1096" s="47" t="s">
        <v>51</v>
      </c>
      <c r="E1096" s="47" t="s">
        <v>43</v>
      </c>
      <c r="F1096" s="46">
        <v>2610</v>
      </c>
      <c r="G1096" s="46">
        <v>150</v>
      </c>
      <c r="H1096" s="46">
        <v>405</v>
      </c>
      <c r="I1096" s="46">
        <v>815</v>
      </c>
      <c r="J1096" s="46">
        <v>245</v>
      </c>
      <c r="K1096" s="46">
        <v>120</v>
      </c>
      <c r="L1096" s="46">
        <v>875</v>
      </c>
      <c r="M1096">
        <f t="shared" si="97"/>
        <v>1.7484657213295333E-2</v>
      </c>
      <c r="N1096">
        <f t="shared" si="98"/>
        <v>4.7208574475897401E-2</v>
      </c>
      <c r="O1096">
        <f t="shared" si="99"/>
        <v>9.4999970858904645E-2</v>
      </c>
      <c r="P1096">
        <f t="shared" si="100"/>
        <v>2.8558273448382378E-2</v>
      </c>
      <c r="Q1096">
        <f t="shared" si="101"/>
        <v>1.3987725770636266E-2</v>
      </c>
      <c r="R1096">
        <f t="shared" si="102"/>
        <v>0.10199383374422277</v>
      </c>
    </row>
    <row r="1097" spans="1:18" hidden="1" x14ac:dyDescent="0.25">
      <c r="A1097" s="46">
        <v>2020</v>
      </c>
      <c r="B1097" s="56">
        <v>455</v>
      </c>
      <c r="C1097" s="47" t="s">
        <v>96</v>
      </c>
      <c r="D1097" s="47" t="s">
        <v>51</v>
      </c>
      <c r="E1097" s="47" t="s">
        <v>44</v>
      </c>
      <c r="F1097" s="46">
        <v>515</v>
      </c>
      <c r="G1097" s="46">
        <v>40</v>
      </c>
      <c r="H1097" s="46">
        <v>135</v>
      </c>
      <c r="I1097" s="46">
        <v>245</v>
      </c>
      <c r="J1097" s="46">
        <v>55</v>
      </c>
      <c r="K1097" s="46">
        <v>10</v>
      </c>
      <c r="L1097" s="46">
        <v>25</v>
      </c>
      <c r="M1097">
        <f t="shared" ref="M1097:M1160" si="103">G1097/$F$8*100</f>
        <v>4.6625752568787556E-3</v>
      </c>
      <c r="N1097">
        <f t="shared" ref="N1097:N1160" si="104">H1097/$F$8*100</f>
        <v>1.5736191491965801E-2</v>
      </c>
      <c r="O1097">
        <f t="shared" ref="O1097:O1160" si="105">I1097/$F$8*100</f>
        <v>2.8558273448382378E-2</v>
      </c>
      <c r="P1097">
        <f t="shared" ref="P1097:P1160" si="106">J1097/$F$8*100</f>
        <v>6.4110409782082893E-3</v>
      </c>
      <c r="Q1097">
        <f t="shared" ref="Q1097:Q1160" si="107">K1097/$F$8*100</f>
        <v>1.1656438142196889E-3</v>
      </c>
      <c r="R1097">
        <f t="shared" ref="R1097:R1160" si="108">L1097/$F$8*100</f>
        <v>2.914109535549222E-3</v>
      </c>
    </row>
    <row r="1098" spans="1:18" hidden="1" x14ac:dyDescent="0.25">
      <c r="A1098" s="46">
        <v>2020</v>
      </c>
      <c r="B1098" s="56">
        <v>455</v>
      </c>
      <c r="C1098" s="47" t="s">
        <v>96</v>
      </c>
      <c r="D1098" s="47" t="s">
        <v>51</v>
      </c>
      <c r="E1098" s="47" t="s">
        <v>45</v>
      </c>
      <c r="F1098" s="46">
        <v>160</v>
      </c>
      <c r="G1098" s="46">
        <v>10</v>
      </c>
      <c r="H1098" s="46">
        <v>25</v>
      </c>
      <c r="I1098" s="46">
        <v>75</v>
      </c>
      <c r="J1098" s="46">
        <v>10</v>
      </c>
      <c r="K1098" s="46">
        <v>5</v>
      </c>
      <c r="L1098" s="46">
        <v>30</v>
      </c>
      <c r="M1098">
        <f t="shared" si="103"/>
        <v>1.1656438142196889E-3</v>
      </c>
      <c r="N1098">
        <f t="shared" si="104"/>
        <v>2.914109535549222E-3</v>
      </c>
      <c r="O1098">
        <f t="shared" si="105"/>
        <v>8.7423286066476667E-3</v>
      </c>
      <c r="P1098">
        <f t="shared" si="106"/>
        <v>1.1656438142196889E-3</v>
      </c>
      <c r="Q1098">
        <f t="shared" si="107"/>
        <v>5.8282190710984446E-4</v>
      </c>
      <c r="R1098">
        <f t="shared" si="108"/>
        <v>3.4969314426590665E-3</v>
      </c>
    </row>
    <row r="1099" spans="1:18" hidden="1" x14ac:dyDescent="0.25">
      <c r="A1099" s="46">
        <v>2020</v>
      </c>
      <c r="B1099" s="56">
        <v>455</v>
      </c>
      <c r="C1099" s="47" t="s">
        <v>96</v>
      </c>
      <c r="D1099" s="47" t="s">
        <v>51</v>
      </c>
      <c r="E1099" s="47" t="s">
        <v>46</v>
      </c>
      <c r="F1099" s="46">
        <v>245</v>
      </c>
      <c r="G1099" s="46">
        <v>25</v>
      </c>
      <c r="H1099" s="46">
        <v>50</v>
      </c>
      <c r="I1099" s="46">
        <v>115</v>
      </c>
      <c r="J1099" s="46">
        <v>20</v>
      </c>
      <c r="K1099" s="46">
        <v>5</v>
      </c>
      <c r="L1099" s="46">
        <v>35</v>
      </c>
      <c r="M1099">
        <f t="shared" si="103"/>
        <v>2.914109535549222E-3</v>
      </c>
      <c r="N1099">
        <f t="shared" si="104"/>
        <v>5.8282190710984439E-3</v>
      </c>
      <c r="O1099">
        <f t="shared" si="105"/>
        <v>1.3404903863526422E-2</v>
      </c>
      <c r="P1099">
        <f t="shared" si="106"/>
        <v>2.3312876284393778E-3</v>
      </c>
      <c r="Q1099">
        <f t="shared" si="107"/>
        <v>5.8282190710984446E-4</v>
      </c>
      <c r="R1099">
        <f t="shared" si="108"/>
        <v>4.0797533497689111E-3</v>
      </c>
    </row>
    <row r="1100" spans="1:18" hidden="1" x14ac:dyDescent="0.25">
      <c r="A1100" s="46">
        <v>2020</v>
      </c>
      <c r="B1100" s="56">
        <v>455</v>
      </c>
      <c r="C1100" s="47" t="s">
        <v>96</v>
      </c>
      <c r="D1100" s="47" t="s">
        <v>51</v>
      </c>
      <c r="E1100" s="47" t="s">
        <v>47</v>
      </c>
      <c r="F1100" s="46">
        <v>195</v>
      </c>
      <c r="G1100" s="46">
        <v>10</v>
      </c>
      <c r="H1100" s="46">
        <v>40</v>
      </c>
      <c r="I1100" s="46">
        <v>65</v>
      </c>
      <c r="J1100" s="46">
        <v>30</v>
      </c>
      <c r="K1100" s="46">
        <v>5</v>
      </c>
      <c r="L1100" s="46">
        <v>40</v>
      </c>
      <c r="M1100">
        <f t="shared" si="103"/>
        <v>1.1656438142196889E-3</v>
      </c>
      <c r="N1100">
        <f t="shared" si="104"/>
        <v>4.6625752568787556E-3</v>
      </c>
      <c r="O1100">
        <f t="shared" si="105"/>
        <v>7.5766847924279776E-3</v>
      </c>
      <c r="P1100">
        <f t="shared" si="106"/>
        <v>3.4969314426590665E-3</v>
      </c>
      <c r="Q1100">
        <f t="shared" si="107"/>
        <v>5.8282190710984446E-4</v>
      </c>
      <c r="R1100">
        <f t="shared" si="108"/>
        <v>4.6625752568787556E-3</v>
      </c>
    </row>
    <row r="1101" spans="1:18" hidden="1" x14ac:dyDescent="0.25">
      <c r="A1101" s="46">
        <v>2020</v>
      </c>
      <c r="B1101" s="56">
        <v>455</v>
      </c>
      <c r="C1101" s="47" t="s">
        <v>96</v>
      </c>
      <c r="D1101" s="47" t="s">
        <v>51</v>
      </c>
      <c r="E1101" s="47" t="s">
        <v>48</v>
      </c>
      <c r="F1101" s="46">
        <v>890</v>
      </c>
      <c r="G1101" s="46">
        <v>45</v>
      </c>
      <c r="H1101" s="46">
        <v>120</v>
      </c>
      <c r="I1101" s="46">
        <v>255</v>
      </c>
      <c r="J1101" s="46">
        <v>100</v>
      </c>
      <c r="K1101" s="46">
        <v>65</v>
      </c>
      <c r="L1101" s="46">
        <v>305</v>
      </c>
      <c r="M1101">
        <f t="shared" si="103"/>
        <v>5.2453971639886002E-3</v>
      </c>
      <c r="N1101">
        <f t="shared" si="104"/>
        <v>1.3987725770636266E-2</v>
      </c>
      <c r="O1101">
        <f t="shared" si="105"/>
        <v>2.9723917262602068E-2</v>
      </c>
      <c r="P1101">
        <f t="shared" si="106"/>
        <v>1.1656438142196888E-2</v>
      </c>
      <c r="Q1101">
        <f t="shared" si="107"/>
        <v>7.5766847924279776E-3</v>
      </c>
      <c r="R1101">
        <f t="shared" si="108"/>
        <v>3.555213633370051E-2</v>
      </c>
    </row>
    <row r="1102" spans="1:18" hidden="1" x14ac:dyDescent="0.25">
      <c r="A1102" s="46">
        <v>2020</v>
      </c>
      <c r="B1102" s="56">
        <v>455</v>
      </c>
      <c r="C1102" s="47" t="s">
        <v>96</v>
      </c>
      <c r="D1102" s="47" t="s">
        <v>51</v>
      </c>
      <c r="E1102" s="47" t="s">
        <v>49</v>
      </c>
      <c r="F1102" s="46">
        <v>405</v>
      </c>
      <c r="G1102" s="46">
        <v>15</v>
      </c>
      <c r="H1102" s="46">
        <v>35</v>
      </c>
      <c r="I1102" s="46">
        <v>50</v>
      </c>
      <c r="J1102" s="46">
        <v>25</v>
      </c>
      <c r="K1102" s="46">
        <v>20</v>
      </c>
      <c r="L1102" s="46">
        <v>265</v>
      </c>
      <c r="M1102">
        <f t="shared" si="103"/>
        <v>1.7484657213295333E-3</v>
      </c>
      <c r="N1102">
        <f t="shared" si="104"/>
        <v>4.0797533497689111E-3</v>
      </c>
      <c r="O1102">
        <f t="shared" si="105"/>
        <v>5.8282190710984439E-3</v>
      </c>
      <c r="P1102">
        <f t="shared" si="106"/>
        <v>2.914109535549222E-3</v>
      </c>
      <c r="Q1102">
        <f t="shared" si="107"/>
        <v>2.3312876284393778E-3</v>
      </c>
      <c r="R1102">
        <f t="shared" si="108"/>
        <v>3.0889561076821757E-2</v>
      </c>
    </row>
    <row r="1103" spans="1:18" hidden="1" x14ac:dyDescent="0.25">
      <c r="A1103" s="46">
        <v>2020</v>
      </c>
      <c r="B1103" s="56">
        <v>455</v>
      </c>
      <c r="C1103" s="47" t="s">
        <v>96</v>
      </c>
      <c r="D1103" s="47" t="s">
        <v>51</v>
      </c>
      <c r="E1103" s="47" t="s">
        <v>50</v>
      </c>
      <c r="F1103" s="46">
        <v>195</v>
      </c>
      <c r="G1103" s="46">
        <v>5</v>
      </c>
      <c r="H1103" s="46">
        <v>5</v>
      </c>
      <c r="I1103" s="46">
        <v>5</v>
      </c>
      <c r="J1103" s="46">
        <v>5</v>
      </c>
      <c r="K1103" s="46">
        <v>5</v>
      </c>
      <c r="L1103" s="46">
        <v>175</v>
      </c>
      <c r="M1103">
        <f t="shared" si="103"/>
        <v>5.8282190710984446E-4</v>
      </c>
      <c r="N1103">
        <f t="shared" si="104"/>
        <v>5.8282190710984446E-4</v>
      </c>
      <c r="O1103">
        <f t="shared" si="105"/>
        <v>5.8282190710984446E-4</v>
      </c>
      <c r="P1103">
        <f t="shared" si="106"/>
        <v>5.8282190710984446E-4</v>
      </c>
      <c r="Q1103">
        <f t="shared" si="107"/>
        <v>5.8282190710984446E-4</v>
      </c>
      <c r="R1103">
        <f t="shared" si="108"/>
        <v>2.0398766748844555E-2</v>
      </c>
    </row>
    <row r="1104" spans="1:18" hidden="1" x14ac:dyDescent="0.25">
      <c r="A1104" s="46">
        <v>2020</v>
      </c>
      <c r="B1104" s="56">
        <v>455</v>
      </c>
      <c r="C1104" s="47" t="s">
        <v>96</v>
      </c>
      <c r="D1104" s="47" t="s">
        <v>52</v>
      </c>
      <c r="E1104" s="47" t="s">
        <v>43</v>
      </c>
      <c r="F1104" s="46">
        <v>2295</v>
      </c>
      <c r="G1104" s="46">
        <v>120</v>
      </c>
      <c r="H1104" s="46">
        <v>370</v>
      </c>
      <c r="I1104" s="46">
        <v>635</v>
      </c>
      <c r="J1104" s="46">
        <v>195</v>
      </c>
      <c r="K1104" s="46">
        <v>120</v>
      </c>
      <c r="L1104" s="46">
        <v>855</v>
      </c>
      <c r="M1104">
        <f t="shared" si="103"/>
        <v>1.3987725770636266E-2</v>
      </c>
      <c r="N1104">
        <f t="shared" si="104"/>
        <v>4.3128821126128487E-2</v>
      </c>
      <c r="O1104">
        <f t="shared" si="105"/>
        <v>7.4018382202950248E-2</v>
      </c>
      <c r="P1104">
        <f t="shared" si="106"/>
        <v>2.2730054377283933E-2</v>
      </c>
      <c r="Q1104">
        <f t="shared" si="107"/>
        <v>1.3987725770636266E-2</v>
      </c>
      <c r="R1104">
        <f t="shared" si="108"/>
        <v>9.9662546115783401E-2</v>
      </c>
    </row>
    <row r="1105" spans="1:18" hidden="1" x14ac:dyDescent="0.25">
      <c r="A1105" s="46">
        <v>2020</v>
      </c>
      <c r="B1105" s="56">
        <v>455</v>
      </c>
      <c r="C1105" s="47" t="s">
        <v>96</v>
      </c>
      <c r="D1105" s="47" t="s">
        <v>52</v>
      </c>
      <c r="E1105" s="47" t="s">
        <v>44</v>
      </c>
      <c r="F1105" s="46">
        <v>485</v>
      </c>
      <c r="G1105" s="46">
        <v>40</v>
      </c>
      <c r="H1105" s="46">
        <v>135</v>
      </c>
      <c r="I1105" s="46">
        <v>230</v>
      </c>
      <c r="J1105" s="46">
        <v>40</v>
      </c>
      <c r="K1105" s="46">
        <v>25</v>
      </c>
      <c r="L1105" s="46">
        <v>20</v>
      </c>
      <c r="M1105">
        <f t="shared" si="103"/>
        <v>4.6625752568787556E-3</v>
      </c>
      <c r="N1105">
        <f t="shared" si="104"/>
        <v>1.5736191491965801E-2</v>
      </c>
      <c r="O1105">
        <f t="shared" si="105"/>
        <v>2.6809807727052843E-2</v>
      </c>
      <c r="P1105">
        <f t="shared" si="106"/>
        <v>4.6625752568787556E-3</v>
      </c>
      <c r="Q1105">
        <f t="shared" si="107"/>
        <v>2.914109535549222E-3</v>
      </c>
      <c r="R1105">
        <f t="shared" si="108"/>
        <v>2.3312876284393778E-3</v>
      </c>
    </row>
    <row r="1106" spans="1:18" hidden="1" x14ac:dyDescent="0.25">
      <c r="A1106" s="46">
        <v>2020</v>
      </c>
      <c r="B1106" s="56">
        <v>455</v>
      </c>
      <c r="C1106" s="47" t="s">
        <v>96</v>
      </c>
      <c r="D1106" s="47" t="s">
        <v>52</v>
      </c>
      <c r="E1106" s="47" t="s">
        <v>45</v>
      </c>
      <c r="F1106" s="46">
        <v>115</v>
      </c>
      <c r="G1106" s="46">
        <v>5</v>
      </c>
      <c r="H1106" s="46">
        <v>15</v>
      </c>
      <c r="I1106" s="46">
        <v>45</v>
      </c>
      <c r="J1106" s="46">
        <v>15</v>
      </c>
      <c r="K1106" s="46">
        <v>5</v>
      </c>
      <c r="L1106" s="46">
        <v>25</v>
      </c>
      <c r="M1106">
        <f t="shared" si="103"/>
        <v>5.8282190710984446E-4</v>
      </c>
      <c r="N1106">
        <f t="shared" si="104"/>
        <v>1.7484657213295333E-3</v>
      </c>
      <c r="O1106">
        <f t="shared" si="105"/>
        <v>5.2453971639886002E-3</v>
      </c>
      <c r="P1106">
        <f t="shared" si="106"/>
        <v>1.7484657213295333E-3</v>
      </c>
      <c r="Q1106">
        <f t="shared" si="107"/>
        <v>5.8282190710984446E-4</v>
      </c>
      <c r="R1106">
        <f t="shared" si="108"/>
        <v>2.914109535549222E-3</v>
      </c>
    </row>
    <row r="1107" spans="1:18" hidden="1" x14ac:dyDescent="0.25">
      <c r="A1107" s="46">
        <v>2020</v>
      </c>
      <c r="B1107" s="56">
        <v>455</v>
      </c>
      <c r="C1107" s="47" t="s">
        <v>96</v>
      </c>
      <c r="D1107" s="47" t="s">
        <v>52</v>
      </c>
      <c r="E1107" s="47" t="s">
        <v>46</v>
      </c>
      <c r="F1107" s="46">
        <v>155</v>
      </c>
      <c r="G1107" s="46">
        <v>20</v>
      </c>
      <c r="H1107" s="46">
        <v>45</v>
      </c>
      <c r="I1107" s="46">
        <v>50</v>
      </c>
      <c r="J1107" s="46">
        <v>5</v>
      </c>
      <c r="K1107" s="46">
        <v>0</v>
      </c>
      <c r="L1107" s="46">
        <v>30</v>
      </c>
      <c r="M1107">
        <f t="shared" si="103"/>
        <v>2.3312876284393778E-3</v>
      </c>
      <c r="N1107">
        <f t="shared" si="104"/>
        <v>5.2453971639886002E-3</v>
      </c>
      <c r="O1107">
        <f t="shared" si="105"/>
        <v>5.8282190710984439E-3</v>
      </c>
      <c r="P1107">
        <f t="shared" si="106"/>
        <v>5.8282190710984446E-4</v>
      </c>
      <c r="Q1107">
        <f t="shared" si="107"/>
        <v>0</v>
      </c>
      <c r="R1107">
        <f t="shared" si="108"/>
        <v>3.4969314426590665E-3</v>
      </c>
    </row>
    <row r="1108" spans="1:18" hidden="1" x14ac:dyDescent="0.25">
      <c r="A1108" s="46">
        <v>2020</v>
      </c>
      <c r="B1108" s="56">
        <v>455</v>
      </c>
      <c r="C1108" s="47" t="s">
        <v>96</v>
      </c>
      <c r="D1108" s="47" t="s">
        <v>52</v>
      </c>
      <c r="E1108" s="47" t="s">
        <v>47</v>
      </c>
      <c r="F1108" s="46">
        <v>170</v>
      </c>
      <c r="G1108" s="46">
        <v>10</v>
      </c>
      <c r="H1108" s="46">
        <v>40</v>
      </c>
      <c r="I1108" s="46">
        <v>60</v>
      </c>
      <c r="J1108" s="46">
        <v>15</v>
      </c>
      <c r="K1108" s="46">
        <v>10</v>
      </c>
      <c r="L1108" s="46">
        <v>35</v>
      </c>
      <c r="M1108">
        <f t="shared" si="103"/>
        <v>1.1656438142196889E-3</v>
      </c>
      <c r="N1108">
        <f t="shared" si="104"/>
        <v>4.6625752568787556E-3</v>
      </c>
      <c r="O1108">
        <f t="shared" si="105"/>
        <v>6.993862885318133E-3</v>
      </c>
      <c r="P1108">
        <f t="shared" si="106"/>
        <v>1.7484657213295333E-3</v>
      </c>
      <c r="Q1108">
        <f t="shared" si="107"/>
        <v>1.1656438142196889E-3</v>
      </c>
      <c r="R1108">
        <f t="shared" si="108"/>
        <v>4.0797533497689111E-3</v>
      </c>
    </row>
    <row r="1109" spans="1:18" hidden="1" x14ac:dyDescent="0.25">
      <c r="A1109" s="46">
        <v>2020</v>
      </c>
      <c r="B1109" s="56">
        <v>455</v>
      </c>
      <c r="C1109" s="47" t="s">
        <v>96</v>
      </c>
      <c r="D1109" s="47" t="s">
        <v>52</v>
      </c>
      <c r="E1109" s="47" t="s">
        <v>48</v>
      </c>
      <c r="F1109" s="46">
        <v>810</v>
      </c>
      <c r="G1109" s="46">
        <v>30</v>
      </c>
      <c r="H1109" s="46">
        <v>105</v>
      </c>
      <c r="I1109" s="46">
        <v>200</v>
      </c>
      <c r="J1109" s="46">
        <v>90</v>
      </c>
      <c r="K1109" s="46">
        <v>65</v>
      </c>
      <c r="L1109" s="46">
        <v>320</v>
      </c>
      <c r="M1109">
        <f t="shared" si="103"/>
        <v>3.4969314426590665E-3</v>
      </c>
      <c r="N1109">
        <f t="shared" si="104"/>
        <v>1.2239260049306732E-2</v>
      </c>
      <c r="O1109">
        <f t="shared" si="105"/>
        <v>2.3312876284393776E-2</v>
      </c>
      <c r="P1109">
        <f t="shared" si="106"/>
        <v>1.04907943279772E-2</v>
      </c>
      <c r="Q1109">
        <f t="shared" si="107"/>
        <v>7.5766847924279776E-3</v>
      </c>
      <c r="R1109">
        <f t="shared" si="108"/>
        <v>3.7300602055030045E-2</v>
      </c>
    </row>
    <row r="1110" spans="1:18" hidden="1" x14ac:dyDescent="0.25">
      <c r="A1110" s="46">
        <v>2020</v>
      </c>
      <c r="B1110" s="56">
        <v>455</v>
      </c>
      <c r="C1110" s="47" t="s">
        <v>96</v>
      </c>
      <c r="D1110" s="47" t="s">
        <v>52</v>
      </c>
      <c r="E1110" s="47" t="s">
        <v>49</v>
      </c>
      <c r="F1110" s="46">
        <v>360</v>
      </c>
      <c r="G1110" s="46">
        <v>10</v>
      </c>
      <c r="H1110" s="46">
        <v>30</v>
      </c>
      <c r="I1110" s="46">
        <v>40</v>
      </c>
      <c r="J1110" s="46">
        <v>20</v>
      </c>
      <c r="K1110" s="46">
        <v>10</v>
      </c>
      <c r="L1110" s="46">
        <v>250</v>
      </c>
      <c r="M1110">
        <f t="shared" si="103"/>
        <v>1.1656438142196889E-3</v>
      </c>
      <c r="N1110">
        <f t="shared" si="104"/>
        <v>3.4969314426590665E-3</v>
      </c>
      <c r="O1110">
        <f t="shared" si="105"/>
        <v>4.6625752568787556E-3</v>
      </c>
      <c r="P1110">
        <f t="shared" si="106"/>
        <v>2.3312876284393778E-3</v>
      </c>
      <c r="Q1110">
        <f t="shared" si="107"/>
        <v>1.1656438142196889E-3</v>
      </c>
      <c r="R1110">
        <f t="shared" si="108"/>
        <v>2.9141095355492221E-2</v>
      </c>
    </row>
    <row r="1111" spans="1:18" hidden="1" x14ac:dyDescent="0.25">
      <c r="A1111" s="46">
        <v>2020</v>
      </c>
      <c r="B1111" s="56">
        <v>455</v>
      </c>
      <c r="C1111" s="47" t="s">
        <v>96</v>
      </c>
      <c r="D1111" s="47" t="s">
        <v>52</v>
      </c>
      <c r="E1111" s="47" t="s">
        <v>50</v>
      </c>
      <c r="F1111" s="46">
        <v>195</v>
      </c>
      <c r="G1111" s="46">
        <v>0</v>
      </c>
      <c r="H1111" s="46">
        <v>0</v>
      </c>
      <c r="I1111" s="46">
        <v>5</v>
      </c>
      <c r="J1111" s="46">
        <v>5</v>
      </c>
      <c r="K1111" s="46">
        <v>5</v>
      </c>
      <c r="L1111" s="46">
        <v>180</v>
      </c>
      <c r="M1111">
        <f t="shared" si="103"/>
        <v>0</v>
      </c>
      <c r="N1111">
        <f t="shared" si="104"/>
        <v>0</v>
      </c>
      <c r="O1111">
        <f t="shared" si="105"/>
        <v>5.8282190710984446E-4</v>
      </c>
      <c r="P1111">
        <f t="shared" si="106"/>
        <v>5.8282190710984446E-4</v>
      </c>
      <c r="Q1111">
        <f t="shared" si="107"/>
        <v>5.8282190710984446E-4</v>
      </c>
      <c r="R1111">
        <f t="shared" si="108"/>
        <v>2.0981588655954401E-2</v>
      </c>
    </row>
    <row r="1112" spans="1:18" x14ac:dyDescent="0.25">
      <c r="A1112" s="46">
        <v>2020</v>
      </c>
      <c r="B1112" s="56">
        <v>456</v>
      </c>
      <c r="C1112" s="47" t="s">
        <v>97</v>
      </c>
      <c r="D1112" s="47" t="s">
        <v>42</v>
      </c>
      <c r="E1112" s="47" t="s">
        <v>43</v>
      </c>
      <c r="F1112" s="46">
        <v>22410</v>
      </c>
      <c r="G1112" s="46">
        <v>845</v>
      </c>
      <c r="H1112" s="46">
        <v>3820</v>
      </c>
      <c r="I1112" s="46">
        <v>3260</v>
      </c>
      <c r="J1112" s="46">
        <v>1875</v>
      </c>
      <c r="K1112" s="46">
        <v>1510</v>
      </c>
      <c r="L1112" s="46">
        <v>11100</v>
      </c>
      <c r="M1112">
        <f t="shared" si="103"/>
        <v>9.8496902301563716E-2</v>
      </c>
      <c r="N1112">
        <f t="shared" si="104"/>
        <v>0.44527593703192114</v>
      </c>
      <c r="O1112">
        <f t="shared" si="105"/>
        <v>0.37999988343561858</v>
      </c>
      <c r="P1112">
        <f t="shared" si="106"/>
        <v>0.21855821516619167</v>
      </c>
      <c r="Q1112">
        <f t="shared" si="107"/>
        <v>0.17601221594717301</v>
      </c>
      <c r="R1112">
        <f t="shared" si="108"/>
        <v>1.2938646337838546</v>
      </c>
    </row>
    <row r="1113" spans="1:18" hidden="1" x14ac:dyDescent="0.25">
      <c r="A1113" s="46">
        <v>2020</v>
      </c>
      <c r="B1113" s="56">
        <v>456</v>
      </c>
      <c r="C1113" s="47" t="s">
        <v>97</v>
      </c>
      <c r="D1113" s="47" t="s">
        <v>42</v>
      </c>
      <c r="E1113" s="47" t="s">
        <v>44</v>
      </c>
      <c r="F1113" s="46">
        <v>3105</v>
      </c>
      <c r="G1113" s="46">
        <v>250</v>
      </c>
      <c r="H1113" s="46">
        <v>1040</v>
      </c>
      <c r="I1113" s="46">
        <v>760</v>
      </c>
      <c r="J1113" s="46">
        <v>360</v>
      </c>
      <c r="K1113" s="46">
        <v>220</v>
      </c>
      <c r="L1113" s="46">
        <v>475</v>
      </c>
      <c r="M1113">
        <f t="shared" si="103"/>
        <v>2.9141095355492221E-2</v>
      </c>
      <c r="N1113">
        <f t="shared" si="104"/>
        <v>0.12122695667884764</v>
      </c>
      <c r="O1113">
        <f t="shared" si="105"/>
        <v>8.858892988069636E-2</v>
      </c>
      <c r="P1113">
        <f t="shared" si="106"/>
        <v>4.1963177311908802E-2</v>
      </c>
      <c r="Q1113">
        <f t="shared" si="107"/>
        <v>2.5644163912833157E-2</v>
      </c>
      <c r="R1113">
        <f t="shared" si="108"/>
        <v>5.5368081175435221E-2</v>
      </c>
    </row>
    <row r="1114" spans="1:18" hidden="1" x14ac:dyDescent="0.25">
      <c r="A1114" s="46">
        <v>2020</v>
      </c>
      <c r="B1114" s="56">
        <v>456</v>
      </c>
      <c r="C1114" s="47" t="s">
        <v>97</v>
      </c>
      <c r="D1114" s="47" t="s">
        <v>42</v>
      </c>
      <c r="E1114" s="47" t="s">
        <v>45</v>
      </c>
      <c r="F1114" s="46">
        <v>1045</v>
      </c>
      <c r="G1114" s="46">
        <v>40</v>
      </c>
      <c r="H1114" s="46">
        <v>180</v>
      </c>
      <c r="I1114" s="46">
        <v>185</v>
      </c>
      <c r="J1114" s="46">
        <v>90</v>
      </c>
      <c r="K1114" s="46">
        <v>65</v>
      </c>
      <c r="L1114" s="46">
        <v>480</v>
      </c>
      <c r="M1114">
        <f t="shared" si="103"/>
        <v>4.6625752568787556E-3</v>
      </c>
      <c r="N1114">
        <f t="shared" si="104"/>
        <v>2.0981588655954401E-2</v>
      </c>
      <c r="O1114">
        <f t="shared" si="105"/>
        <v>2.1564410563064244E-2</v>
      </c>
      <c r="P1114">
        <f t="shared" si="106"/>
        <v>1.04907943279772E-2</v>
      </c>
      <c r="Q1114">
        <f t="shared" si="107"/>
        <v>7.5766847924279776E-3</v>
      </c>
      <c r="R1114">
        <f t="shared" si="108"/>
        <v>5.5950903082545064E-2</v>
      </c>
    </row>
    <row r="1115" spans="1:18" hidden="1" x14ac:dyDescent="0.25">
      <c r="A1115" s="46">
        <v>2020</v>
      </c>
      <c r="B1115" s="56">
        <v>456</v>
      </c>
      <c r="C1115" s="47" t="s">
        <v>97</v>
      </c>
      <c r="D1115" s="47" t="s">
        <v>42</v>
      </c>
      <c r="E1115" s="47" t="s">
        <v>46</v>
      </c>
      <c r="F1115" s="46">
        <v>1340</v>
      </c>
      <c r="G1115" s="46">
        <v>95</v>
      </c>
      <c r="H1115" s="46">
        <v>345</v>
      </c>
      <c r="I1115" s="46">
        <v>300</v>
      </c>
      <c r="J1115" s="46">
        <v>80</v>
      </c>
      <c r="K1115" s="46">
        <v>45</v>
      </c>
      <c r="L1115" s="46">
        <v>470</v>
      </c>
      <c r="M1115">
        <f t="shared" si="103"/>
        <v>1.1073616235087045E-2</v>
      </c>
      <c r="N1115">
        <f t="shared" si="104"/>
        <v>4.0214711590579266E-2</v>
      </c>
      <c r="O1115">
        <f t="shared" si="105"/>
        <v>3.4969314426590667E-2</v>
      </c>
      <c r="P1115">
        <f t="shared" si="106"/>
        <v>9.3251505137575113E-3</v>
      </c>
      <c r="Q1115">
        <f t="shared" si="107"/>
        <v>5.2453971639886002E-3</v>
      </c>
      <c r="R1115">
        <f t="shared" si="108"/>
        <v>5.4785259268325379E-2</v>
      </c>
    </row>
    <row r="1116" spans="1:18" hidden="1" x14ac:dyDescent="0.25">
      <c r="A1116" s="46">
        <v>2020</v>
      </c>
      <c r="B1116" s="56">
        <v>456</v>
      </c>
      <c r="C1116" s="47" t="s">
        <v>97</v>
      </c>
      <c r="D1116" s="47" t="s">
        <v>42</v>
      </c>
      <c r="E1116" s="47" t="s">
        <v>47</v>
      </c>
      <c r="F1116" s="46">
        <v>1655</v>
      </c>
      <c r="G1116" s="46">
        <v>105</v>
      </c>
      <c r="H1116" s="46">
        <v>525</v>
      </c>
      <c r="I1116" s="46">
        <v>415</v>
      </c>
      <c r="J1116" s="46">
        <v>180</v>
      </c>
      <c r="K1116" s="46">
        <v>85</v>
      </c>
      <c r="L1116" s="46">
        <v>340</v>
      </c>
      <c r="M1116">
        <f t="shared" si="103"/>
        <v>1.2239260049306732E-2</v>
      </c>
      <c r="N1116">
        <f t="shared" si="104"/>
        <v>6.1196300246533664E-2</v>
      </c>
      <c r="O1116">
        <f t="shared" si="105"/>
        <v>4.8374218290117087E-2</v>
      </c>
      <c r="P1116">
        <f t="shared" si="106"/>
        <v>2.0981588655954401E-2</v>
      </c>
      <c r="Q1116">
        <f t="shared" si="107"/>
        <v>9.9079724208673559E-3</v>
      </c>
      <c r="R1116">
        <f t="shared" si="108"/>
        <v>3.9631889683469423E-2</v>
      </c>
    </row>
    <row r="1117" spans="1:18" hidden="1" x14ac:dyDescent="0.25">
      <c r="A1117" s="46">
        <v>2020</v>
      </c>
      <c r="B1117" s="56">
        <v>456</v>
      </c>
      <c r="C1117" s="47" t="s">
        <v>97</v>
      </c>
      <c r="D1117" s="47" t="s">
        <v>42</v>
      </c>
      <c r="E1117" s="47" t="s">
        <v>48</v>
      </c>
      <c r="F1117" s="46">
        <v>6985</v>
      </c>
      <c r="G1117" s="46">
        <v>235</v>
      </c>
      <c r="H1117" s="46">
        <v>1180</v>
      </c>
      <c r="I1117" s="46">
        <v>1140</v>
      </c>
      <c r="J1117" s="46">
        <v>755</v>
      </c>
      <c r="K1117" s="46">
        <v>660</v>
      </c>
      <c r="L1117" s="46">
        <v>3020</v>
      </c>
      <c r="M1117">
        <f t="shared" si="103"/>
        <v>2.7392629634162689E-2</v>
      </c>
      <c r="N1117">
        <f t="shared" si="104"/>
        <v>0.1375459700779233</v>
      </c>
      <c r="O1117">
        <f t="shared" si="105"/>
        <v>0.13288339482104453</v>
      </c>
      <c r="P1117">
        <f t="shared" si="106"/>
        <v>8.8006107973586503E-2</v>
      </c>
      <c r="Q1117">
        <f t="shared" si="107"/>
        <v>7.6932491738499462E-2</v>
      </c>
      <c r="R1117">
        <f t="shared" si="108"/>
        <v>0.35202443189434601</v>
      </c>
    </row>
    <row r="1118" spans="1:18" hidden="1" x14ac:dyDescent="0.25">
      <c r="A1118" s="46">
        <v>2020</v>
      </c>
      <c r="B1118" s="56">
        <v>456</v>
      </c>
      <c r="C1118" s="47" t="s">
        <v>97</v>
      </c>
      <c r="D1118" s="47" t="s">
        <v>42</v>
      </c>
      <c r="E1118" s="47" t="s">
        <v>49</v>
      </c>
      <c r="F1118" s="46">
        <v>4755</v>
      </c>
      <c r="G1118" s="46">
        <v>90</v>
      </c>
      <c r="H1118" s="46">
        <v>390</v>
      </c>
      <c r="I1118" s="46">
        <v>360</v>
      </c>
      <c r="J1118" s="46">
        <v>275</v>
      </c>
      <c r="K1118" s="46">
        <v>295</v>
      </c>
      <c r="L1118" s="46">
        <v>3345</v>
      </c>
      <c r="M1118">
        <f t="shared" si="103"/>
        <v>1.04907943279772E-2</v>
      </c>
      <c r="N1118">
        <f t="shared" si="104"/>
        <v>4.5460108754567866E-2</v>
      </c>
      <c r="O1118">
        <f t="shared" si="105"/>
        <v>4.1963177311908802E-2</v>
      </c>
      <c r="P1118">
        <f t="shared" si="106"/>
        <v>3.2055204891041446E-2</v>
      </c>
      <c r="Q1118">
        <f t="shared" si="107"/>
        <v>3.4386492519480824E-2</v>
      </c>
      <c r="R1118">
        <f t="shared" si="108"/>
        <v>0.38990785585648591</v>
      </c>
    </row>
    <row r="1119" spans="1:18" hidden="1" x14ac:dyDescent="0.25">
      <c r="A1119" s="46">
        <v>2020</v>
      </c>
      <c r="B1119" s="56">
        <v>456</v>
      </c>
      <c r="C1119" s="47" t="s">
        <v>97</v>
      </c>
      <c r="D1119" s="47" t="s">
        <v>42</v>
      </c>
      <c r="E1119" s="47" t="s">
        <v>50</v>
      </c>
      <c r="F1119" s="46">
        <v>3520</v>
      </c>
      <c r="G1119" s="46">
        <v>25</v>
      </c>
      <c r="H1119" s="46">
        <v>160</v>
      </c>
      <c r="I1119" s="46">
        <v>105</v>
      </c>
      <c r="J1119" s="46">
        <v>130</v>
      </c>
      <c r="K1119" s="46">
        <v>140</v>
      </c>
      <c r="L1119" s="46">
        <v>2965</v>
      </c>
      <c r="M1119">
        <f t="shared" si="103"/>
        <v>2.914109535549222E-3</v>
      </c>
      <c r="N1119">
        <f t="shared" si="104"/>
        <v>1.8650301027515023E-2</v>
      </c>
      <c r="O1119">
        <f t="shared" si="105"/>
        <v>1.2239260049306732E-2</v>
      </c>
      <c r="P1119">
        <f t="shared" si="106"/>
        <v>1.5153369584855955E-2</v>
      </c>
      <c r="Q1119">
        <f t="shared" si="107"/>
        <v>1.6319013399075644E-2</v>
      </c>
      <c r="R1119">
        <f t="shared" si="108"/>
        <v>0.34561339091613774</v>
      </c>
    </row>
    <row r="1120" spans="1:18" hidden="1" x14ac:dyDescent="0.25">
      <c r="A1120" s="46">
        <v>2020</v>
      </c>
      <c r="B1120" s="56">
        <v>456</v>
      </c>
      <c r="C1120" s="47" t="s">
        <v>97</v>
      </c>
      <c r="D1120" s="47" t="s">
        <v>51</v>
      </c>
      <c r="E1120" s="47" t="s">
        <v>43</v>
      </c>
      <c r="F1120" s="46">
        <v>12275</v>
      </c>
      <c r="G1120" s="46">
        <v>470</v>
      </c>
      <c r="H1120" s="46">
        <v>2075</v>
      </c>
      <c r="I1120" s="46">
        <v>1960</v>
      </c>
      <c r="J1120" s="46">
        <v>1040</v>
      </c>
      <c r="K1120" s="46">
        <v>780</v>
      </c>
      <c r="L1120" s="46">
        <v>5955</v>
      </c>
      <c r="M1120">
        <f t="shared" si="103"/>
        <v>5.4785259268325379E-2</v>
      </c>
      <c r="N1120">
        <f t="shared" si="104"/>
        <v>0.24187109145058544</v>
      </c>
      <c r="O1120">
        <f t="shared" si="105"/>
        <v>0.22846618758705903</v>
      </c>
      <c r="P1120">
        <f t="shared" si="106"/>
        <v>0.12122695667884764</v>
      </c>
      <c r="Q1120">
        <f t="shared" si="107"/>
        <v>9.0920217509135731E-2</v>
      </c>
      <c r="R1120">
        <f t="shared" si="108"/>
        <v>0.69414089136782475</v>
      </c>
    </row>
    <row r="1121" spans="1:18" hidden="1" x14ac:dyDescent="0.25">
      <c r="A1121" s="46">
        <v>2020</v>
      </c>
      <c r="B1121" s="56">
        <v>456</v>
      </c>
      <c r="C1121" s="47" t="s">
        <v>97</v>
      </c>
      <c r="D1121" s="47" t="s">
        <v>51</v>
      </c>
      <c r="E1121" s="47" t="s">
        <v>44</v>
      </c>
      <c r="F1121" s="46">
        <v>1610</v>
      </c>
      <c r="G1121" s="46">
        <v>120</v>
      </c>
      <c r="H1121" s="46">
        <v>535</v>
      </c>
      <c r="I1121" s="46">
        <v>410</v>
      </c>
      <c r="J1121" s="46">
        <v>185</v>
      </c>
      <c r="K1121" s="46">
        <v>110</v>
      </c>
      <c r="L1121" s="46">
        <v>255</v>
      </c>
      <c r="M1121">
        <f t="shared" si="103"/>
        <v>1.3987725770636266E-2</v>
      </c>
      <c r="N1121">
        <f t="shared" si="104"/>
        <v>6.2361944060753356E-2</v>
      </c>
      <c r="O1121">
        <f t="shared" si="105"/>
        <v>4.7791396383007244E-2</v>
      </c>
      <c r="P1121">
        <f t="shared" si="106"/>
        <v>2.1564410563064244E-2</v>
      </c>
      <c r="Q1121">
        <f t="shared" si="107"/>
        <v>1.2822081956416579E-2</v>
      </c>
      <c r="R1121">
        <f t="shared" si="108"/>
        <v>2.9723917262602068E-2</v>
      </c>
    </row>
    <row r="1122" spans="1:18" hidden="1" x14ac:dyDescent="0.25">
      <c r="A1122" s="46">
        <v>2020</v>
      </c>
      <c r="B1122" s="56">
        <v>456</v>
      </c>
      <c r="C1122" s="47" t="s">
        <v>97</v>
      </c>
      <c r="D1122" s="47" t="s">
        <v>51</v>
      </c>
      <c r="E1122" s="47" t="s">
        <v>45</v>
      </c>
      <c r="F1122" s="46">
        <v>560</v>
      </c>
      <c r="G1122" s="46">
        <v>25</v>
      </c>
      <c r="H1122" s="46">
        <v>95</v>
      </c>
      <c r="I1122" s="46">
        <v>110</v>
      </c>
      <c r="J1122" s="46">
        <v>45</v>
      </c>
      <c r="K1122" s="46">
        <v>25</v>
      </c>
      <c r="L1122" s="46">
        <v>255</v>
      </c>
      <c r="M1122">
        <f t="shared" si="103"/>
        <v>2.914109535549222E-3</v>
      </c>
      <c r="N1122">
        <f t="shared" si="104"/>
        <v>1.1073616235087045E-2</v>
      </c>
      <c r="O1122">
        <f t="shared" si="105"/>
        <v>1.2822081956416579E-2</v>
      </c>
      <c r="P1122">
        <f t="shared" si="106"/>
        <v>5.2453971639886002E-3</v>
      </c>
      <c r="Q1122">
        <f t="shared" si="107"/>
        <v>2.914109535549222E-3</v>
      </c>
      <c r="R1122">
        <f t="shared" si="108"/>
        <v>2.9723917262602068E-2</v>
      </c>
    </row>
    <row r="1123" spans="1:18" hidden="1" x14ac:dyDescent="0.25">
      <c r="A1123" s="46">
        <v>2020</v>
      </c>
      <c r="B1123" s="56">
        <v>456</v>
      </c>
      <c r="C1123" s="47" t="s">
        <v>97</v>
      </c>
      <c r="D1123" s="47" t="s">
        <v>51</v>
      </c>
      <c r="E1123" s="47" t="s">
        <v>46</v>
      </c>
      <c r="F1123" s="46">
        <v>755</v>
      </c>
      <c r="G1123" s="46">
        <v>60</v>
      </c>
      <c r="H1123" s="46">
        <v>175</v>
      </c>
      <c r="I1123" s="46">
        <v>215</v>
      </c>
      <c r="J1123" s="46">
        <v>45</v>
      </c>
      <c r="K1123" s="46">
        <v>20</v>
      </c>
      <c r="L1123" s="46">
        <v>235</v>
      </c>
      <c r="M1123">
        <f t="shared" si="103"/>
        <v>6.993862885318133E-3</v>
      </c>
      <c r="N1123">
        <f t="shared" si="104"/>
        <v>2.0398766748844555E-2</v>
      </c>
      <c r="O1123">
        <f t="shared" si="105"/>
        <v>2.5061342005723308E-2</v>
      </c>
      <c r="P1123">
        <f t="shared" si="106"/>
        <v>5.2453971639886002E-3</v>
      </c>
      <c r="Q1123">
        <f t="shared" si="107"/>
        <v>2.3312876284393778E-3</v>
      </c>
      <c r="R1123">
        <f t="shared" si="108"/>
        <v>2.7392629634162689E-2</v>
      </c>
    </row>
    <row r="1124" spans="1:18" hidden="1" x14ac:dyDescent="0.25">
      <c r="A1124" s="46">
        <v>2020</v>
      </c>
      <c r="B1124" s="56">
        <v>456</v>
      </c>
      <c r="C1124" s="47" t="s">
        <v>97</v>
      </c>
      <c r="D1124" s="47" t="s">
        <v>51</v>
      </c>
      <c r="E1124" s="47" t="s">
        <v>47</v>
      </c>
      <c r="F1124" s="46">
        <v>930</v>
      </c>
      <c r="G1124" s="46">
        <v>60</v>
      </c>
      <c r="H1124" s="46">
        <v>270</v>
      </c>
      <c r="I1124" s="46">
        <v>280</v>
      </c>
      <c r="J1124" s="46">
        <v>95</v>
      </c>
      <c r="K1124" s="46">
        <v>45</v>
      </c>
      <c r="L1124" s="46">
        <v>175</v>
      </c>
      <c r="M1124">
        <f t="shared" si="103"/>
        <v>6.993862885318133E-3</v>
      </c>
      <c r="N1124">
        <f t="shared" si="104"/>
        <v>3.1472382983931603E-2</v>
      </c>
      <c r="O1124">
        <f t="shared" si="105"/>
        <v>3.2638026798151289E-2</v>
      </c>
      <c r="P1124">
        <f t="shared" si="106"/>
        <v>1.1073616235087045E-2</v>
      </c>
      <c r="Q1124">
        <f t="shared" si="107"/>
        <v>5.2453971639886002E-3</v>
      </c>
      <c r="R1124">
        <f t="shared" si="108"/>
        <v>2.0398766748844555E-2</v>
      </c>
    </row>
    <row r="1125" spans="1:18" hidden="1" x14ac:dyDescent="0.25">
      <c r="A1125" s="46">
        <v>2020</v>
      </c>
      <c r="B1125" s="56">
        <v>456</v>
      </c>
      <c r="C1125" s="47" t="s">
        <v>97</v>
      </c>
      <c r="D1125" s="47" t="s">
        <v>51</v>
      </c>
      <c r="E1125" s="47" t="s">
        <v>48</v>
      </c>
      <c r="F1125" s="46">
        <v>3880</v>
      </c>
      <c r="G1125" s="46">
        <v>145</v>
      </c>
      <c r="H1125" s="46">
        <v>675</v>
      </c>
      <c r="I1125" s="46">
        <v>675</v>
      </c>
      <c r="J1125" s="46">
        <v>445</v>
      </c>
      <c r="K1125" s="46">
        <v>355</v>
      </c>
      <c r="L1125" s="46">
        <v>1585</v>
      </c>
      <c r="M1125">
        <f t="shared" si="103"/>
        <v>1.6901835306185491E-2</v>
      </c>
      <c r="N1125">
        <f t="shared" si="104"/>
        <v>7.8680957459829004E-2</v>
      </c>
      <c r="O1125">
        <f t="shared" si="105"/>
        <v>7.8680957459829004E-2</v>
      </c>
      <c r="P1125">
        <f t="shared" si="106"/>
        <v>5.1871149732776158E-2</v>
      </c>
      <c r="Q1125">
        <f t="shared" si="107"/>
        <v>4.1380355404798952E-2</v>
      </c>
      <c r="R1125">
        <f t="shared" si="108"/>
        <v>0.1847545445538207</v>
      </c>
    </row>
    <row r="1126" spans="1:18" hidden="1" x14ac:dyDescent="0.25">
      <c r="A1126" s="46">
        <v>2020</v>
      </c>
      <c r="B1126" s="56">
        <v>456</v>
      </c>
      <c r="C1126" s="47" t="s">
        <v>97</v>
      </c>
      <c r="D1126" s="47" t="s">
        <v>51</v>
      </c>
      <c r="E1126" s="47" t="s">
        <v>49</v>
      </c>
      <c r="F1126" s="46">
        <v>2635</v>
      </c>
      <c r="G1126" s="46">
        <v>45</v>
      </c>
      <c r="H1126" s="46">
        <v>225</v>
      </c>
      <c r="I1126" s="46">
        <v>215</v>
      </c>
      <c r="J1126" s="46">
        <v>155</v>
      </c>
      <c r="K1126" s="46">
        <v>150</v>
      </c>
      <c r="L1126" s="46">
        <v>1845</v>
      </c>
      <c r="M1126">
        <f t="shared" si="103"/>
        <v>5.2453971639886002E-3</v>
      </c>
      <c r="N1126">
        <f t="shared" si="104"/>
        <v>2.6226985819943E-2</v>
      </c>
      <c r="O1126">
        <f t="shared" si="105"/>
        <v>2.5061342005723308E-2</v>
      </c>
      <c r="P1126">
        <f t="shared" si="106"/>
        <v>1.806747912040518E-2</v>
      </c>
      <c r="Q1126">
        <f t="shared" si="107"/>
        <v>1.7484657213295333E-2</v>
      </c>
      <c r="R1126">
        <f t="shared" si="108"/>
        <v>0.21506128372353259</v>
      </c>
    </row>
    <row r="1127" spans="1:18" hidden="1" x14ac:dyDescent="0.25">
      <c r="A1127" s="46">
        <v>2020</v>
      </c>
      <c r="B1127" s="56">
        <v>456</v>
      </c>
      <c r="C1127" s="47" t="s">
        <v>97</v>
      </c>
      <c r="D1127" s="47" t="s">
        <v>51</v>
      </c>
      <c r="E1127" s="47" t="s">
        <v>50</v>
      </c>
      <c r="F1127" s="46">
        <v>1905</v>
      </c>
      <c r="G1127" s="46">
        <v>10</v>
      </c>
      <c r="H1127" s="46">
        <v>95</v>
      </c>
      <c r="I1127" s="46">
        <v>55</v>
      </c>
      <c r="J1127" s="46">
        <v>70</v>
      </c>
      <c r="K1127" s="46">
        <v>70</v>
      </c>
      <c r="L1127" s="46">
        <v>1605</v>
      </c>
      <c r="M1127">
        <f t="shared" si="103"/>
        <v>1.1656438142196889E-3</v>
      </c>
      <c r="N1127">
        <f t="shared" si="104"/>
        <v>1.1073616235087045E-2</v>
      </c>
      <c r="O1127">
        <f t="shared" si="105"/>
        <v>6.4110409782082893E-3</v>
      </c>
      <c r="P1127">
        <f t="shared" si="106"/>
        <v>8.1595066995378222E-3</v>
      </c>
      <c r="Q1127">
        <f t="shared" si="107"/>
        <v>8.1595066995378222E-3</v>
      </c>
      <c r="R1127">
        <f t="shared" si="108"/>
        <v>0.18708583218226008</v>
      </c>
    </row>
    <row r="1128" spans="1:18" hidden="1" x14ac:dyDescent="0.25">
      <c r="A1128" s="46">
        <v>2020</v>
      </c>
      <c r="B1128" s="56">
        <v>456</v>
      </c>
      <c r="C1128" s="47" t="s">
        <v>97</v>
      </c>
      <c r="D1128" s="47" t="s">
        <v>52</v>
      </c>
      <c r="E1128" s="47" t="s">
        <v>43</v>
      </c>
      <c r="F1128" s="46">
        <v>10135</v>
      </c>
      <c r="G1128" s="46">
        <v>375</v>
      </c>
      <c r="H1128" s="46">
        <v>1745</v>
      </c>
      <c r="I1128" s="46">
        <v>1300</v>
      </c>
      <c r="J1128" s="46">
        <v>835</v>
      </c>
      <c r="K1128" s="46">
        <v>735</v>
      </c>
      <c r="L1128" s="46">
        <v>5145</v>
      </c>
      <c r="M1128">
        <f t="shared" si="103"/>
        <v>4.371164303323833E-2</v>
      </c>
      <c r="N1128">
        <f t="shared" si="104"/>
        <v>0.20340484558133573</v>
      </c>
      <c r="O1128">
        <f t="shared" si="105"/>
        <v>0.15153369584855955</v>
      </c>
      <c r="P1128">
        <f t="shared" si="106"/>
        <v>9.7331258487344016E-2</v>
      </c>
      <c r="Q1128">
        <f t="shared" si="107"/>
        <v>8.5674820345147132E-2</v>
      </c>
      <c r="R1128">
        <f t="shared" si="108"/>
        <v>0.59972374241602999</v>
      </c>
    </row>
    <row r="1129" spans="1:18" hidden="1" x14ac:dyDescent="0.25">
      <c r="A1129" s="46">
        <v>2020</v>
      </c>
      <c r="B1129" s="56">
        <v>456</v>
      </c>
      <c r="C1129" s="47" t="s">
        <v>97</v>
      </c>
      <c r="D1129" s="47" t="s">
        <v>52</v>
      </c>
      <c r="E1129" s="47" t="s">
        <v>44</v>
      </c>
      <c r="F1129" s="46">
        <v>1495</v>
      </c>
      <c r="G1129" s="46">
        <v>130</v>
      </c>
      <c r="H1129" s="46">
        <v>505</v>
      </c>
      <c r="I1129" s="46">
        <v>355</v>
      </c>
      <c r="J1129" s="46">
        <v>175</v>
      </c>
      <c r="K1129" s="46">
        <v>110</v>
      </c>
      <c r="L1129" s="46">
        <v>220</v>
      </c>
      <c r="M1129">
        <f t="shared" si="103"/>
        <v>1.5153369584855955E-2</v>
      </c>
      <c r="N1129">
        <f t="shared" si="104"/>
        <v>5.8865012618094292E-2</v>
      </c>
      <c r="O1129">
        <f t="shared" si="105"/>
        <v>4.1380355404798952E-2</v>
      </c>
      <c r="P1129">
        <f t="shared" si="106"/>
        <v>2.0398766748844555E-2</v>
      </c>
      <c r="Q1129">
        <f t="shared" si="107"/>
        <v>1.2822081956416579E-2</v>
      </c>
      <c r="R1129">
        <f t="shared" si="108"/>
        <v>2.5644163912833157E-2</v>
      </c>
    </row>
    <row r="1130" spans="1:18" hidden="1" x14ac:dyDescent="0.25">
      <c r="A1130" s="46">
        <v>2020</v>
      </c>
      <c r="B1130" s="56">
        <v>456</v>
      </c>
      <c r="C1130" s="47" t="s">
        <v>97</v>
      </c>
      <c r="D1130" s="47" t="s">
        <v>52</v>
      </c>
      <c r="E1130" s="47" t="s">
        <v>45</v>
      </c>
      <c r="F1130" s="46">
        <v>485</v>
      </c>
      <c r="G1130" s="46">
        <v>15</v>
      </c>
      <c r="H1130" s="46">
        <v>85</v>
      </c>
      <c r="I1130" s="46">
        <v>75</v>
      </c>
      <c r="J1130" s="46">
        <v>45</v>
      </c>
      <c r="K1130" s="46">
        <v>40</v>
      </c>
      <c r="L1130" s="46">
        <v>225</v>
      </c>
      <c r="M1130">
        <f t="shared" si="103"/>
        <v>1.7484657213295333E-3</v>
      </c>
      <c r="N1130">
        <f t="shared" si="104"/>
        <v>9.9079724208673559E-3</v>
      </c>
      <c r="O1130">
        <f t="shared" si="105"/>
        <v>8.7423286066476667E-3</v>
      </c>
      <c r="P1130">
        <f t="shared" si="106"/>
        <v>5.2453971639886002E-3</v>
      </c>
      <c r="Q1130">
        <f t="shared" si="107"/>
        <v>4.6625752568787556E-3</v>
      </c>
      <c r="R1130">
        <f t="shared" si="108"/>
        <v>2.6226985819943E-2</v>
      </c>
    </row>
    <row r="1131" spans="1:18" hidden="1" x14ac:dyDescent="0.25">
      <c r="A1131" s="46">
        <v>2020</v>
      </c>
      <c r="B1131" s="56">
        <v>456</v>
      </c>
      <c r="C1131" s="47" t="s">
        <v>97</v>
      </c>
      <c r="D1131" s="47" t="s">
        <v>52</v>
      </c>
      <c r="E1131" s="47" t="s">
        <v>46</v>
      </c>
      <c r="F1131" s="46">
        <v>585</v>
      </c>
      <c r="G1131" s="46">
        <v>35</v>
      </c>
      <c r="H1131" s="46">
        <v>170</v>
      </c>
      <c r="I1131" s="46">
        <v>85</v>
      </c>
      <c r="J1131" s="46">
        <v>40</v>
      </c>
      <c r="K1131" s="46">
        <v>25</v>
      </c>
      <c r="L1131" s="46">
        <v>230</v>
      </c>
      <c r="M1131">
        <f t="shared" si="103"/>
        <v>4.0797533497689111E-3</v>
      </c>
      <c r="N1131">
        <f t="shared" si="104"/>
        <v>1.9815944841734712E-2</v>
      </c>
      <c r="O1131">
        <f t="shared" si="105"/>
        <v>9.9079724208673559E-3</v>
      </c>
      <c r="P1131">
        <f t="shared" si="106"/>
        <v>4.6625752568787556E-3</v>
      </c>
      <c r="Q1131">
        <f t="shared" si="107"/>
        <v>2.914109535549222E-3</v>
      </c>
      <c r="R1131">
        <f t="shared" si="108"/>
        <v>2.6809807727052843E-2</v>
      </c>
    </row>
    <row r="1132" spans="1:18" hidden="1" x14ac:dyDescent="0.25">
      <c r="A1132" s="46">
        <v>2020</v>
      </c>
      <c r="B1132" s="56">
        <v>456</v>
      </c>
      <c r="C1132" s="47" t="s">
        <v>97</v>
      </c>
      <c r="D1132" s="47" t="s">
        <v>52</v>
      </c>
      <c r="E1132" s="47" t="s">
        <v>47</v>
      </c>
      <c r="F1132" s="46">
        <v>725</v>
      </c>
      <c r="G1132" s="46">
        <v>50</v>
      </c>
      <c r="H1132" s="46">
        <v>255</v>
      </c>
      <c r="I1132" s="46">
        <v>135</v>
      </c>
      <c r="J1132" s="46">
        <v>85</v>
      </c>
      <c r="K1132" s="46">
        <v>40</v>
      </c>
      <c r="L1132" s="46">
        <v>165</v>
      </c>
      <c r="M1132">
        <f t="shared" si="103"/>
        <v>5.8282190710984439E-3</v>
      </c>
      <c r="N1132">
        <f t="shared" si="104"/>
        <v>2.9723917262602068E-2</v>
      </c>
      <c r="O1132">
        <f t="shared" si="105"/>
        <v>1.5736191491965801E-2</v>
      </c>
      <c r="P1132">
        <f t="shared" si="106"/>
        <v>9.9079724208673559E-3</v>
      </c>
      <c r="Q1132">
        <f t="shared" si="107"/>
        <v>4.6625752568787556E-3</v>
      </c>
      <c r="R1132">
        <f t="shared" si="108"/>
        <v>1.9233122934624865E-2</v>
      </c>
    </row>
    <row r="1133" spans="1:18" hidden="1" x14ac:dyDescent="0.25">
      <c r="A1133" s="46">
        <v>2020</v>
      </c>
      <c r="B1133" s="56">
        <v>456</v>
      </c>
      <c r="C1133" s="47" t="s">
        <v>97</v>
      </c>
      <c r="D1133" s="47" t="s">
        <v>52</v>
      </c>
      <c r="E1133" s="47" t="s">
        <v>48</v>
      </c>
      <c r="F1133" s="46">
        <v>3110</v>
      </c>
      <c r="G1133" s="46">
        <v>90</v>
      </c>
      <c r="H1133" s="46">
        <v>505</v>
      </c>
      <c r="I1133" s="46">
        <v>460</v>
      </c>
      <c r="J1133" s="46">
        <v>310</v>
      </c>
      <c r="K1133" s="46">
        <v>305</v>
      </c>
      <c r="L1133" s="46">
        <v>1440</v>
      </c>
      <c r="M1133">
        <f t="shared" si="103"/>
        <v>1.04907943279772E-2</v>
      </c>
      <c r="N1133">
        <f t="shared" si="104"/>
        <v>5.8865012618094292E-2</v>
      </c>
      <c r="O1133">
        <f t="shared" si="105"/>
        <v>5.3619615454105686E-2</v>
      </c>
      <c r="P1133">
        <f t="shared" si="106"/>
        <v>3.613495824081036E-2</v>
      </c>
      <c r="Q1133">
        <f t="shared" si="107"/>
        <v>3.555213633370051E-2</v>
      </c>
      <c r="R1133">
        <f t="shared" si="108"/>
        <v>0.16785270924763521</v>
      </c>
    </row>
    <row r="1134" spans="1:18" hidden="1" x14ac:dyDescent="0.25">
      <c r="A1134" s="46">
        <v>2020</v>
      </c>
      <c r="B1134" s="56">
        <v>456</v>
      </c>
      <c r="C1134" s="47" t="s">
        <v>97</v>
      </c>
      <c r="D1134" s="47" t="s">
        <v>52</v>
      </c>
      <c r="E1134" s="47" t="s">
        <v>49</v>
      </c>
      <c r="F1134" s="46">
        <v>2120</v>
      </c>
      <c r="G1134" s="46">
        <v>40</v>
      </c>
      <c r="H1134" s="46">
        <v>165</v>
      </c>
      <c r="I1134" s="46">
        <v>140</v>
      </c>
      <c r="J1134" s="46">
        <v>120</v>
      </c>
      <c r="K1134" s="46">
        <v>145</v>
      </c>
      <c r="L1134" s="46">
        <v>1505</v>
      </c>
      <c r="M1134">
        <f t="shared" si="103"/>
        <v>4.6625752568787556E-3</v>
      </c>
      <c r="N1134">
        <f t="shared" si="104"/>
        <v>1.9233122934624865E-2</v>
      </c>
      <c r="O1134">
        <f t="shared" si="105"/>
        <v>1.6319013399075644E-2</v>
      </c>
      <c r="P1134">
        <f t="shared" si="106"/>
        <v>1.3987725770636266E-2</v>
      </c>
      <c r="Q1134">
        <f t="shared" si="107"/>
        <v>1.6901835306185491E-2</v>
      </c>
      <c r="R1134">
        <f t="shared" si="108"/>
        <v>0.17542939404006319</v>
      </c>
    </row>
    <row r="1135" spans="1:18" hidden="1" x14ac:dyDescent="0.25">
      <c r="A1135" s="46">
        <v>2020</v>
      </c>
      <c r="B1135" s="56">
        <v>456</v>
      </c>
      <c r="C1135" s="47" t="s">
        <v>97</v>
      </c>
      <c r="D1135" s="47" t="s">
        <v>52</v>
      </c>
      <c r="E1135" s="47" t="s">
        <v>50</v>
      </c>
      <c r="F1135" s="46">
        <v>1615</v>
      </c>
      <c r="G1135" s="46">
        <v>10</v>
      </c>
      <c r="H1135" s="46">
        <v>65</v>
      </c>
      <c r="I1135" s="46">
        <v>50</v>
      </c>
      <c r="J1135" s="46">
        <v>60</v>
      </c>
      <c r="K1135" s="46">
        <v>70</v>
      </c>
      <c r="L1135" s="46">
        <v>1365</v>
      </c>
      <c r="M1135">
        <f t="shared" si="103"/>
        <v>1.1656438142196889E-3</v>
      </c>
      <c r="N1135">
        <f t="shared" si="104"/>
        <v>7.5766847924279776E-3</v>
      </c>
      <c r="O1135">
        <f t="shared" si="105"/>
        <v>5.8282190710984439E-3</v>
      </c>
      <c r="P1135">
        <f t="shared" si="106"/>
        <v>6.993862885318133E-3</v>
      </c>
      <c r="Q1135">
        <f t="shared" si="107"/>
        <v>8.1595066995378222E-3</v>
      </c>
      <c r="R1135">
        <f t="shared" si="108"/>
        <v>0.15911038064098754</v>
      </c>
    </row>
    <row r="1136" spans="1:18" x14ac:dyDescent="0.25">
      <c r="A1136" s="46">
        <v>2020</v>
      </c>
      <c r="B1136" s="56">
        <v>457</v>
      </c>
      <c r="C1136" s="47" t="s">
        <v>98</v>
      </c>
      <c r="D1136" s="47" t="s">
        <v>42</v>
      </c>
      <c r="E1136" s="47" t="s">
        <v>43</v>
      </c>
      <c r="F1136" s="46">
        <v>15200</v>
      </c>
      <c r="G1136" s="46">
        <v>990</v>
      </c>
      <c r="H1136" s="46">
        <v>3530</v>
      </c>
      <c r="I1136" s="46">
        <v>3445</v>
      </c>
      <c r="J1136" s="46">
        <v>1460</v>
      </c>
      <c r="K1136" s="46">
        <v>845</v>
      </c>
      <c r="L1136" s="46">
        <v>4930</v>
      </c>
      <c r="M1136">
        <f t="shared" si="103"/>
        <v>0.1153987376077492</v>
      </c>
      <c r="N1136">
        <f t="shared" si="104"/>
        <v>0.4114722664195502</v>
      </c>
      <c r="O1136">
        <f t="shared" si="105"/>
        <v>0.40156429399868288</v>
      </c>
      <c r="P1136">
        <f t="shared" si="106"/>
        <v>0.17018399687607458</v>
      </c>
      <c r="Q1136">
        <f t="shared" si="107"/>
        <v>9.8496902301563716E-2</v>
      </c>
      <c r="R1136">
        <f t="shared" si="108"/>
        <v>0.5746624004103067</v>
      </c>
    </row>
    <row r="1137" spans="1:18" hidden="1" x14ac:dyDescent="0.25">
      <c r="A1137" s="46">
        <v>2020</v>
      </c>
      <c r="B1137" s="56">
        <v>457</v>
      </c>
      <c r="C1137" s="47" t="s">
        <v>98</v>
      </c>
      <c r="D1137" s="47" t="s">
        <v>42</v>
      </c>
      <c r="E1137" s="47" t="s">
        <v>44</v>
      </c>
      <c r="F1137" s="46">
        <v>2980</v>
      </c>
      <c r="G1137" s="46">
        <v>335</v>
      </c>
      <c r="H1137" s="46">
        <v>1130</v>
      </c>
      <c r="I1137" s="46">
        <v>865</v>
      </c>
      <c r="J1137" s="46">
        <v>295</v>
      </c>
      <c r="K1137" s="46">
        <v>130</v>
      </c>
      <c r="L1137" s="46">
        <v>225</v>
      </c>
      <c r="M1137">
        <f t="shared" si="103"/>
        <v>3.9049067776359581E-2</v>
      </c>
      <c r="N1137">
        <f t="shared" si="104"/>
        <v>0.13171775100682484</v>
      </c>
      <c r="O1137">
        <f t="shared" si="105"/>
        <v>0.10082818993000309</v>
      </c>
      <c r="P1137">
        <f t="shared" si="106"/>
        <v>3.4386492519480824E-2</v>
      </c>
      <c r="Q1137">
        <f t="shared" si="107"/>
        <v>1.5153369584855955E-2</v>
      </c>
      <c r="R1137">
        <f t="shared" si="108"/>
        <v>2.6226985819943E-2</v>
      </c>
    </row>
    <row r="1138" spans="1:18" hidden="1" x14ac:dyDescent="0.25">
      <c r="A1138" s="46">
        <v>2020</v>
      </c>
      <c r="B1138" s="56">
        <v>457</v>
      </c>
      <c r="C1138" s="47" t="s">
        <v>98</v>
      </c>
      <c r="D1138" s="47" t="s">
        <v>42</v>
      </c>
      <c r="E1138" s="47" t="s">
        <v>45</v>
      </c>
      <c r="F1138" s="46">
        <v>815</v>
      </c>
      <c r="G1138" s="46">
        <v>70</v>
      </c>
      <c r="H1138" s="46">
        <v>150</v>
      </c>
      <c r="I1138" s="46">
        <v>235</v>
      </c>
      <c r="J1138" s="46">
        <v>60</v>
      </c>
      <c r="K1138" s="46">
        <v>50</v>
      </c>
      <c r="L1138" s="46">
        <v>245</v>
      </c>
      <c r="M1138">
        <f t="shared" si="103"/>
        <v>8.1595066995378222E-3</v>
      </c>
      <c r="N1138">
        <f t="shared" si="104"/>
        <v>1.7484657213295333E-2</v>
      </c>
      <c r="O1138">
        <f t="shared" si="105"/>
        <v>2.7392629634162689E-2</v>
      </c>
      <c r="P1138">
        <f t="shared" si="106"/>
        <v>6.993862885318133E-3</v>
      </c>
      <c r="Q1138">
        <f t="shared" si="107"/>
        <v>5.8282190710984439E-3</v>
      </c>
      <c r="R1138">
        <f t="shared" si="108"/>
        <v>2.8558273448382378E-2</v>
      </c>
    </row>
    <row r="1139" spans="1:18" hidden="1" x14ac:dyDescent="0.25">
      <c r="A1139" s="46">
        <v>2020</v>
      </c>
      <c r="B1139" s="56">
        <v>457</v>
      </c>
      <c r="C1139" s="47" t="s">
        <v>98</v>
      </c>
      <c r="D1139" s="47" t="s">
        <v>42</v>
      </c>
      <c r="E1139" s="47" t="s">
        <v>46</v>
      </c>
      <c r="F1139" s="46">
        <v>1155</v>
      </c>
      <c r="G1139" s="46">
        <v>100</v>
      </c>
      <c r="H1139" s="46">
        <v>375</v>
      </c>
      <c r="I1139" s="46">
        <v>375</v>
      </c>
      <c r="J1139" s="46">
        <v>60</v>
      </c>
      <c r="K1139" s="46">
        <v>30</v>
      </c>
      <c r="L1139" s="46">
        <v>210</v>
      </c>
      <c r="M1139">
        <f t="shared" si="103"/>
        <v>1.1656438142196888E-2</v>
      </c>
      <c r="N1139">
        <f t="shared" si="104"/>
        <v>4.371164303323833E-2</v>
      </c>
      <c r="O1139">
        <f t="shared" si="105"/>
        <v>4.371164303323833E-2</v>
      </c>
      <c r="P1139">
        <f t="shared" si="106"/>
        <v>6.993862885318133E-3</v>
      </c>
      <c r="Q1139">
        <f t="shared" si="107"/>
        <v>3.4969314426590665E-3</v>
      </c>
      <c r="R1139">
        <f t="shared" si="108"/>
        <v>2.4478520098613465E-2</v>
      </c>
    </row>
    <row r="1140" spans="1:18" hidden="1" x14ac:dyDescent="0.25">
      <c r="A1140" s="46">
        <v>2020</v>
      </c>
      <c r="B1140" s="56">
        <v>457</v>
      </c>
      <c r="C1140" s="47" t="s">
        <v>98</v>
      </c>
      <c r="D1140" s="47" t="s">
        <v>42</v>
      </c>
      <c r="E1140" s="47" t="s">
        <v>47</v>
      </c>
      <c r="F1140" s="46">
        <v>1365</v>
      </c>
      <c r="G1140" s="46">
        <v>120</v>
      </c>
      <c r="H1140" s="46">
        <v>440</v>
      </c>
      <c r="I1140" s="46">
        <v>415</v>
      </c>
      <c r="J1140" s="46">
        <v>160</v>
      </c>
      <c r="K1140" s="46">
        <v>40</v>
      </c>
      <c r="L1140" s="46">
        <v>185</v>
      </c>
      <c r="M1140">
        <f t="shared" si="103"/>
        <v>1.3987725770636266E-2</v>
      </c>
      <c r="N1140">
        <f t="shared" si="104"/>
        <v>5.1288327825666315E-2</v>
      </c>
      <c r="O1140">
        <f t="shared" si="105"/>
        <v>4.8374218290117087E-2</v>
      </c>
      <c r="P1140">
        <f t="shared" si="106"/>
        <v>1.8650301027515023E-2</v>
      </c>
      <c r="Q1140">
        <f t="shared" si="107"/>
        <v>4.6625752568787556E-3</v>
      </c>
      <c r="R1140">
        <f t="shared" si="108"/>
        <v>2.1564410563064244E-2</v>
      </c>
    </row>
    <row r="1141" spans="1:18" hidden="1" x14ac:dyDescent="0.25">
      <c r="A1141" s="46">
        <v>2020</v>
      </c>
      <c r="B1141" s="56">
        <v>457</v>
      </c>
      <c r="C1141" s="47" t="s">
        <v>98</v>
      </c>
      <c r="D1141" s="47" t="s">
        <v>42</v>
      </c>
      <c r="E1141" s="47" t="s">
        <v>48</v>
      </c>
      <c r="F1141" s="46">
        <v>5265</v>
      </c>
      <c r="G1141" s="46">
        <v>270</v>
      </c>
      <c r="H1141" s="46">
        <v>1110</v>
      </c>
      <c r="I1141" s="46">
        <v>1220</v>
      </c>
      <c r="J1141" s="46">
        <v>640</v>
      </c>
      <c r="K1141" s="46">
        <v>410</v>
      </c>
      <c r="L1141" s="46">
        <v>1615</v>
      </c>
      <c r="M1141">
        <f t="shared" si="103"/>
        <v>3.1472382983931603E-2</v>
      </c>
      <c r="N1141">
        <f t="shared" si="104"/>
        <v>0.12938646337838547</v>
      </c>
      <c r="O1141">
        <f t="shared" si="105"/>
        <v>0.14220854533480204</v>
      </c>
      <c r="P1141">
        <f t="shared" si="106"/>
        <v>7.460120411006009E-2</v>
      </c>
      <c r="Q1141">
        <f t="shared" si="107"/>
        <v>4.7791396383007244E-2</v>
      </c>
      <c r="R1141">
        <f t="shared" si="108"/>
        <v>0.18825147599647976</v>
      </c>
    </row>
    <row r="1142" spans="1:18" hidden="1" x14ac:dyDescent="0.25">
      <c r="A1142" s="46">
        <v>2020</v>
      </c>
      <c r="B1142" s="56">
        <v>457</v>
      </c>
      <c r="C1142" s="47" t="s">
        <v>98</v>
      </c>
      <c r="D1142" s="47" t="s">
        <v>42</v>
      </c>
      <c r="E1142" s="47" t="s">
        <v>49</v>
      </c>
      <c r="F1142" s="46">
        <v>2425</v>
      </c>
      <c r="G1142" s="46">
        <v>80</v>
      </c>
      <c r="H1142" s="46">
        <v>260</v>
      </c>
      <c r="I1142" s="46">
        <v>285</v>
      </c>
      <c r="J1142" s="46">
        <v>195</v>
      </c>
      <c r="K1142" s="46">
        <v>120</v>
      </c>
      <c r="L1142" s="46">
        <v>1485</v>
      </c>
      <c r="M1142">
        <f t="shared" si="103"/>
        <v>9.3251505137575113E-3</v>
      </c>
      <c r="N1142">
        <f t="shared" si="104"/>
        <v>3.030673916971191E-2</v>
      </c>
      <c r="O1142">
        <f t="shared" si="105"/>
        <v>3.3220848705261131E-2</v>
      </c>
      <c r="P1142">
        <f t="shared" si="106"/>
        <v>2.2730054377283933E-2</v>
      </c>
      <c r="Q1142">
        <f t="shared" si="107"/>
        <v>1.3987725770636266E-2</v>
      </c>
      <c r="R1142">
        <f t="shared" si="108"/>
        <v>0.17309810641162382</v>
      </c>
    </row>
    <row r="1143" spans="1:18" hidden="1" x14ac:dyDescent="0.25">
      <c r="A1143" s="46">
        <v>2020</v>
      </c>
      <c r="B1143" s="56">
        <v>457</v>
      </c>
      <c r="C1143" s="47" t="s">
        <v>98</v>
      </c>
      <c r="D1143" s="47" t="s">
        <v>42</v>
      </c>
      <c r="E1143" s="47" t="s">
        <v>50</v>
      </c>
      <c r="F1143" s="46">
        <v>1195</v>
      </c>
      <c r="G1143" s="46">
        <v>15</v>
      </c>
      <c r="H1143" s="46">
        <v>65</v>
      </c>
      <c r="I1143" s="46">
        <v>50</v>
      </c>
      <c r="J1143" s="46">
        <v>45</v>
      </c>
      <c r="K1143" s="46">
        <v>60</v>
      </c>
      <c r="L1143" s="46">
        <v>965</v>
      </c>
      <c r="M1143">
        <f t="shared" si="103"/>
        <v>1.7484657213295333E-3</v>
      </c>
      <c r="N1143">
        <f t="shared" si="104"/>
        <v>7.5766847924279776E-3</v>
      </c>
      <c r="O1143">
        <f t="shared" si="105"/>
        <v>5.8282190710984439E-3</v>
      </c>
      <c r="P1143">
        <f t="shared" si="106"/>
        <v>5.2453971639886002E-3</v>
      </c>
      <c r="Q1143">
        <f t="shared" si="107"/>
        <v>6.993862885318133E-3</v>
      </c>
      <c r="R1143">
        <f t="shared" si="108"/>
        <v>0.11248462807219997</v>
      </c>
    </row>
    <row r="1144" spans="1:18" hidden="1" x14ac:dyDescent="0.25">
      <c r="A1144" s="46">
        <v>2020</v>
      </c>
      <c r="B1144" s="56">
        <v>457</v>
      </c>
      <c r="C1144" s="47" t="s">
        <v>98</v>
      </c>
      <c r="D1144" s="47" t="s">
        <v>51</v>
      </c>
      <c r="E1144" s="47" t="s">
        <v>43</v>
      </c>
      <c r="F1144" s="46">
        <v>8535</v>
      </c>
      <c r="G1144" s="46">
        <v>555</v>
      </c>
      <c r="H1144" s="46">
        <v>2030</v>
      </c>
      <c r="I1144" s="46">
        <v>2070</v>
      </c>
      <c r="J1144" s="46">
        <v>850</v>
      </c>
      <c r="K1144" s="46">
        <v>490</v>
      </c>
      <c r="L1144" s="46">
        <v>2540</v>
      </c>
      <c r="M1144">
        <f t="shared" si="103"/>
        <v>6.4693231689192734E-2</v>
      </c>
      <c r="N1144">
        <f t="shared" si="104"/>
        <v>0.23662569428659685</v>
      </c>
      <c r="O1144">
        <f t="shared" si="105"/>
        <v>0.2412882695434756</v>
      </c>
      <c r="P1144">
        <f t="shared" si="106"/>
        <v>9.9079724208673545E-2</v>
      </c>
      <c r="Q1144">
        <f t="shared" si="107"/>
        <v>5.7116546896764757E-2</v>
      </c>
      <c r="R1144">
        <f t="shared" si="108"/>
        <v>0.29607352881180099</v>
      </c>
    </row>
    <row r="1145" spans="1:18" hidden="1" x14ac:dyDescent="0.25">
      <c r="A1145" s="46">
        <v>2020</v>
      </c>
      <c r="B1145" s="56">
        <v>457</v>
      </c>
      <c r="C1145" s="47" t="s">
        <v>98</v>
      </c>
      <c r="D1145" s="47" t="s">
        <v>51</v>
      </c>
      <c r="E1145" s="47" t="s">
        <v>44</v>
      </c>
      <c r="F1145" s="46">
        <v>1570</v>
      </c>
      <c r="G1145" s="46">
        <v>165</v>
      </c>
      <c r="H1145" s="46">
        <v>605</v>
      </c>
      <c r="I1145" s="46">
        <v>475</v>
      </c>
      <c r="J1145" s="46">
        <v>145</v>
      </c>
      <c r="K1145" s="46">
        <v>75</v>
      </c>
      <c r="L1145" s="46">
        <v>105</v>
      </c>
      <c r="M1145">
        <f t="shared" si="103"/>
        <v>1.9233122934624865E-2</v>
      </c>
      <c r="N1145">
        <f t="shared" si="104"/>
        <v>7.0521450760291177E-2</v>
      </c>
      <c r="O1145">
        <f t="shared" si="105"/>
        <v>5.5368081175435221E-2</v>
      </c>
      <c r="P1145">
        <f t="shared" si="106"/>
        <v>1.6901835306185491E-2</v>
      </c>
      <c r="Q1145">
        <f t="shared" si="107"/>
        <v>8.7423286066476667E-3</v>
      </c>
      <c r="R1145">
        <f t="shared" si="108"/>
        <v>1.2239260049306732E-2</v>
      </c>
    </row>
    <row r="1146" spans="1:18" hidden="1" x14ac:dyDescent="0.25">
      <c r="A1146" s="46">
        <v>2020</v>
      </c>
      <c r="B1146" s="56">
        <v>457</v>
      </c>
      <c r="C1146" s="47" t="s">
        <v>98</v>
      </c>
      <c r="D1146" s="47" t="s">
        <v>51</v>
      </c>
      <c r="E1146" s="47" t="s">
        <v>45</v>
      </c>
      <c r="F1146" s="46">
        <v>425</v>
      </c>
      <c r="G1146" s="46">
        <v>40</v>
      </c>
      <c r="H1146" s="46">
        <v>90</v>
      </c>
      <c r="I1146" s="46">
        <v>115</v>
      </c>
      <c r="J1146" s="46">
        <v>30</v>
      </c>
      <c r="K1146" s="46">
        <v>25</v>
      </c>
      <c r="L1146" s="46">
        <v>125</v>
      </c>
      <c r="M1146">
        <f t="shared" si="103"/>
        <v>4.6625752568787556E-3</v>
      </c>
      <c r="N1146">
        <f t="shared" si="104"/>
        <v>1.04907943279772E-2</v>
      </c>
      <c r="O1146">
        <f t="shared" si="105"/>
        <v>1.3404903863526422E-2</v>
      </c>
      <c r="P1146">
        <f t="shared" si="106"/>
        <v>3.4969314426590665E-3</v>
      </c>
      <c r="Q1146">
        <f t="shared" si="107"/>
        <v>2.914109535549222E-3</v>
      </c>
      <c r="R1146">
        <f t="shared" si="108"/>
        <v>1.4570547677746111E-2</v>
      </c>
    </row>
    <row r="1147" spans="1:18" hidden="1" x14ac:dyDescent="0.25">
      <c r="A1147" s="46">
        <v>2020</v>
      </c>
      <c r="B1147" s="56">
        <v>457</v>
      </c>
      <c r="C1147" s="47" t="s">
        <v>98</v>
      </c>
      <c r="D1147" s="47" t="s">
        <v>51</v>
      </c>
      <c r="E1147" s="47" t="s">
        <v>46</v>
      </c>
      <c r="F1147" s="46">
        <v>705</v>
      </c>
      <c r="G1147" s="46">
        <v>60</v>
      </c>
      <c r="H1147" s="46">
        <v>220</v>
      </c>
      <c r="I1147" s="46">
        <v>280</v>
      </c>
      <c r="J1147" s="46">
        <v>30</v>
      </c>
      <c r="K1147" s="46">
        <v>15</v>
      </c>
      <c r="L1147" s="46">
        <v>100</v>
      </c>
      <c r="M1147">
        <f t="shared" si="103"/>
        <v>6.993862885318133E-3</v>
      </c>
      <c r="N1147">
        <f t="shared" si="104"/>
        <v>2.5644163912833157E-2</v>
      </c>
      <c r="O1147">
        <f t="shared" si="105"/>
        <v>3.2638026798151289E-2</v>
      </c>
      <c r="P1147">
        <f t="shared" si="106"/>
        <v>3.4969314426590665E-3</v>
      </c>
      <c r="Q1147">
        <f t="shared" si="107"/>
        <v>1.7484657213295333E-3</v>
      </c>
      <c r="R1147">
        <f t="shared" si="108"/>
        <v>1.1656438142196888E-2</v>
      </c>
    </row>
    <row r="1148" spans="1:18" hidden="1" x14ac:dyDescent="0.25">
      <c r="A1148" s="46">
        <v>2020</v>
      </c>
      <c r="B1148" s="56">
        <v>457</v>
      </c>
      <c r="C1148" s="47" t="s">
        <v>98</v>
      </c>
      <c r="D1148" s="47" t="s">
        <v>51</v>
      </c>
      <c r="E1148" s="47" t="s">
        <v>47</v>
      </c>
      <c r="F1148" s="46">
        <v>800</v>
      </c>
      <c r="G1148" s="46">
        <v>65</v>
      </c>
      <c r="H1148" s="46">
        <v>265</v>
      </c>
      <c r="I1148" s="46">
        <v>260</v>
      </c>
      <c r="J1148" s="46">
        <v>100</v>
      </c>
      <c r="K1148" s="46">
        <v>25</v>
      </c>
      <c r="L1148" s="46">
        <v>90</v>
      </c>
      <c r="M1148">
        <f t="shared" si="103"/>
        <v>7.5766847924279776E-3</v>
      </c>
      <c r="N1148">
        <f t="shared" si="104"/>
        <v>3.0889561076821757E-2</v>
      </c>
      <c r="O1148">
        <f t="shared" si="105"/>
        <v>3.030673916971191E-2</v>
      </c>
      <c r="P1148">
        <f t="shared" si="106"/>
        <v>1.1656438142196888E-2</v>
      </c>
      <c r="Q1148">
        <f t="shared" si="107"/>
        <v>2.914109535549222E-3</v>
      </c>
      <c r="R1148">
        <f t="shared" si="108"/>
        <v>1.04907943279772E-2</v>
      </c>
    </row>
    <row r="1149" spans="1:18" hidden="1" x14ac:dyDescent="0.25">
      <c r="A1149" s="46">
        <v>2020</v>
      </c>
      <c r="B1149" s="56">
        <v>457</v>
      </c>
      <c r="C1149" s="47" t="s">
        <v>98</v>
      </c>
      <c r="D1149" s="47" t="s">
        <v>51</v>
      </c>
      <c r="E1149" s="47" t="s">
        <v>48</v>
      </c>
      <c r="F1149" s="46">
        <v>3060</v>
      </c>
      <c r="G1149" s="46">
        <v>170</v>
      </c>
      <c r="H1149" s="46">
        <v>670</v>
      </c>
      <c r="I1149" s="46">
        <v>755</v>
      </c>
      <c r="J1149" s="46">
        <v>400</v>
      </c>
      <c r="K1149" s="46">
        <v>250</v>
      </c>
      <c r="L1149" s="46">
        <v>815</v>
      </c>
      <c r="M1149">
        <f t="shared" si="103"/>
        <v>1.9815944841734712E-2</v>
      </c>
      <c r="N1149">
        <f t="shared" si="104"/>
        <v>7.8098135552719161E-2</v>
      </c>
      <c r="O1149">
        <f t="shared" si="105"/>
        <v>8.8006107973586503E-2</v>
      </c>
      <c r="P1149">
        <f t="shared" si="106"/>
        <v>4.6625752568787551E-2</v>
      </c>
      <c r="Q1149">
        <f t="shared" si="107"/>
        <v>2.9141095355492221E-2</v>
      </c>
      <c r="R1149">
        <f t="shared" si="108"/>
        <v>9.4999970858904645E-2</v>
      </c>
    </row>
    <row r="1150" spans="1:18" hidden="1" x14ac:dyDescent="0.25">
      <c r="A1150" s="46">
        <v>2020</v>
      </c>
      <c r="B1150" s="56">
        <v>457</v>
      </c>
      <c r="C1150" s="47" t="s">
        <v>98</v>
      </c>
      <c r="D1150" s="47" t="s">
        <v>51</v>
      </c>
      <c r="E1150" s="47" t="s">
        <v>49</v>
      </c>
      <c r="F1150" s="46">
        <v>1335</v>
      </c>
      <c r="G1150" s="46">
        <v>45</v>
      </c>
      <c r="H1150" s="46">
        <v>140</v>
      </c>
      <c r="I1150" s="46">
        <v>165</v>
      </c>
      <c r="J1150" s="46">
        <v>115</v>
      </c>
      <c r="K1150" s="46">
        <v>65</v>
      </c>
      <c r="L1150" s="46">
        <v>800</v>
      </c>
      <c r="M1150">
        <f t="shared" si="103"/>
        <v>5.2453971639886002E-3</v>
      </c>
      <c r="N1150">
        <f t="shared" si="104"/>
        <v>1.6319013399075644E-2</v>
      </c>
      <c r="O1150">
        <f t="shared" si="105"/>
        <v>1.9233122934624865E-2</v>
      </c>
      <c r="P1150">
        <f t="shared" si="106"/>
        <v>1.3404903863526422E-2</v>
      </c>
      <c r="Q1150">
        <f t="shared" si="107"/>
        <v>7.5766847924279776E-3</v>
      </c>
      <c r="R1150">
        <f t="shared" si="108"/>
        <v>9.3251505137575103E-2</v>
      </c>
    </row>
    <row r="1151" spans="1:18" hidden="1" x14ac:dyDescent="0.25">
      <c r="A1151" s="46">
        <v>2020</v>
      </c>
      <c r="B1151" s="56">
        <v>457</v>
      </c>
      <c r="C1151" s="47" t="s">
        <v>98</v>
      </c>
      <c r="D1151" s="47" t="s">
        <v>51</v>
      </c>
      <c r="E1151" s="47" t="s">
        <v>50</v>
      </c>
      <c r="F1151" s="46">
        <v>640</v>
      </c>
      <c r="G1151" s="46">
        <v>10</v>
      </c>
      <c r="H1151" s="46">
        <v>40</v>
      </c>
      <c r="I1151" s="46">
        <v>25</v>
      </c>
      <c r="J1151" s="46">
        <v>25</v>
      </c>
      <c r="K1151" s="46">
        <v>30</v>
      </c>
      <c r="L1151" s="46">
        <v>510</v>
      </c>
      <c r="M1151">
        <f t="shared" si="103"/>
        <v>1.1656438142196889E-3</v>
      </c>
      <c r="N1151">
        <f t="shared" si="104"/>
        <v>4.6625752568787556E-3</v>
      </c>
      <c r="O1151">
        <f t="shared" si="105"/>
        <v>2.914109535549222E-3</v>
      </c>
      <c r="P1151">
        <f t="shared" si="106"/>
        <v>2.914109535549222E-3</v>
      </c>
      <c r="Q1151">
        <f t="shared" si="107"/>
        <v>3.4969314426590665E-3</v>
      </c>
      <c r="R1151">
        <f t="shared" si="108"/>
        <v>5.9447834525204135E-2</v>
      </c>
    </row>
    <row r="1152" spans="1:18" hidden="1" x14ac:dyDescent="0.25">
      <c r="A1152" s="46">
        <v>2020</v>
      </c>
      <c r="B1152" s="56">
        <v>457</v>
      </c>
      <c r="C1152" s="47" t="s">
        <v>98</v>
      </c>
      <c r="D1152" s="47" t="s">
        <v>52</v>
      </c>
      <c r="E1152" s="47" t="s">
        <v>43</v>
      </c>
      <c r="F1152" s="46">
        <v>6670</v>
      </c>
      <c r="G1152" s="46">
        <v>435</v>
      </c>
      <c r="H1152" s="46">
        <v>1500</v>
      </c>
      <c r="I1152" s="46">
        <v>1375</v>
      </c>
      <c r="J1152" s="46">
        <v>610</v>
      </c>
      <c r="K1152" s="46">
        <v>360</v>
      </c>
      <c r="L1152" s="46">
        <v>2395</v>
      </c>
      <c r="M1152">
        <f t="shared" si="103"/>
        <v>5.0705505918556465E-2</v>
      </c>
      <c r="N1152">
        <f t="shared" si="104"/>
        <v>0.17484657213295332</v>
      </c>
      <c r="O1152">
        <f t="shared" si="105"/>
        <v>0.16027602445520722</v>
      </c>
      <c r="P1152">
        <f t="shared" si="106"/>
        <v>7.1104272667401019E-2</v>
      </c>
      <c r="Q1152">
        <f t="shared" si="107"/>
        <v>4.1963177311908802E-2</v>
      </c>
      <c r="R1152">
        <f t="shared" si="108"/>
        <v>0.27917169350561549</v>
      </c>
    </row>
    <row r="1153" spans="1:18" hidden="1" x14ac:dyDescent="0.25">
      <c r="A1153" s="46">
        <v>2020</v>
      </c>
      <c r="B1153" s="56">
        <v>457</v>
      </c>
      <c r="C1153" s="47" t="s">
        <v>98</v>
      </c>
      <c r="D1153" s="47" t="s">
        <v>52</v>
      </c>
      <c r="E1153" s="47" t="s">
        <v>44</v>
      </c>
      <c r="F1153" s="46">
        <v>1410</v>
      </c>
      <c r="G1153" s="46">
        <v>170</v>
      </c>
      <c r="H1153" s="46">
        <v>525</v>
      </c>
      <c r="I1153" s="46">
        <v>390</v>
      </c>
      <c r="J1153" s="46">
        <v>150</v>
      </c>
      <c r="K1153" s="46">
        <v>55</v>
      </c>
      <c r="L1153" s="46">
        <v>120</v>
      </c>
      <c r="M1153">
        <f t="shared" si="103"/>
        <v>1.9815944841734712E-2</v>
      </c>
      <c r="N1153">
        <f t="shared" si="104"/>
        <v>6.1196300246533664E-2</v>
      </c>
      <c r="O1153">
        <f t="shared" si="105"/>
        <v>4.5460108754567866E-2</v>
      </c>
      <c r="P1153">
        <f t="shared" si="106"/>
        <v>1.7484657213295333E-2</v>
      </c>
      <c r="Q1153">
        <f t="shared" si="107"/>
        <v>6.4110409782082893E-3</v>
      </c>
      <c r="R1153">
        <f t="shared" si="108"/>
        <v>1.3987725770636266E-2</v>
      </c>
    </row>
    <row r="1154" spans="1:18" hidden="1" x14ac:dyDescent="0.25">
      <c r="A1154" s="46">
        <v>2020</v>
      </c>
      <c r="B1154" s="56">
        <v>457</v>
      </c>
      <c r="C1154" s="47" t="s">
        <v>98</v>
      </c>
      <c r="D1154" s="47" t="s">
        <v>52</v>
      </c>
      <c r="E1154" s="47" t="s">
        <v>45</v>
      </c>
      <c r="F1154" s="46">
        <v>390</v>
      </c>
      <c r="G1154" s="46">
        <v>30</v>
      </c>
      <c r="H1154" s="46">
        <v>60</v>
      </c>
      <c r="I1154" s="46">
        <v>125</v>
      </c>
      <c r="J1154" s="46">
        <v>30</v>
      </c>
      <c r="K1154" s="46">
        <v>25</v>
      </c>
      <c r="L1154" s="46">
        <v>120</v>
      </c>
      <c r="M1154">
        <f t="shared" si="103"/>
        <v>3.4969314426590665E-3</v>
      </c>
      <c r="N1154">
        <f t="shared" si="104"/>
        <v>6.993862885318133E-3</v>
      </c>
      <c r="O1154">
        <f t="shared" si="105"/>
        <v>1.4570547677746111E-2</v>
      </c>
      <c r="P1154">
        <f t="shared" si="106"/>
        <v>3.4969314426590665E-3</v>
      </c>
      <c r="Q1154">
        <f t="shared" si="107"/>
        <v>2.914109535549222E-3</v>
      </c>
      <c r="R1154">
        <f t="shared" si="108"/>
        <v>1.3987725770636266E-2</v>
      </c>
    </row>
    <row r="1155" spans="1:18" hidden="1" x14ac:dyDescent="0.25">
      <c r="A1155" s="46">
        <v>2020</v>
      </c>
      <c r="B1155" s="56">
        <v>457</v>
      </c>
      <c r="C1155" s="47" t="s">
        <v>98</v>
      </c>
      <c r="D1155" s="47" t="s">
        <v>52</v>
      </c>
      <c r="E1155" s="47" t="s">
        <v>46</v>
      </c>
      <c r="F1155" s="46">
        <v>445</v>
      </c>
      <c r="G1155" s="46">
        <v>40</v>
      </c>
      <c r="H1155" s="46">
        <v>155</v>
      </c>
      <c r="I1155" s="46">
        <v>95</v>
      </c>
      <c r="J1155" s="46">
        <v>30</v>
      </c>
      <c r="K1155" s="46">
        <v>15</v>
      </c>
      <c r="L1155" s="46">
        <v>110</v>
      </c>
      <c r="M1155">
        <f t="shared" si="103"/>
        <v>4.6625752568787556E-3</v>
      </c>
      <c r="N1155">
        <f t="shared" si="104"/>
        <v>1.806747912040518E-2</v>
      </c>
      <c r="O1155">
        <f t="shared" si="105"/>
        <v>1.1073616235087045E-2</v>
      </c>
      <c r="P1155">
        <f t="shared" si="106"/>
        <v>3.4969314426590665E-3</v>
      </c>
      <c r="Q1155">
        <f t="shared" si="107"/>
        <v>1.7484657213295333E-3</v>
      </c>
      <c r="R1155">
        <f t="shared" si="108"/>
        <v>1.2822081956416579E-2</v>
      </c>
    </row>
    <row r="1156" spans="1:18" hidden="1" x14ac:dyDescent="0.25">
      <c r="A1156" s="46">
        <v>2020</v>
      </c>
      <c r="B1156" s="56">
        <v>457</v>
      </c>
      <c r="C1156" s="47" t="s">
        <v>98</v>
      </c>
      <c r="D1156" s="47" t="s">
        <v>52</v>
      </c>
      <c r="E1156" s="47" t="s">
        <v>47</v>
      </c>
      <c r="F1156" s="46">
        <v>560</v>
      </c>
      <c r="G1156" s="46">
        <v>50</v>
      </c>
      <c r="H1156" s="46">
        <v>175</v>
      </c>
      <c r="I1156" s="46">
        <v>160</v>
      </c>
      <c r="J1156" s="46">
        <v>60</v>
      </c>
      <c r="K1156" s="46">
        <v>20</v>
      </c>
      <c r="L1156" s="46">
        <v>100</v>
      </c>
      <c r="M1156">
        <f t="shared" si="103"/>
        <v>5.8282190710984439E-3</v>
      </c>
      <c r="N1156">
        <f t="shared" si="104"/>
        <v>2.0398766748844555E-2</v>
      </c>
      <c r="O1156">
        <f t="shared" si="105"/>
        <v>1.8650301027515023E-2</v>
      </c>
      <c r="P1156">
        <f t="shared" si="106"/>
        <v>6.993862885318133E-3</v>
      </c>
      <c r="Q1156">
        <f t="shared" si="107"/>
        <v>2.3312876284393778E-3</v>
      </c>
      <c r="R1156">
        <f t="shared" si="108"/>
        <v>1.1656438142196888E-2</v>
      </c>
    </row>
    <row r="1157" spans="1:18" hidden="1" x14ac:dyDescent="0.25">
      <c r="A1157" s="46">
        <v>2020</v>
      </c>
      <c r="B1157" s="56">
        <v>457</v>
      </c>
      <c r="C1157" s="47" t="s">
        <v>98</v>
      </c>
      <c r="D1157" s="47" t="s">
        <v>52</v>
      </c>
      <c r="E1157" s="47" t="s">
        <v>48</v>
      </c>
      <c r="F1157" s="46">
        <v>2210</v>
      </c>
      <c r="G1157" s="46">
        <v>105</v>
      </c>
      <c r="H1157" s="46">
        <v>440</v>
      </c>
      <c r="I1157" s="46">
        <v>465</v>
      </c>
      <c r="J1157" s="46">
        <v>240</v>
      </c>
      <c r="K1157" s="46">
        <v>160</v>
      </c>
      <c r="L1157" s="46">
        <v>800</v>
      </c>
      <c r="M1157">
        <f t="shared" si="103"/>
        <v>1.2239260049306732E-2</v>
      </c>
      <c r="N1157">
        <f t="shared" si="104"/>
        <v>5.1288327825666315E-2</v>
      </c>
      <c r="O1157">
        <f t="shared" si="105"/>
        <v>5.4202437361215529E-2</v>
      </c>
      <c r="P1157">
        <f t="shared" si="106"/>
        <v>2.7975451541272532E-2</v>
      </c>
      <c r="Q1157">
        <f t="shared" si="107"/>
        <v>1.8650301027515023E-2</v>
      </c>
      <c r="R1157">
        <f t="shared" si="108"/>
        <v>9.3251505137575103E-2</v>
      </c>
    </row>
    <row r="1158" spans="1:18" hidden="1" x14ac:dyDescent="0.25">
      <c r="A1158" s="46">
        <v>2020</v>
      </c>
      <c r="B1158" s="56">
        <v>457</v>
      </c>
      <c r="C1158" s="47" t="s">
        <v>98</v>
      </c>
      <c r="D1158" s="47" t="s">
        <v>52</v>
      </c>
      <c r="E1158" s="47" t="s">
        <v>49</v>
      </c>
      <c r="F1158" s="46">
        <v>1095</v>
      </c>
      <c r="G1158" s="46">
        <v>40</v>
      </c>
      <c r="H1158" s="46">
        <v>115</v>
      </c>
      <c r="I1158" s="46">
        <v>120</v>
      </c>
      <c r="J1158" s="46">
        <v>80</v>
      </c>
      <c r="K1158" s="46">
        <v>55</v>
      </c>
      <c r="L1158" s="46">
        <v>685</v>
      </c>
      <c r="M1158">
        <f t="shared" si="103"/>
        <v>4.6625752568787556E-3</v>
      </c>
      <c r="N1158">
        <f t="shared" si="104"/>
        <v>1.3404903863526422E-2</v>
      </c>
      <c r="O1158">
        <f t="shared" si="105"/>
        <v>1.3987725770636266E-2</v>
      </c>
      <c r="P1158">
        <f t="shared" si="106"/>
        <v>9.3251505137575113E-3</v>
      </c>
      <c r="Q1158">
        <f t="shared" si="107"/>
        <v>6.4110409782082893E-3</v>
      </c>
      <c r="R1158">
        <f t="shared" si="108"/>
        <v>7.984660127404869E-2</v>
      </c>
    </row>
    <row r="1159" spans="1:18" hidden="1" x14ac:dyDescent="0.25">
      <c r="A1159" s="46">
        <v>2020</v>
      </c>
      <c r="B1159" s="56">
        <v>457</v>
      </c>
      <c r="C1159" s="47" t="s">
        <v>98</v>
      </c>
      <c r="D1159" s="47" t="s">
        <v>52</v>
      </c>
      <c r="E1159" s="47" t="s">
        <v>50</v>
      </c>
      <c r="F1159" s="46">
        <v>560</v>
      </c>
      <c r="G1159" s="46">
        <v>5</v>
      </c>
      <c r="H1159" s="46">
        <v>25</v>
      </c>
      <c r="I1159" s="46">
        <v>20</v>
      </c>
      <c r="J1159" s="46">
        <v>20</v>
      </c>
      <c r="K1159" s="46">
        <v>30</v>
      </c>
      <c r="L1159" s="46">
        <v>455</v>
      </c>
      <c r="M1159">
        <f t="shared" si="103"/>
        <v>5.8282190710984446E-4</v>
      </c>
      <c r="N1159">
        <f t="shared" si="104"/>
        <v>2.914109535549222E-3</v>
      </c>
      <c r="O1159">
        <f t="shared" si="105"/>
        <v>2.3312876284393778E-3</v>
      </c>
      <c r="P1159">
        <f t="shared" si="106"/>
        <v>2.3312876284393778E-3</v>
      </c>
      <c r="Q1159">
        <f t="shared" si="107"/>
        <v>3.4969314426590665E-3</v>
      </c>
      <c r="R1159">
        <f t="shared" si="108"/>
        <v>5.3036793546995843E-2</v>
      </c>
    </row>
    <row r="1160" spans="1:18" x14ac:dyDescent="0.25">
      <c r="A1160" s="46">
        <v>2020</v>
      </c>
      <c r="B1160" s="56">
        <v>458</v>
      </c>
      <c r="C1160" s="47" t="s">
        <v>99</v>
      </c>
      <c r="D1160" s="47" t="s">
        <v>42</v>
      </c>
      <c r="E1160" s="47" t="s">
        <v>43</v>
      </c>
      <c r="F1160" s="46">
        <v>12850</v>
      </c>
      <c r="G1160" s="46">
        <v>1120</v>
      </c>
      <c r="H1160" s="46">
        <v>3275</v>
      </c>
      <c r="I1160" s="46">
        <v>2965</v>
      </c>
      <c r="J1160" s="46">
        <v>1345</v>
      </c>
      <c r="K1160" s="46">
        <v>805</v>
      </c>
      <c r="L1160" s="46">
        <v>3335</v>
      </c>
      <c r="M1160">
        <f t="shared" si="103"/>
        <v>0.13055210719260515</v>
      </c>
      <c r="N1160">
        <f t="shared" si="104"/>
        <v>0.38174834915694811</v>
      </c>
      <c r="O1160">
        <f t="shared" si="105"/>
        <v>0.34561339091613774</v>
      </c>
      <c r="P1160">
        <f t="shared" si="106"/>
        <v>0.15677909301254817</v>
      </c>
      <c r="Q1160">
        <f t="shared" si="107"/>
        <v>9.3834327044684959E-2</v>
      </c>
      <c r="R1160">
        <f t="shared" si="108"/>
        <v>0.38874221204226622</v>
      </c>
    </row>
    <row r="1161" spans="1:18" hidden="1" x14ac:dyDescent="0.25">
      <c r="A1161" s="46">
        <v>2020</v>
      </c>
      <c r="B1161" s="56">
        <v>458</v>
      </c>
      <c r="C1161" s="47" t="s">
        <v>99</v>
      </c>
      <c r="D1161" s="47" t="s">
        <v>42</v>
      </c>
      <c r="E1161" s="47" t="s">
        <v>44</v>
      </c>
      <c r="F1161" s="46">
        <v>2025</v>
      </c>
      <c r="G1161" s="46">
        <v>190</v>
      </c>
      <c r="H1161" s="46">
        <v>740</v>
      </c>
      <c r="I1161" s="46">
        <v>720</v>
      </c>
      <c r="J1161" s="46">
        <v>180</v>
      </c>
      <c r="K1161" s="46">
        <v>90</v>
      </c>
      <c r="L1161" s="46">
        <v>105</v>
      </c>
      <c r="M1161">
        <f t="shared" ref="M1161:M1224" si="109">G1161/$F$8*100</f>
        <v>2.214723247017409E-2</v>
      </c>
      <c r="N1161">
        <f t="shared" ref="N1161:N1224" si="110">H1161/$F$8*100</f>
        <v>8.6257642252256975E-2</v>
      </c>
      <c r="O1161">
        <f t="shared" ref="O1161:O1224" si="111">I1161/$F$8*100</f>
        <v>8.3926354623817603E-2</v>
      </c>
      <c r="P1161">
        <f t="shared" ref="P1161:P1224" si="112">J1161/$F$8*100</f>
        <v>2.0981588655954401E-2</v>
      </c>
      <c r="Q1161">
        <f t="shared" ref="Q1161:Q1224" si="113">K1161/$F$8*100</f>
        <v>1.04907943279772E-2</v>
      </c>
      <c r="R1161">
        <f t="shared" ref="R1161:R1224" si="114">L1161/$F$8*100</f>
        <v>1.2239260049306732E-2</v>
      </c>
    </row>
    <row r="1162" spans="1:18" hidden="1" x14ac:dyDescent="0.25">
      <c r="A1162" s="46">
        <v>2020</v>
      </c>
      <c r="B1162" s="56">
        <v>458</v>
      </c>
      <c r="C1162" s="47" t="s">
        <v>99</v>
      </c>
      <c r="D1162" s="47" t="s">
        <v>42</v>
      </c>
      <c r="E1162" s="47" t="s">
        <v>45</v>
      </c>
      <c r="F1162" s="46">
        <v>700</v>
      </c>
      <c r="G1162" s="46">
        <v>95</v>
      </c>
      <c r="H1162" s="46">
        <v>180</v>
      </c>
      <c r="I1162" s="46">
        <v>235</v>
      </c>
      <c r="J1162" s="46">
        <v>60</v>
      </c>
      <c r="K1162" s="46">
        <v>30</v>
      </c>
      <c r="L1162" s="46">
        <v>100</v>
      </c>
      <c r="M1162">
        <f t="shared" si="109"/>
        <v>1.1073616235087045E-2</v>
      </c>
      <c r="N1162">
        <f t="shared" si="110"/>
        <v>2.0981588655954401E-2</v>
      </c>
      <c r="O1162">
        <f t="shared" si="111"/>
        <v>2.7392629634162689E-2</v>
      </c>
      <c r="P1162">
        <f t="shared" si="112"/>
        <v>6.993862885318133E-3</v>
      </c>
      <c r="Q1162">
        <f t="shared" si="113"/>
        <v>3.4969314426590665E-3</v>
      </c>
      <c r="R1162">
        <f t="shared" si="114"/>
        <v>1.1656438142196888E-2</v>
      </c>
    </row>
    <row r="1163" spans="1:18" hidden="1" x14ac:dyDescent="0.25">
      <c r="A1163" s="46">
        <v>2020</v>
      </c>
      <c r="B1163" s="56">
        <v>458</v>
      </c>
      <c r="C1163" s="47" t="s">
        <v>99</v>
      </c>
      <c r="D1163" s="47" t="s">
        <v>42</v>
      </c>
      <c r="E1163" s="47" t="s">
        <v>46</v>
      </c>
      <c r="F1163" s="46">
        <v>1210</v>
      </c>
      <c r="G1163" s="46">
        <v>205</v>
      </c>
      <c r="H1163" s="46">
        <v>515</v>
      </c>
      <c r="I1163" s="46">
        <v>305</v>
      </c>
      <c r="J1163" s="46">
        <v>50</v>
      </c>
      <c r="K1163" s="46">
        <v>25</v>
      </c>
      <c r="L1163" s="46">
        <v>110</v>
      </c>
      <c r="M1163">
        <f t="shared" si="109"/>
        <v>2.3895698191503622E-2</v>
      </c>
      <c r="N1163">
        <f t="shared" si="110"/>
        <v>6.0030656432313978E-2</v>
      </c>
      <c r="O1163">
        <f t="shared" si="111"/>
        <v>3.555213633370051E-2</v>
      </c>
      <c r="P1163">
        <f t="shared" si="112"/>
        <v>5.8282190710984439E-3</v>
      </c>
      <c r="Q1163">
        <f t="shared" si="113"/>
        <v>2.914109535549222E-3</v>
      </c>
      <c r="R1163">
        <f t="shared" si="114"/>
        <v>1.2822081956416579E-2</v>
      </c>
    </row>
    <row r="1164" spans="1:18" hidden="1" x14ac:dyDescent="0.25">
      <c r="A1164" s="46">
        <v>2020</v>
      </c>
      <c r="B1164" s="56">
        <v>458</v>
      </c>
      <c r="C1164" s="47" t="s">
        <v>99</v>
      </c>
      <c r="D1164" s="47" t="s">
        <v>42</v>
      </c>
      <c r="E1164" s="47" t="s">
        <v>47</v>
      </c>
      <c r="F1164" s="46">
        <v>1245</v>
      </c>
      <c r="G1164" s="46">
        <v>135</v>
      </c>
      <c r="H1164" s="46">
        <v>395</v>
      </c>
      <c r="I1164" s="46">
        <v>370</v>
      </c>
      <c r="J1164" s="46">
        <v>185</v>
      </c>
      <c r="K1164" s="46">
        <v>65</v>
      </c>
      <c r="L1164" s="46">
        <v>100</v>
      </c>
      <c r="M1164">
        <f t="shared" si="109"/>
        <v>1.5736191491965801E-2</v>
      </c>
      <c r="N1164">
        <f t="shared" si="110"/>
        <v>4.6042930661677708E-2</v>
      </c>
      <c r="O1164">
        <f t="shared" si="111"/>
        <v>4.3128821126128487E-2</v>
      </c>
      <c r="P1164">
        <f t="shared" si="112"/>
        <v>2.1564410563064244E-2</v>
      </c>
      <c r="Q1164">
        <f t="shared" si="113"/>
        <v>7.5766847924279776E-3</v>
      </c>
      <c r="R1164">
        <f t="shared" si="114"/>
        <v>1.1656438142196888E-2</v>
      </c>
    </row>
    <row r="1165" spans="1:18" hidden="1" x14ac:dyDescent="0.25">
      <c r="A1165" s="46">
        <v>2020</v>
      </c>
      <c r="B1165" s="56">
        <v>458</v>
      </c>
      <c r="C1165" s="47" t="s">
        <v>99</v>
      </c>
      <c r="D1165" s="47" t="s">
        <v>42</v>
      </c>
      <c r="E1165" s="47" t="s">
        <v>48</v>
      </c>
      <c r="F1165" s="46">
        <v>5105</v>
      </c>
      <c r="G1165" s="46">
        <v>390</v>
      </c>
      <c r="H1165" s="46">
        <v>1105</v>
      </c>
      <c r="I1165" s="46">
        <v>1080</v>
      </c>
      <c r="J1165" s="46">
        <v>675</v>
      </c>
      <c r="K1165" s="46">
        <v>430</v>
      </c>
      <c r="L1165" s="46">
        <v>1430</v>
      </c>
      <c r="M1165">
        <f t="shared" si="109"/>
        <v>4.5460108754567866E-2</v>
      </c>
      <c r="N1165">
        <f t="shared" si="110"/>
        <v>0.12880364147127563</v>
      </c>
      <c r="O1165">
        <f t="shared" si="111"/>
        <v>0.12588953193572641</v>
      </c>
      <c r="P1165">
        <f t="shared" si="112"/>
        <v>7.8680957459829004E-2</v>
      </c>
      <c r="Q1165">
        <f t="shared" si="113"/>
        <v>5.0122684011446615E-2</v>
      </c>
      <c r="R1165">
        <f t="shared" si="114"/>
        <v>0.16668706543341552</v>
      </c>
    </row>
    <row r="1166" spans="1:18" hidden="1" x14ac:dyDescent="0.25">
      <c r="A1166" s="46">
        <v>2020</v>
      </c>
      <c r="B1166" s="56">
        <v>458</v>
      </c>
      <c r="C1166" s="47" t="s">
        <v>99</v>
      </c>
      <c r="D1166" s="47" t="s">
        <v>42</v>
      </c>
      <c r="E1166" s="47" t="s">
        <v>49</v>
      </c>
      <c r="F1166" s="46">
        <v>2045</v>
      </c>
      <c r="G1166" s="46">
        <v>100</v>
      </c>
      <c r="H1166" s="46">
        <v>315</v>
      </c>
      <c r="I1166" s="46">
        <v>235</v>
      </c>
      <c r="J1166" s="46">
        <v>170</v>
      </c>
      <c r="K1166" s="46">
        <v>150</v>
      </c>
      <c r="L1166" s="46">
        <v>1070</v>
      </c>
      <c r="M1166">
        <f t="shared" si="109"/>
        <v>1.1656438142196888E-2</v>
      </c>
      <c r="N1166">
        <f t="shared" si="110"/>
        <v>3.6717780147920202E-2</v>
      </c>
      <c r="O1166">
        <f t="shared" si="111"/>
        <v>2.7392629634162689E-2</v>
      </c>
      <c r="P1166">
        <f t="shared" si="112"/>
        <v>1.9815944841734712E-2</v>
      </c>
      <c r="Q1166">
        <f t="shared" si="113"/>
        <v>1.7484657213295333E-2</v>
      </c>
      <c r="R1166">
        <f t="shared" si="114"/>
        <v>0.12472388812150671</v>
      </c>
    </row>
    <row r="1167" spans="1:18" hidden="1" x14ac:dyDescent="0.25">
      <c r="A1167" s="46">
        <v>2020</v>
      </c>
      <c r="B1167" s="56">
        <v>458</v>
      </c>
      <c r="C1167" s="47" t="s">
        <v>99</v>
      </c>
      <c r="D1167" s="47" t="s">
        <v>42</v>
      </c>
      <c r="E1167" s="47" t="s">
        <v>50</v>
      </c>
      <c r="F1167" s="46">
        <v>525</v>
      </c>
      <c r="G1167" s="46">
        <v>5</v>
      </c>
      <c r="H1167" s="46">
        <v>25</v>
      </c>
      <c r="I1167" s="46">
        <v>20</v>
      </c>
      <c r="J1167" s="46">
        <v>30</v>
      </c>
      <c r="K1167" s="46">
        <v>15</v>
      </c>
      <c r="L1167" s="46">
        <v>425</v>
      </c>
      <c r="M1167">
        <f t="shared" si="109"/>
        <v>5.8282190710984446E-4</v>
      </c>
      <c r="N1167">
        <f t="shared" si="110"/>
        <v>2.914109535549222E-3</v>
      </c>
      <c r="O1167">
        <f t="shared" si="111"/>
        <v>2.3312876284393778E-3</v>
      </c>
      <c r="P1167">
        <f t="shared" si="112"/>
        <v>3.4969314426590665E-3</v>
      </c>
      <c r="Q1167">
        <f t="shared" si="113"/>
        <v>1.7484657213295333E-3</v>
      </c>
      <c r="R1167">
        <f t="shared" si="114"/>
        <v>4.9539862104336772E-2</v>
      </c>
    </row>
    <row r="1168" spans="1:18" hidden="1" x14ac:dyDescent="0.25">
      <c r="A1168" s="46">
        <v>2020</v>
      </c>
      <c r="B1168" s="56">
        <v>458</v>
      </c>
      <c r="C1168" s="47" t="s">
        <v>99</v>
      </c>
      <c r="D1168" s="47" t="s">
        <v>51</v>
      </c>
      <c r="E1168" s="47" t="s">
        <v>43</v>
      </c>
      <c r="F1168" s="46">
        <v>7015</v>
      </c>
      <c r="G1168" s="46">
        <v>595</v>
      </c>
      <c r="H1168" s="46">
        <v>1835</v>
      </c>
      <c r="I1168" s="46">
        <v>1675</v>
      </c>
      <c r="J1168" s="46">
        <v>745</v>
      </c>
      <c r="K1168" s="46">
        <v>450</v>
      </c>
      <c r="L1168" s="46">
        <v>1715</v>
      </c>
      <c r="M1168">
        <f t="shared" si="109"/>
        <v>6.9355806946071491E-2</v>
      </c>
      <c r="N1168">
        <f t="shared" si="110"/>
        <v>0.21389563990931293</v>
      </c>
      <c r="O1168">
        <f t="shared" si="111"/>
        <v>0.1952453388817979</v>
      </c>
      <c r="P1168">
        <f t="shared" si="112"/>
        <v>8.6840464159366818E-2</v>
      </c>
      <c r="Q1168">
        <f t="shared" si="113"/>
        <v>5.2453971639886E-2</v>
      </c>
      <c r="R1168">
        <f t="shared" si="114"/>
        <v>0.19990791413867665</v>
      </c>
    </row>
    <row r="1169" spans="1:18" hidden="1" x14ac:dyDescent="0.25">
      <c r="A1169" s="46">
        <v>2020</v>
      </c>
      <c r="B1169" s="56">
        <v>458</v>
      </c>
      <c r="C1169" s="47" t="s">
        <v>99</v>
      </c>
      <c r="D1169" s="47" t="s">
        <v>51</v>
      </c>
      <c r="E1169" s="47" t="s">
        <v>44</v>
      </c>
      <c r="F1169" s="46">
        <v>1065</v>
      </c>
      <c r="G1169" s="46">
        <v>95</v>
      </c>
      <c r="H1169" s="46">
        <v>400</v>
      </c>
      <c r="I1169" s="46">
        <v>365</v>
      </c>
      <c r="J1169" s="46">
        <v>95</v>
      </c>
      <c r="K1169" s="46">
        <v>55</v>
      </c>
      <c r="L1169" s="46">
        <v>60</v>
      </c>
      <c r="M1169">
        <f t="shared" si="109"/>
        <v>1.1073616235087045E-2</v>
      </c>
      <c r="N1169">
        <f t="shared" si="110"/>
        <v>4.6625752568787551E-2</v>
      </c>
      <c r="O1169">
        <f t="shared" si="111"/>
        <v>4.2545999219018645E-2</v>
      </c>
      <c r="P1169">
        <f t="shared" si="112"/>
        <v>1.1073616235087045E-2</v>
      </c>
      <c r="Q1169">
        <f t="shared" si="113"/>
        <v>6.4110409782082893E-3</v>
      </c>
      <c r="R1169">
        <f t="shared" si="114"/>
        <v>6.993862885318133E-3</v>
      </c>
    </row>
    <row r="1170" spans="1:18" hidden="1" x14ac:dyDescent="0.25">
      <c r="A1170" s="46">
        <v>2020</v>
      </c>
      <c r="B1170" s="56">
        <v>458</v>
      </c>
      <c r="C1170" s="47" t="s">
        <v>99</v>
      </c>
      <c r="D1170" s="47" t="s">
        <v>51</v>
      </c>
      <c r="E1170" s="47" t="s">
        <v>45</v>
      </c>
      <c r="F1170" s="46">
        <v>365</v>
      </c>
      <c r="G1170" s="46">
        <v>55</v>
      </c>
      <c r="H1170" s="46">
        <v>90</v>
      </c>
      <c r="I1170" s="46">
        <v>115</v>
      </c>
      <c r="J1170" s="46">
        <v>35</v>
      </c>
      <c r="K1170" s="46">
        <v>10</v>
      </c>
      <c r="L1170" s="46">
        <v>55</v>
      </c>
      <c r="M1170">
        <f t="shared" si="109"/>
        <v>6.4110409782082893E-3</v>
      </c>
      <c r="N1170">
        <f t="shared" si="110"/>
        <v>1.04907943279772E-2</v>
      </c>
      <c r="O1170">
        <f t="shared" si="111"/>
        <v>1.3404903863526422E-2</v>
      </c>
      <c r="P1170">
        <f t="shared" si="112"/>
        <v>4.0797533497689111E-3</v>
      </c>
      <c r="Q1170">
        <f t="shared" si="113"/>
        <v>1.1656438142196889E-3</v>
      </c>
      <c r="R1170">
        <f t="shared" si="114"/>
        <v>6.4110409782082893E-3</v>
      </c>
    </row>
    <row r="1171" spans="1:18" hidden="1" x14ac:dyDescent="0.25">
      <c r="A1171" s="46">
        <v>2020</v>
      </c>
      <c r="B1171" s="56">
        <v>458</v>
      </c>
      <c r="C1171" s="47" t="s">
        <v>99</v>
      </c>
      <c r="D1171" s="47" t="s">
        <v>51</v>
      </c>
      <c r="E1171" s="47" t="s">
        <v>46</v>
      </c>
      <c r="F1171" s="46">
        <v>715</v>
      </c>
      <c r="G1171" s="46">
        <v>110</v>
      </c>
      <c r="H1171" s="46">
        <v>295</v>
      </c>
      <c r="I1171" s="46">
        <v>215</v>
      </c>
      <c r="J1171" s="46">
        <v>25</v>
      </c>
      <c r="K1171" s="46">
        <v>10</v>
      </c>
      <c r="L1171" s="46">
        <v>60</v>
      </c>
      <c r="M1171">
        <f t="shared" si="109"/>
        <v>1.2822081956416579E-2</v>
      </c>
      <c r="N1171">
        <f t="shared" si="110"/>
        <v>3.4386492519480824E-2</v>
      </c>
      <c r="O1171">
        <f t="shared" si="111"/>
        <v>2.5061342005723308E-2</v>
      </c>
      <c r="P1171">
        <f t="shared" si="112"/>
        <v>2.914109535549222E-3</v>
      </c>
      <c r="Q1171">
        <f t="shared" si="113"/>
        <v>1.1656438142196889E-3</v>
      </c>
      <c r="R1171">
        <f t="shared" si="114"/>
        <v>6.993862885318133E-3</v>
      </c>
    </row>
    <row r="1172" spans="1:18" hidden="1" x14ac:dyDescent="0.25">
      <c r="A1172" s="46">
        <v>2020</v>
      </c>
      <c r="B1172" s="56">
        <v>458</v>
      </c>
      <c r="C1172" s="47" t="s">
        <v>99</v>
      </c>
      <c r="D1172" s="47" t="s">
        <v>51</v>
      </c>
      <c r="E1172" s="47" t="s">
        <v>47</v>
      </c>
      <c r="F1172" s="46">
        <v>745</v>
      </c>
      <c r="G1172" s="46">
        <v>80</v>
      </c>
      <c r="H1172" s="46">
        <v>245</v>
      </c>
      <c r="I1172" s="46">
        <v>225</v>
      </c>
      <c r="J1172" s="46">
        <v>100</v>
      </c>
      <c r="K1172" s="46">
        <v>35</v>
      </c>
      <c r="L1172" s="46">
        <v>55</v>
      </c>
      <c r="M1172">
        <f t="shared" si="109"/>
        <v>9.3251505137575113E-3</v>
      </c>
      <c r="N1172">
        <f t="shared" si="110"/>
        <v>2.8558273448382378E-2</v>
      </c>
      <c r="O1172">
        <f t="shared" si="111"/>
        <v>2.6226985819943E-2</v>
      </c>
      <c r="P1172">
        <f t="shared" si="112"/>
        <v>1.1656438142196888E-2</v>
      </c>
      <c r="Q1172">
        <f t="shared" si="113"/>
        <v>4.0797533497689111E-3</v>
      </c>
      <c r="R1172">
        <f t="shared" si="114"/>
        <v>6.4110409782082893E-3</v>
      </c>
    </row>
    <row r="1173" spans="1:18" hidden="1" x14ac:dyDescent="0.25">
      <c r="A1173" s="46">
        <v>2020</v>
      </c>
      <c r="B1173" s="56">
        <v>458</v>
      </c>
      <c r="C1173" s="47" t="s">
        <v>99</v>
      </c>
      <c r="D1173" s="47" t="s">
        <v>51</v>
      </c>
      <c r="E1173" s="47" t="s">
        <v>48</v>
      </c>
      <c r="F1173" s="46">
        <v>2755</v>
      </c>
      <c r="G1173" s="46">
        <v>200</v>
      </c>
      <c r="H1173" s="46">
        <v>610</v>
      </c>
      <c r="I1173" s="46">
        <v>605</v>
      </c>
      <c r="J1173" s="46">
        <v>390</v>
      </c>
      <c r="K1173" s="46">
        <v>245</v>
      </c>
      <c r="L1173" s="46">
        <v>710</v>
      </c>
      <c r="M1173">
        <f t="shared" si="109"/>
        <v>2.3312876284393776E-2</v>
      </c>
      <c r="N1173">
        <f t="shared" si="110"/>
        <v>7.1104272667401019E-2</v>
      </c>
      <c r="O1173">
        <f t="shared" si="111"/>
        <v>7.0521450760291177E-2</v>
      </c>
      <c r="P1173">
        <f t="shared" si="112"/>
        <v>4.5460108754567866E-2</v>
      </c>
      <c r="Q1173">
        <f t="shared" si="113"/>
        <v>2.8558273448382378E-2</v>
      </c>
      <c r="R1173">
        <f t="shared" si="114"/>
        <v>8.2760710809597904E-2</v>
      </c>
    </row>
    <row r="1174" spans="1:18" hidden="1" x14ac:dyDescent="0.25">
      <c r="A1174" s="46">
        <v>2020</v>
      </c>
      <c r="B1174" s="56">
        <v>458</v>
      </c>
      <c r="C1174" s="47" t="s">
        <v>99</v>
      </c>
      <c r="D1174" s="47" t="s">
        <v>51</v>
      </c>
      <c r="E1174" s="47" t="s">
        <v>49</v>
      </c>
      <c r="F1174" s="46">
        <v>1135</v>
      </c>
      <c r="G1174" s="46">
        <v>50</v>
      </c>
      <c r="H1174" s="46">
        <v>175</v>
      </c>
      <c r="I1174" s="46">
        <v>135</v>
      </c>
      <c r="J1174" s="46">
        <v>90</v>
      </c>
      <c r="K1174" s="46">
        <v>90</v>
      </c>
      <c r="L1174" s="46">
        <v>585</v>
      </c>
      <c r="M1174">
        <f t="shared" si="109"/>
        <v>5.8282190710984439E-3</v>
      </c>
      <c r="N1174">
        <f t="shared" si="110"/>
        <v>2.0398766748844555E-2</v>
      </c>
      <c r="O1174">
        <f t="shared" si="111"/>
        <v>1.5736191491965801E-2</v>
      </c>
      <c r="P1174">
        <f t="shared" si="112"/>
        <v>1.04907943279772E-2</v>
      </c>
      <c r="Q1174">
        <f t="shared" si="113"/>
        <v>1.04907943279772E-2</v>
      </c>
      <c r="R1174">
        <f t="shared" si="114"/>
        <v>6.8190163131851805E-2</v>
      </c>
    </row>
    <row r="1175" spans="1:18" hidden="1" x14ac:dyDescent="0.25">
      <c r="A1175" s="46">
        <v>2020</v>
      </c>
      <c r="B1175" s="56">
        <v>458</v>
      </c>
      <c r="C1175" s="47" t="s">
        <v>99</v>
      </c>
      <c r="D1175" s="47" t="s">
        <v>51</v>
      </c>
      <c r="E1175" s="47" t="s">
        <v>50</v>
      </c>
      <c r="F1175" s="46">
        <v>235</v>
      </c>
      <c r="G1175" s="46">
        <v>0</v>
      </c>
      <c r="H1175" s="46">
        <v>20</v>
      </c>
      <c r="I1175" s="46">
        <v>10</v>
      </c>
      <c r="J1175" s="46">
        <v>10</v>
      </c>
      <c r="K1175" s="46">
        <v>5</v>
      </c>
      <c r="L1175" s="46">
        <v>190</v>
      </c>
      <c r="M1175">
        <f t="shared" si="109"/>
        <v>0</v>
      </c>
      <c r="N1175">
        <f t="shared" si="110"/>
        <v>2.3312876284393778E-3</v>
      </c>
      <c r="O1175">
        <f t="shared" si="111"/>
        <v>1.1656438142196889E-3</v>
      </c>
      <c r="P1175">
        <f t="shared" si="112"/>
        <v>1.1656438142196889E-3</v>
      </c>
      <c r="Q1175">
        <f t="shared" si="113"/>
        <v>5.8282190710984446E-4</v>
      </c>
      <c r="R1175">
        <f t="shared" si="114"/>
        <v>2.214723247017409E-2</v>
      </c>
    </row>
    <row r="1176" spans="1:18" hidden="1" x14ac:dyDescent="0.25">
      <c r="A1176" s="46">
        <v>2020</v>
      </c>
      <c r="B1176" s="56">
        <v>458</v>
      </c>
      <c r="C1176" s="47" t="s">
        <v>99</v>
      </c>
      <c r="D1176" s="47" t="s">
        <v>52</v>
      </c>
      <c r="E1176" s="47" t="s">
        <v>43</v>
      </c>
      <c r="F1176" s="46">
        <v>5835</v>
      </c>
      <c r="G1176" s="46">
        <v>530</v>
      </c>
      <c r="H1176" s="46">
        <v>1440</v>
      </c>
      <c r="I1176" s="46">
        <v>1295</v>
      </c>
      <c r="J1176" s="46">
        <v>600</v>
      </c>
      <c r="K1176" s="46">
        <v>355</v>
      </c>
      <c r="L1176" s="46">
        <v>1625</v>
      </c>
      <c r="M1176">
        <f t="shared" si="109"/>
        <v>6.1779122153643513E-2</v>
      </c>
      <c r="N1176">
        <f t="shared" si="110"/>
        <v>0.16785270924763521</v>
      </c>
      <c r="O1176">
        <f t="shared" si="111"/>
        <v>0.15095087394144971</v>
      </c>
      <c r="P1176">
        <f t="shared" si="112"/>
        <v>6.9938628853181334E-2</v>
      </c>
      <c r="Q1176">
        <f t="shared" si="113"/>
        <v>4.1380355404798952E-2</v>
      </c>
      <c r="R1176">
        <f t="shared" si="114"/>
        <v>0.18941711981069945</v>
      </c>
    </row>
    <row r="1177" spans="1:18" hidden="1" x14ac:dyDescent="0.25">
      <c r="A1177" s="46">
        <v>2020</v>
      </c>
      <c r="B1177" s="56">
        <v>458</v>
      </c>
      <c r="C1177" s="47" t="s">
        <v>99</v>
      </c>
      <c r="D1177" s="47" t="s">
        <v>52</v>
      </c>
      <c r="E1177" s="47" t="s">
        <v>44</v>
      </c>
      <c r="F1177" s="46">
        <v>960</v>
      </c>
      <c r="G1177" s="46">
        <v>95</v>
      </c>
      <c r="H1177" s="46">
        <v>340</v>
      </c>
      <c r="I1177" s="46">
        <v>355</v>
      </c>
      <c r="J1177" s="46">
        <v>90</v>
      </c>
      <c r="K1177" s="46">
        <v>40</v>
      </c>
      <c r="L1177" s="46">
        <v>40</v>
      </c>
      <c r="M1177">
        <f t="shared" si="109"/>
        <v>1.1073616235087045E-2</v>
      </c>
      <c r="N1177">
        <f t="shared" si="110"/>
        <v>3.9631889683469423E-2</v>
      </c>
      <c r="O1177">
        <f t="shared" si="111"/>
        <v>4.1380355404798952E-2</v>
      </c>
      <c r="P1177">
        <f t="shared" si="112"/>
        <v>1.04907943279772E-2</v>
      </c>
      <c r="Q1177">
        <f t="shared" si="113"/>
        <v>4.6625752568787556E-3</v>
      </c>
      <c r="R1177">
        <f t="shared" si="114"/>
        <v>4.6625752568787556E-3</v>
      </c>
    </row>
    <row r="1178" spans="1:18" hidden="1" x14ac:dyDescent="0.25">
      <c r="A1178" s="46">
        <v>2020</v>
      </c>
      <c r="B1178" s="56">
        <v>458</v>
      </c>
      <c r="C1178" s="47" t="s">
        <v>99</v>
      </c>
      <c r="D1178" s="47" t="s">
        <v>52</v>
      </c>
      <c r="E1178" s="47" t="s">
        <v>45</v>
      </c>
      <c r="F1178" s="46">
        <v>330</v>
      </c>
      <c r="G1178" s="46">
        <v>40</v>
      </c>
      <c r="H1178" s="46">
        <v>85</v>
      </c>
      <c r="I1178" s="46">
        <v>120</v>
      </c>
      <c r="J1178" s="46">
        <v>20</v>
      </c>
      <c r="K1178" s="46">
        <v>15</v>
      </c>
      <c r="L1178" s="46">
        <v>45</v>
      </c>
      <c r="M1178">
        <f t="shared" si="109"/>
        <v>4.6625752568787556E-3</v>
      </c>
      <c r="N1178">
        <f t="shared" si="110"/>
        <v>9.9079724208673559E-3</v>
      </c>
      <c r="O1178">
        <f t="shared" si="111"/>
        <v>1.3987725770636266E-2</v>
      </c>
      <c r="P1178">
        <f t="shared" si="112"/>
        <v>2.3312876284393778E-3</v>
      </c>
      <c r="Q1178">
        <f t="shared" si="113"/>
        <v>1.7484657213295333E-3</v>
      </c>
      <c r="R1178">
        <f t="shared" si="114"/>
        <v>5.2453971639886002E-3</v>
      </c>
    </row>
    <row r="1179" spans="1:18" hidden="1" x14ac:dyDescent="0.25">
      <c r="A1179" s="46">
        <v>2020</v>
      </c>
      <c r="B1179" s="56">
        <v>458</v>
      </c>
      <c r="C1179" s="47" t="s">
        <v>99</v>
      </c>
      <c r="D1179" s="47" t="s">
        <v>52</v>
      </c>
      <c r="E1179" s="47" t="s">
        <v>46</v>
      </c>
      <c r="F1179" s="46">
        <v>490</v>
      </c>
      <c r="G1179" s="46">
        <v>90</v>
      </c>
      <c r="H1179" s="46">
        <v>220</v>
      </c>
      <c r="I1179" s="46">
        <v>95</v>
      </c>
      <c r="J1179" s="46">
        <v>25</v>
      </c>
      <c r="K1179" s="46">
        <v>15</v>
      </c>
      <c r="L1179" s="46">
        <v>50</v>
      </c>
      <c r="M1179">
        <f t="shared" si="109"/>
        <v>1.04907943279772E-2</v>
      </c>
      <c r="N1179">
        <f t="shared" si="110"/>
        <v>2.5644163912833157E-2</v>
      </c>
      <c r="O1179">
        <f t="shared" si="111"/>
        <v>1.1073616235087045E-2</v>
      </c>
      <c r="P1179">
        <f t="shared" si="112"/>
        <v>2.914109535549222E-3</v>
      </c>
      <c r="Q1179">
        <f t="shared" si="113"/>
        <v>1.7484657213295333E-3</v>
      </c>
      <c r="R1179">
        <f t="shared" si="114"/>
        <v>5.8282190710984439E-3</v>
      </c>
    </row>
    <row r="1180" spans="1:18" hidden="1" x14ac:dyDescent="0.25">
      <c r="A1180" s="46">
        <v>2020</v>
      </c>
      <c r="B1180" s="56">
        <v>458</v>
      </c>
      <c r="C1180" s="47" t="s">
        <v>99</v>
      </c>
      <c r="D1180" s="47" t="s">
        <v>52</v>
      </c>
      <c r="E1180" s="47" t="s">
        <v>47</v>
      </c>
      <c r="F1180" s="46">
        <v>500</v>
      </c>
      <c r="G1180" s="46">
        <v>50</v>
      </c>
      <c r="H1180" s="46">
        <v>150</v>
      </c>
      <c r="I1180" s="46">
        <v>145</v>
      </c>
      <c r="J1180" s="46">
        <v>80</v>
      </c>
      <c r="K1180" s="46">
        <v>30</v>
      </c>
      <c r="L1180" s="46">
        <v>45</v>
      </c>
      <c r="M1180">
        <f t="shared" si="109"/>
        <v>5.8282190710984439E-3</v>
      </c>
      <c r="N1180">
        <f t="shared" si="110"/>
        <v>1.7484657213295333E-2</v>
      </c>
      <c r="O1180">
        <f t="shared" si="111"/>
        <v>1.6901835306185491E-2</v>
      </c>
      <c r="P1180">
        <f t="shared" si="112"/>
        <v>9.3251505137575113E-3</v>
      </c>
      <c r="Q1180">
        <f t="shared" si="113"/>
        <v>3.4969314426590665E-3</v>
      </c>
      <c r="R1180">
        <f t="shared" si="114"/>
        <v>5.2453971639886002E-3</v>
      </c>
    </row>
    <row r="1181" spans="1:18" hidden="1" x14ac:dyDescent="0.25">
      <c r="A1181" s="46">
        <v>2020</v>
      </c>
      <c r="B1181" s="56">
        <v>458</v>
      </c>
      <c r="C1181" s="47" t="s">
        <v>99</v>
      </c>
      <c r="D1181" s="47" t="s">
        <v>52</v>
      </c>
      <c r="E1181" s="47" t="s">
        <v>48</v>
      </c>
      <c r="F1181" s="46">
        <v>2355</v>
      </c>
      <c r="G1181" s="46">
        <v>190</v>
      </c>
      <c r="H1181" s="46">
        <v>495</v>
      </c>
      <c r="I1181" s="46">
        <v>475</v>
      </c>
      <c r="J1181" s="46">
        <v>290</v>
      </c>
      <c r="K1181" s="46">
        <v>180</v>
      </c>
      <c r="L1181" s="46">
        <v>720</v>
      </c>
      <c r="M1181">
        <f t="shared" si="109"/>
        <v>2.214723247017409E-2</v>
      </c>
      <c r="N1181">
        <f t="shared" si="110"/>
        <v>5.76993688038746E-2</v>
      </c>
      <c r="O1181">
        <f t="shared" si="111"/>
        <v>5.5368081175435221E-2</v>
      </c>
      <c r="P1181">
        <f t="shared" si="112"/>
        <v>3.3803670612370981E-2</v>
      </c>
      <c r="Q1181">
        <f t="shared" si="113"/>
        <v>2.0981588655954401E-2</v>
      </c>
      <c r="R1181">
        <f t="shared" si="114"/>
        <v>8.3926354623817603E-2</v>
      </c>
    </row>
    <row r="1182" spans="1:18" hidden="1" x14ac:dyDescent="0.25">
      <c r="A1182" s="46">
        <v>2020</v>
      </c>
      <c r="B1182" s="56">
        <v>458</v>
      </c>
      <c r="C1182" s="47" t="s">
        <v>99</v>
      </c>
      <c r="D1182" s="47" t="s">
        <v>52</v>
      </c>
      <c r="E1182" s="47" t="s">
        <v>49</v>
      </c>
      <c r="F1182" s="46">
        <v>910</v>
      </c>
      <c r="G1182" s="46">
        <v>50</v>
      </c>
      <c r="H1182" s="46">
        <v>140</v>
      </c>
      <c r="I1182" s="46">
        <v>95</v>
      </c>
      <c r="J1182" s="46">
        <v>75</v>
      </c>
      <c r="K1182" s="46">
        <v>60</v>
      </c>
      <c r="L1182" s="46">
        <v>485</v>
      </c>
      <c r="M1182">
        <f t="shared" si="109"/>
        <v>5.8282190710984439E-3</v>
      </c>
      <c r="N1182">
        <f t="shared" si="110"/>
        <v>1.6319013399075644E-2</v>
      </c>
      <c r="O1182">
        <f t="shared" si="111"/>
        <v>1.1073616235087045E-2</v>
      </c>
      <c r="P1182">
        <f t="shared" si="112"/>
        <v>8.7423286066476667E-3</v>
      </c>
      <c r="Q1182">
        <f t="shared" si="113"/>
        <v>6.993862885318133E-3</v>
      </c>
      <c r="R1182">
        <f t="shared" si="114"/>
        <v>5.6533724989654914E-2</v>
      </c>
    </row>
    <row r="1183" spans="1:18" hidden="1" x14ac:dyDescent="0.25">
      <c r="A1183" s="46">
        <v>2020</v>
      </c>
      <c r="B1183" s="56">
        <v>458</v>
      </c>
      <c r="C1183" s="47" t="s">
        <v>99</v>
      </c>
      <c r="D1183" s="47" t="s">
        <v>52</v>
      </c>
      <c r="E1183" s="47" t="s">
        <v>50</v>
      </c>
      <c r="F1183" s="46">
        <v>290</v>
      </c>
      <c r="G1183" s="46">
        <v>5</v>
      </c>
      <c r="H1183" s="46">
        <v>10</v>
      </c>
      <c r="I1183" s="46">
        <v>15</v>
      </c>
      <c r="J1183" s="46">
        <v>20</v>
      </c>
      <c r="K1183" s="46">
        <v>10</v>
      </c>
      <c r="L1183" s="46">
        <v>235</v>
      </c>
      <c r="M1183">
        <f t="shared" si="109"/>
        <v>5.8282190710984446E-4</v>
      </c>
      <c r="N1183">
        <f t="shared" si="110"/>
        <v>1.1656438142196889E-3</v>
      </c>
      <c r="O1183">
        <f t="shared" si="111"/>
        <v>1.7484657213295333E-3</v>
      </c>
      <c r="P1183">
        <f t="shared" si="112"/>
        <v>2.3312876284393778E-3</v>
      </c>
      <c r="Q1183">
        <f t="shared" si="113"/>
        <v>1.1656438142196889E-3</v>
      </c>
      <c r="R1183">
        <f t="shared" si="114"/>
        <v>2.7392629634162689E-2</v>
      </c>
    </row>
    <row r="1184" spans="1:18" x14ac:dyDescent="0.25">
      <c r="A1184" s="46">
        <v>2020</v>
      </c>
      <c r="B1184" s="56">
        <v>459</v>
      </c>
      <c r="C1184" s="47" t="s">
        <v>100</v>
      </c>
      <c r="D1184" s="47" t="s">
        <v>42</v>
      </c>
      <c r="E1184" s="47" t="s">
        <v>43</v>
      </c>
      <c r="F1184" s="46">
        <v>34995</v>
      </c>
      <c r="G1184" s="46">
        <v>3015</v>
      </c>
      <c r="H1184" s="46">
        <v>7665</v>
      </c>
      <c r="I1184" s="46">
        <v>5915</v>
      </c>
      <c r="J1184" s="46">
        <v>3335</v>
      </c>
      <c r="K1184" s="46">
        <v>2035</v>
      </c>
      <c r="L1184" s="46">
        <v>13025</v>
      </c>
      <c r="M1184">
        <f t="shared" si="109"/>
        <v>0.35144160998723617</v>
      </c>
      <c r="N1184">
        <f t="shared" si="110"/>
        <v>0.89346598359939156</v>
      </c>
      <c r="O1184">
        <f t="shared" si="111"/>
        <v>0.68947831611094601</v>
      </c>
      <c r="P1184">
        <f t="shared" si="112"/>
        <v>0.38874221204226622</v>
      </c>
      <c r="Q1184">
        <f t="shared" si="113"/>
        <v>0.2372085161937067</v>
      </c>
      <c r="R1184">
        <f t="shared" si="114"/>
        <v>1.5182510680211447</v>
      </c>
    </row>
    <row r="1185" spans="1:18" hidden="1" x14ac:dyDescent="0.25">
      <c r="A1185" s="46">
        <v>2020</v>
      </c>
      <c r="B1185" s="56">
        <v>459</v>
      </c>
      <c r="C1185" s="47" t="s">
        <v>100</v>
      </c>
      <c r="D1185" s="47" t="s">
        <v>42</v>
      </c>
      <c r="E1185" s="47" t="s">
        <v>44</v>
      </c>
      <c r="F1185" s="46">
        <v>5310</v>
      </c>
      <c r="G1185" s="46">
        <v>810</v>
      </c>
      <c r="H1185" s="46">
        <v>2030</v>
      </c>
      <c r="I1185" s="46">
        <v>1410</v>
      </c>
      <c r="J1185" s="46">
        <v>510</v>
      </c>
      <c r="K1185" s="46">
        <v>270</v>
      </c>
      <c r="L1185" s="46">
        <v>275</v>
      </c>
      <c r="M1185">
        <f t="shared" si="109"/>
        <v>9.4417148951794802E-2</v>
      </c>
      <c r="N1185">
        <f t="shared" si="110"/>
        <v>0.23662569428659685</v>
      </c>
      <c r="O1185">
        <f t="shared" si="111"/>
        <v>0.16435577780497612</v>
      </c>
      <c r="P1185">
        <f t="shared" si="112"/>
        <v>5.9447834525204135E-2</v>
      </c>
      <c r="Q1185">
        <f t="shared" si="113"/>
        <v>3.1472382983931603E-2</v>
      </c>
      <c r="R1185">
        <f t="shared" si="114"/>
        <v>3.2055204891041446E-2</v>
      </c>
    </row>
    <row r="1186" spans="1:18" hidden="1" x14ac:dyDescent="0.25">
      <c r="A1186" s="46">
        <v>2020</v>
      </c>
      <c r="B1186" s="56">
        <v>459</v>
      </c>
      <c r="C1186" s="47" t="s">
        <v>100</v>
      </c>
      <c r="D1186" s="47" t="s">
        <v>42</v>
      </c>
      <c r="E1186" s="47" t="s">
        <v>45</v>
      </c>
      <c r="F1186" s="46">
        <v>1595</v>
      </c>
      <c r="G1186" s="46">
        <v>250</v>
      </c>
      <c r="H1186" s="46">
        <v>385</v>
      </c>
      <c r="I1186" s="46">
        <v>395</v>
      </c>
      <c r="J1186" s="46">
        <v>140</v>
      </c>
      <c r="K1186" s="46">
        <v>80</v>
      </c>
      <c r="L1186" s="46">
        <v>345</v>
      </c>
      <c r="M1186">
        <f t="shared" si="109"/>
        <v>2.9141095355492221E-2</v>
      </c>
      <c r="N1186">
        <f t="shared" si="110"/>
        <v>4.4877286847458023E-2</v>
      </c>
      <c r="O1186">
        <f t="shared" si="111"/>
        <v>4.6042930661677708E-2</v>
      </c>
      <c r="P1186">
        <f t="shared" si="112"/>
        <v>1.6319013399075644E-2</v>
      </c>
      <c r="Q1186">
        <f t="shared" si="113"/>
        <v>9.3251505137575113E-3</v>
      </c>
      <c r="R1186">
        <f t="shared" si="114"/>
        <v>4.0214711590579266E-2</v>
      </c>
    </row>
    <row r="1187" spans="1:18" hidden="1" x14ac:dyDescent="0.25">
      <c r="A1187" s="46">
        <v>2020</v>
      </c>
      <c r="B1187" s="56">
        <v>459</v>
      </c>
      <c r="C1187" s="47" t="s">
        <v>100</v>
      </c>
      <c r="D1187" s="47" t="s">
        <v>42</v>
      </c>
      <c r="E1187" s="47" t="s">
        <v>46</v>
      </c>
      <c r="F1187" s="46">
        <v>2875</v>
      </c>
      <c r="G1187" s="46">
        <v>470</v>
      </c>
      <c r="H1187" s="46">
        <v>1010</v>
      </c>
      <c r="I1187" s="46">
        <v>555</v>
      </c>
      <c r="J1187" s="46">
        <v>140</v>
      </c>
      <c r="K1187" s="46">
        <v>60</v>
      </c>
      <c r="L1187" s="46">
        <v>640</v>
      </c>
      <c r="M1187">
        <f t="shared" si="109"/>
        <v>5.4785259268325379E-2</v>
      </c>
      <c r="N1187">
        <f t="shared" si="110"/>
        <v>0.11773002523618858</v>
      </c>
      <c r="O1187">
        <f t="shared" si="111"/>
        <v>6.4693231689192734E-2</v>
      </c>
      <c r="P1187">
        <f t="shared" si="112"/>
        <v>1.6319013399075644E-2</v>
      </c>
      <c r="Q1187">
        <f t="shared" si="113"/>
        <v>6.993862885318133E-3</v>
      </c>
      <c r="R1187">
        <f t="shared" si="114"/>
        <v>7.460120411006009E-2</v>
      </c>
    </row>
    <row r="1188" spans="1:18" hidden="1" x14ac:dyDescent="0.25">
      <c r="A1188" s="46">
        <v>2020</v>
      </c>
      <c r="B1188" s="56">
        <v>459</v>
      </c>
      <c r="C1188" s="47" t="s">
        <v>100</v>
      </c>
      <c r="D1188" s="47" t="s">
        <v>42</v>
      </c>
      <c r="E1188" s="47" t="s">
        <v>47</v>
      </c>
      <c r="F1188" s="46">
        <v>3515</v>
      </c>
      <c r="G1188" s="46">
        <v>380</v>
      </c>
      <c r="H1188" s="46">
        <v>975</v>
      </c>
      <c r="I1188" s="46">
        <v>820</v>
      </c>
      <c r="J1188" s="46">
        <v>490</v>
      </c>
      <c r="K1188" s="46">
        <v>195</v>
      </c>
      <c r="L1188" s="46">
        <v>655</v>
      </c>
      <c r="M1188">
        <f t="shared" si="109"/>
        <v>4.429446494034818E-2</v>
      </c>
      <c r="N1188">
        <f t="shared" si="110"/>
        <v>0.11365027188641966</v>
      </c>
      <c r="O1188">
        <f t="shared" si="111"/>
        <v>9.5582792766014488E-2</v>
      </c>
      <c r="P1188">
        <f t="shared" si="112"/>
        <v>5.7116546896764757E-2</v>
      </c>
      <c r="Q1188">
        <f t="shared" si="113"/>
        <v>2.2730054377283933E-2</v>
      </c>
      <c r="R1188">
        <f t="shared" si="114"/>
        <v>7.6349669831389619E-2</v>
      </c>
    </row>
    <row r="1189" spans="1:18" hidden="1" x14ac:dyDescent="0.25">
      <c r="A1189" s="46">
        <v>2020</v>
      </c>
      <c r="B1189" s="56">
        <v>459</v>
      </c>
      <c r="C1189" s="47" t="s">
        <v>100</v>
      </c>
      <c r="D1189" s="47" t="s">
        <v>42</v>
      </c>
      <c r="E1189" s="47" t="s">
        <v>48</v>
      </c>
      <c r="F1189" s="46">
        <v>13910</v>
      </c>
      <c r="G1189" s="46">
        <v>895</v>
      </c>
      <c r="H1189" s="46">
        <v>2645</v>
      </c>
      <c r="I1189" s="46">
        <v>2170</v>
      </c>
      <c r="J1189" s="46">
        <v>1625</v>
      </c>
      <c r="K1189" s="46">
        <v>1115</v>
      </c>
      <c r="L1189" s="46">
        <v>5455</v>
      </c>
      <c r="M1189">
        <f t="shared" si="109"/>
        <v>0.10432512137266214</v>
      </c>
      <c r="N1189">
        <f t="shared" si="110"/>
        <v>0.30831278886110774</v>
      </c>
      <c r="O1189">
        <f t="shared" si="111"/>
        <v>0.25294470768567245</v>
      </c>
      <c r="P1189">
        <f t="shared" si="112"/>
        <v>0.18941711981069945</v>
      </c>
      <c r="Q1189">
        <f t="shared" si="113"/>
        <v>0.12996928528549531</v>
      </c>
      <c r="R1189">
        <f t="shared" si="114"/>
        <v>0.63585870065684025</v>
      </c>
    </row>
    <row r="1190" spans="1:18" hidden="1" x14ac:dyDescent="0.25">
      <c r="A1190" s="46">
        <v>2020</v>
      </c>
      <c r="B1190" s="56">
        <v>459</v>
      </c>
      <c r="C1190" s="47" t="s">
        <v>100</v>
      </c>
      <c r="D1190" s="47" t="s">
        <v>42</v>
      </c>
      <c r="E1190" s="47" t="s">
        <v>49</v>
      </c>
      <c r="F1190" s="46">
        <v>5535</v>
      </c>
      <c r="G1190" s="46">
        <v>190</v>
      </c>
      <c r="H1190" s="46">
        <v>540</v>
      </c>
      <c r="I1190" s="46">
        <v>465</v>
      </c>
      <c r="J1190" s="46">
        <v>380</v>
      </c>
      <c r="K1190" s="46">
        <v>275</v>
      </c>
      <c r="L1190" s="46">
        <v>3685</v>
      </c>
      <c r="M1190">
        <f t="shared" si="109"/>
        <v>2.214723247017409E-2</v>
      </c>
      <c r="N1190">
        <f t="shared" si="110"/>
        <v>6.2944765967863206E-2</v>
      </c>
      <c r="O1190">
        <f t="shared" si="111"/>
        <v>5.4202437361215529E-2</v>
      </c>
      <c r="P1190">
        <f t="shared" si="112"/>
        <v>4.429446494034818E-2</v>
      </c>
      <c r="Q1190">
        <f t="shared" si="113"/>
        <v>3.2055204891041446E-2</v>
      </c>
      <c r="R1190">
        <f t="shared" si="114"/>
        <v>0.42953974553995533</v>
      </c>
    </row>
    <row r="1191" spans="1:18" hidden="1" x14ac:dyDescent="0.25">
      <c r="A1191" s="46">
        <v>2020</v>
      </c>
      <c r="B1191" s="56">
        <v>459</v>
      </c>
      <c r="C1191" s="47" t="s">
        <v>100</v>
      </c>
      <c r="D1191" s="47" t="s">
        <v>42</v>
      </c>
      <c r="E1191" s="47" t="s">
        <v>50</v>
      </c>
      <c r="F1191" s="46">
        <v>2260</v>
      </c>
      <c r="G1191" s="46">
        <v>20</v>
      </c>
      <c r="H1191" s="46">
        <v>75</v>
      </c>
      <c r="I1191" s="46">
        <v>100</v>
      </c>
      <c r="J1191" s="46">
        <v>50</v>
      </c>
      <c r="K1191" s="46">
        <v>40</v>
      </c>
      <c r="L1191" s="46">
        <v>1970</v>
      </c>
      <c r="M1191">
        <f t="shared" si="109"/>
        <v>2.3312876284393778E-3</v>
      </c>
      <c r="N1191">
        <f t="shared" si="110"/>
        <v>8.7423286066476667E-3</v>
      </c>
      <c r="O1191">
        <f t="shared" si="111"/>
        <v>1.1656438142196888E-2</v>
      </c>
      <c r="P1191">
        <f t="shared" si="112"/>
        <v>5.8282190710984439E-3</v>
      </c>
      <c r="Q1191">
        <f t="shared" si="113"/>
        <v>4.6625752568787556E-3</v>
      </c>
      <c r="R1191">
        <f t="shared" si="114"/>
        <v>0.22963183140127871</v>
      </c>
    </row>
    <row r="1192" spans="1:18" hidden="1" x14ac:dyDescent="0.25">
      <c r="A1192" s="46">
        <v>2020</v>
      </c>
      <c r="B1192" s="56">
        <v>459</v>
      </c>
      <c r="C1192" s="47" t="s">
        <v>100</v>
      </c>
      <c r="D1192" s="47" t="s">
        <v>51</v>
      </c>
      <c r="E1192" s="47" t="s">
        <v>43</v>
      </c>
      <c r="F1192" s="46">
        <v>19070</v>
      </c>
      <c r="G1192" s="46">
        <v>1690</v>
      </c>
      <c r="H1192" s="46">
        <v>4215</v>
      </c>
      <c r="I1192" s="46">
        <v>3340</v>
      </c>
      <c r="J1192" s="46">
        <v>1830</v>
      </c>
      <c r="K1192" s="46">
        <v>1145</v>
      </c>
      <c r="L1192" s="46">
        <v>6850</v>
      </c>
      <c r="M1192">
        <f t="shared" si="109"/>
        <v>0.19699380460312743</v>
      </c>
      <c r="N1192">
        <f t="shared" si="110"/>
        <v>0.49131886769359889</v>
      </c>
      <c r="O1192">
        <f t="shared" si="111"/>
        <v>0.38932503394937606</v>
      </c>
      <c r="P1192">
        <f t="shared" si="112"/>
        <v>0.21331281800220306</v>
      </c>
      <c r="Q1192">
        <f t="shared" si="113"/>
        <v>0.13346621672815437</v>
      </c>
      <c r="R1192">
        <f t="shared" si="114"/>
        <v>0.7984660127404869</v>
      </c>
    </row>
    <row r="1193" spans="1:18" hidden="1" x14ac:dyDescent="0.25">
      <c r="A1193" s="46">
        <v>2020</v>
      </c>
      <c r="B1193" s="56">
        <v>459</v>
      </c>
      <c r="C1193" s="47" t="s">
        <v>100</v>
      </c>
      <c r="D1193" s="47" t="s">
        <v>51</v>
      </c>
      <c r="E1193" s="47" t="s">
        <v>44</v>
      </c>
      <c r="F1193" s="46">
        <v>2775</v>
      </c>
      <c r="G1193" s="46">
        <v>420</v>
      </c>
      <c r="H1193" s="46">
        <v>1085</v>
      </c>
      <c r="I1193" s="46">
        <v>750</v>
      </c>
      <c r="J1193" s="46">
        <v>250</v>
      </c>
      <c r="K1193" s="46">
        <v>130</v>
      </c>
      <c r="L1193" s="46">
        <v>140</v>
      </c>
      <c r="M1193">
        <f t="shared" si="109"/>
        <v>4.895704019722693E-2</v>
      </c>
      <c r="N1193">
        <f t="shared" si="110"/>
        <v>0.12647235384283623</v>
      </c>
      <c r="O1193">
        <f t="shared" si="111"/>
        <v>8.742328606647666E-2</v>
      </c>
      <c r="P1193">
        <f t="shared" si="112"/>
        <v>2.9141095355492221E-2</v>
      </c>
      <c r="Q1193">
        <f t="shared" si="113"/>
        <v>1.5153369584855955E-2</v>
      </c>
      <c r="R1193">
        <f t="shared" si="114"/>
        <v>1.6319013399075644E-2</v>
      </c>
    </row>
    <row r="1194" spans="1:18" hidden="1" x14ac:dyDescent="0.25">
      <c r="A1194" s="46">
        <v>2020</v>
      </c>
      <c r="B1194" s="56">
        <v>459</v>
      </c>
      <c r="C1194" s="47" t="s">
        <v>100</v>
      </c>
      <c r="D1194" s="47" t="s">
        <v>51</v>
      </c>
      <c r="E1194" s="47" t="s">
        <v>45</v>
      </c>
      <c r="F1194" s="46">
        <v>855</v>
      </c>
      <c r="G1194" s="46">
        <v>145</v>
      </c>
      <c r="H1194" s="46">
        <v>220</v>
      </c>
      <c r="I1194" s="46">
        <v>220</v>
      </c>
      <c r="J1194" s="46">
        <v>65</v>
      </c>
      <c r="K1194" s="46">
        <v>50</v>
      </c>
      <c r="L1194" s="46">
        <v>160</v>
      </c>
      <c r="M1194">
        <f t="shared" si="109"/>
        <v>1.6901835306185491E-2</v>
      </c>
      <c r="N1194">
        <f t="shared" si="110"/>
        <v>2.5644163912833157E-2</v>
      </c>
      <c r="O1194">
        <f t="shared" si="111"/>
        <v>2.5644163912833157E-2</v>
      </c>
      <c r="P1194">
        <f t="shared" si="112"/>
        <v>7.5766847924279776E-3</v>
      </c>
      <c r="Q1194">
        <f t="shared" si="113"/>
        <v>5.8282190710984439E-3</v>
      </c>
      <c r="R1194">
        <f t="shared" si="114"/>
        <v>1.8650301027515023E-2</v>
      </c>
    </row>
    <row r="1195" spans="1:18" hidden="1" x14ac:dyDescent="0.25">
      <c r="A1195" s="46">
        <v>2020</v>
      </c>
      <c r="B1195" s="56">
        <v>459</v>
      </c>
      <c r="C1195" s="47" t="s">
        <v>100</v>
      </c>
      <c r="D1195" s="47" t="s">
        <v>51</v>
      </c>
      <c r="E1195" s="47" t="s">
        <v>46</v>
      </c>
      <c r="F1195" s="46">
        <v>1625</v>
      </c>
      <c r="G1195" s="46">
        <v>275</v>
      </c>
      <c r="H1195" s="46">
        <v>540</v>
      </c>
      <c r="I1195" s="46">
        <v>370</v>
      </c>
      <c r="J1195" s="46">
        <v>90</v>
      </c>
      <c r="K1195" s="46">
        <v>35</v>
      </c>
      <c r="L1195" s="46">
        <v>320</v>
      </c>
      <c r="M1195">
        <f t="shared" si="109"/>
        <v>3.2055204891041446E-2</v>
      </c>
      <c r="N1195">
        <f t="shared" si="110"/>
        <v>6.2944765967863206E-2</v>
      </c>
      <c r="O1195">
        <f t="shared" si="111"/>
        <v>4.3128821126128487E-2</v>
      </c>
      <c r="P1195">
        <f t="shared" si="112"/>
        <v>1.04907943279772E-2</v>
      </c>
      <c r="Q1195">
        <f t="shared" si="113"/>
        <v>4.0797533497689111E-3</v>
      </c>
      <c r="R1195">
        <f t="shared" si="114"/>
        <v>3.7300602055030045E-2</v>
      </c>
    </row>
    <row r="1196" spans="1:18" hidden="1" x14ac:dyDescent="0.25">
      <c r="A1196" s="46">
        <v>2020</v>
      </c>
      <c r="B1196" s="56">
        <v>459</v>
      </c>
      <c r="C1196" s="47" t="s">
        <v>100</v>
      </c>
      <c r="D1196" s="47" t="s">
        <v>51</v>
      </c>
      <c r="E1196" s="47" t="s">
        <v>47</v>
      </c>
      <c r="F1196" s="46">
        <v>2010</v>
      </c>
      <c r="G1196" s="46">
        <v>230</v>
      </c>
      <c r="H1196" s="46">
        <v>545</v>
      </c>
      <c r="I1196" s="46">
        <v>490</v>
      </c>
      <c r="J1196" s="46">
        <v>270</v>
      </c>
      <c r="K1196" s="46">
        <v>105</v>
      </c>
      <c r="L1196" s="46">
        <v>370</v>
      </c>
      <c r="M1196">
        <f t="shared" si="109"/>
        <v>2.6809807727052843E-2</v>
      </c>
      <c r="N1196">
        <f t="shared" si="110"/>
        <v>6.3527587874973049E-2</v>
      </c>
      <c r="O1196">
        <f t="shared" si="111"/>
        <v>5.7116546896764757E-2</v>
      </c>
      <c r="P1196">
        <f t="shared" si="112"/>
        <v>3.1472382983931603E-2</v>
      </c>
      <c r="Q1196">
        <f t="shared" si="113"/>
        <v>1.2239260049306732E-2</v>
      </c>
      <c r="R1196">
        <f t="shared" si="114"/>
        <v>4.3128821126128487E-2</v>
      </c>
    </row>
    <row r="1197" spans="1:18" hidden="1" x14ac:dyDescent="0.25">
      <c r="A1197" s="46">
        <v>2020</v>
      </c>
      <c r="B1197" s="56">
        <v>459</v>
      </c>
      <c r="C1197" s="47" t="s">
        <v>100</v>
      </c>
      <c r="D1197" s="47" t="s">
        <v>51</v>
      </c>
      <c r="E1197" s="47" t="s">
        <v>48</v>
      </c>
      <c r="F1197" s="46">
        <v>7550</v>
      </c>
      <c r="G1197" s="46">
        <v>515</v>
      </c>
      <c r="H1197" s="46">
        <v>1485</v>
      </c>
      <c r="I1197" s="46">
        <v>1205</v>
      </c>
      <c r="J1197" s="46">
        <v>900</v>
      </c>
      <c r="K1197" s="46">
        <v>645</v>
      </c>
      <c r="L1197" s="46">
        <v>2805</v>
      </c>
      <c r="M1197">
        <f t="shared" si="109"/>
        <v>6.0030656432313978E-2</v>
      </c>
      <c r="N1197">
        <f t="shared" si="110"/>
        <v>0.17309810641162382</v>
      </c>
      <c r="O1197">
        <f t="shared" si="111"/>
        <v>0.14046007961347251</v>
      </c>
      <c r="P1197">
        <f t="shared" si="112"/>
        <v>0.104907943279772</v>
      </c>
      <c r="Q1197">
        <f t="shared" si="113"/>
        <v>7.5184026017169933E-2</v>
      </c>
      <c r="R1197">
        <f t="shared" si="114"/>
        <v>0.32696308988862277</v>
      </c>
    </row>
    <row r="1198" spans="1:18" hidden="1" x14ac:dyDescent="0.25">
      <c r="A1198" s="46">
        <v>2020</v>
      </c>
      <c r="B1198" s="56">
        <v>459</v>
      </c>
      <c r="C1198" s="47" t="s">
        <v>100</v>
      </c>
      <c r="D1198" s="47" t="s">
        <v>51</v>
      </c>
      <c r="E1198" s="47" t="s">
        <v>49</v>
      </c>
      <c r="F1198" s="46">
        <v>3140</v>
      </c>
      <c r="G1198" s="46">
        <v>100</v>
      </c>
      <c r="H1198" s="46">
        <v>310</v>
      </c>
      <c r="I1198" s="46">
        <v>260</v>
      </c>
      <c r="J1198" s="46">
        <v>240</v>
      </c>
      <c r="K1198" s="46">
        <v>170</v>
      </c>
      <c r="L1198" s="46">
        <v>2055</v>
      </c>
      <c r="M1198">
        <f t="shared" si="109"/>
        <v>1.1656438142196888E-2</v>
      </c>
      <c r="N1198">
        <f t="shared" si="110"/>
        <v>3.613495824081036E-2</v>
      </c>
      <c r="O1198">
        <f t="shared" si="111"/>
        <v>3.030673916971191E-2</v>
      </c>
      <c r="P1198">
        <f t="shared" si="112"/>
        <v>2.7975451541272532E-2</v>
      </c>
      <c r="Q1198">
        <f t="shared" si="113"/>
        <v>1.9815944841734712E-2</v>
      </c>
      <c r="R1198">
        <f t="shared" si="114"/>
        <v>0.23953980382214607</v>
      </c>
    </row>
    <row r="1199" spans="1:18" hidden="1" x14ac:dyDescent="0.25">
      <c r="A1199" s="46">
        <v>2020</v>
      </c>
      <c r="B1199" s="56">
        <v>459</v>
      </c>
      <c r="C1199" s="47" t="s">
        <v>100</v>
      </c>
      <c r="D1199" s="47" t="s">
        <v>51</v>
      </c>
      <c r="E1199" s="47" t="s">
        <v>50</v>
      </c>
      <c r="F1199" s="46">
        <v>1110</v>
      </c>
      <c r="G1199" s="46">
        <v>5</v>
      </c>
      <c r="H1199" s="46">
        <v>25</v>
      </c>
      <c r="I1199" s="46">
        <v>45</v>
      </c>
      <c r="J1199" s="46">
        <v>20</v>
      </c>
      <c r="K1199" s="46">
        <v>15</v>
      </c>
      <c r="L1199" s="46">
        <v>995</v>
      </c>
      <c r="M1199">
        <f t="shared" si="109"/>
        <v>5.8282190710984446E-4</v>
      </c>
      <c r="N1199">
        <f t="shared" si="110"/>
        <v>2.914109535549222E-3</v>
      </c>
      <c r="O1199">
        <f t="shared" si="111"/>
        <v>5.2453971639886002E-3</v>
      </c>
      <c r="P1199">
        <f t="shared" si="112"/>
        <v>2.3312876284393778E-3</v>
      </c>
      <c r="Q1199">
        <f t="shared" si="113"/>
        <v>1.7484657213295333E-3</v>
      </c>
      <c r="R1199">
        <f t="shared" si="114"/>
        <v>0.11598155951485904</v>
      </c>
    </row>
    <row r="1200" spans="1:18" hidden="1" x14ac:dyDescent="0.25">
      <c r="A1200" s="46">
        <v>2020</v>
      </c>
      <c r="B1200" s="56">
        <v>459</v>
      </c>
      <c r="C1200" s="47" t="s">
        <v>100</v>
      </c>
      <c r="D1200" s="47" t="s">
        <v>52</v>
      </c>
      <c r="E1200" s="47" t="s">
        <v>43</v>
      </c>
      <c r="F1200" s="46">
        <v>15925</v>
      </c>
      <c r="G1200" s="46">
        <v>1330</v>
      </c>
      <c r="H1200" s="46">
        <v>3450</v>
      </c>
      <c r="I1200" s="46">
        <v>2570</v>
      </c>
      <c r="J1200" s="46">
        <v>1505</v>
      </c>
      <c r="K1200" s="46">
        <v>890</v>
      </c>
      <c r="L1200" s="46">
        <v>6180</v>
      </c>
      <c r="M1200">
        <f t="shared" si="109"/>
        <v>0.15503062729121861</v>
      </c>
      <c r="N1200">
        <f t="shared" si="110"/>
        <v>0.40214711590579272</v>
      </c>
      <c r="O1200">
        <f t="shared" si="111"/>
        <v>0.29957046025446005</v>
      </c>
      <c r="P1200">
        <f t="shared" si="112"/>
        <v>0.17542939404006319</v>
      </c>
      <c r="Q1200">
        <f t="shared" si="113"/>
        <v>0.10374229946555232</v>
      </c>
      <c r="R1200">
        <f t="shared" si="114"/>
        <v>0.72036787718776774</v>
      </c>
    </row>
    <row r="1201" spans="1:18" hidden="1" x14ac:dyDescent="0.25">
      <c r="A1201" s="46">
        <v>2020</v>
      </c>
      <c r="B1201" s="56">
        <v>459</v>
      </c>
      <c r="C1201" s="47" t="s">
        <v>100</v>
      </c>
      <c r="D1201" s="47" t="s">
        <v>52</v>
      </c>
      <c r="E1201" s="47" t="s">
        <v>44</v>
      </c>
      <c r="F1201" s="46">
        <v>2530</v>
      </c>
      <c r="G1201" s="46">
        <v>390</v>
      </c>
      <c r="H1201" s="46">
        <v>945</v>
      </c>
      <c r="I1201" s="46">
        <v>665</v>
      </c>
      <c r="J1201" s="46">
        <v>260</v>
      </c>
      <c r="K1201" s="46">
        <v>140</v>
      </c>
      <c r="L1201" s="46">
        <v>135</v>
      </c>
      <c r="M1201">
        <f t="shared" si="109"/>
        <v>4.5460108754567866E-2</v>
      </c>
      <c r="N1201">
        <f t="shared" si="110"/>
        <v>0.1101533404437606</v>
      </c>
      <c r="O1201">
        <f t="shared" si="111"/>
        <v>7.7515313645609304E-2</v>
      </c>
      <c r="P1201">
        <f t="shared" si="112"/>
        <v>3.030673916971191E-2</v>
      </c>
      <c r="Q1201">
        <f t="shared" si="113"/>
        <v>1.6319013399075644E-2</v>
      </c>
      <c r="R1201">
        <f t="shared" si="114"/>
        <v>1.5736191491965801E-2</v>
      </c>
    </row>
    <row r="1202" spans="1:18" hidden="1" x14ac:dyDescent="0.25">
      <c r="A1202" s="46">
        <v>2020</v>
      </c>
      <c r="B1202" s="56">
        <v>459</v>
      </c>
      <c r="C1202" s="47" t="s">
        <v>100</v>
      </c>
      <c r="D1202" s="47" t="s">
        <v>52</v>
      </c>
      <c r="E1202" s="47" t="s">
        <v>45</v>
      </c>
      <c r="F1202" s="46">
        <v>735</v>
      </c>
      <c r="G1202" s="46">
        <v>110</v>
      </c>
      <c r="H1202" s="46">
        <v>165</v>
      </c>
      <c r="I1202" s="46">
        <v>175</v>
      </c>
      <c r="J1202" s="46">
        <v>75</v>
      </c>
      <c r="K1202" s="46">
        <v>30</v>
      </c>
      <c r="L1202" s="46">
        <v>185</v>
      </c>
      <c r="M1202">
        <f t="shared" si="109"/>
        <v>1.2822081956416579E-2</v>
      </c>
      <c r="N1202">
        <f t="shared" si="110"/>
        <v>1.9233122934624865E-2</v>
      </c>
      <c r="O1202">
        <f t="shared" si="111"/>
        <v>2.0398766748844555E-2</v>
      </c>
      <c r="P1202">
        <f t="shared" si="112"/>
        <v>8.7423286066476667E-3</v>
      </c>
      <c r="Q1202">
        <f t="shared" si="113"/>
        <v>3.4969314426590665E-3</v>
      </c>
      <c r="R1202">
        <f t="shared" si="114"/>
        <v>2.1564410563064244E-2</v>
      </c>
    </row>
    <row r="1203" spans="1:18" hidden="1" x14ac:dyDescent="0.25">
      <c r="A1203" s="46">
        <v>2020</v>
      </c>
      <c r="B1203" s="56">
        <v>459</v>
      </c>
      <c r="C1203" s="47" t="s">
        <v>100</v>
      </c>
      <c r="D1203" s="47" t="s">
        <v>52</v>
      </c>
      <c r="E1203" s="47" t="s">
        <v>46</v>
      </c>
      <c r="F1203" s="46">
        <v>1250</v>
      </c>
      <c r="G1203" s="46">
        <v>200</v>
      </c>
      <c r="H1203" s="46">
        <v>470</v>
      </c>
      <c r="I1203" s="46">
        <v>185</v>
      </c>
      <c r="J1203" s="46">
        <v>55</v>
      </c>
      <c r="K1203" s="46">
        <v>25</v>
      </c>
      <c r="L1203" s="46">
        <v>320</v>
      </c>
      <c r="M1203">
        <f t="shared" si="109"/>
        <v>2.3312876284393776E-2</v>
      </c>
      <c r="N1203">
        <f t="shared" si="110"/>
        <v>5.4785259268325379E-2</v>
      </c>
      <c r="O1203">
        <f t="shared" si="111"/>
        <v>2.1564410563064244E-2</v>
      </c>
      <c r="P1203">
        <f t="shared" si="112"/>
        <v>6.4110409782082893E-3</v>
      </c>
      <c r="Q1203">
        <f t="shared" si="113"/>
        <v>2.914109535549222E-3</v>
      </c>
      <c r="R1203">
        <f t="shared" si="114"/>
        <v>3.7300602055030045E-2</v>
      </c>
    </row>
    <row r="1204" spans="1:18" hidden="1" x14ac:dyDescent="0.25">
      <c r="A1204" s="46">
        <v>2020</v>
      </c>
      <c r="B1204" s="56">
        <v>459</v>
      </c>
      <c r="C1204" s="47" t="s">
        <v>100</v>
      </c>
      <c r="D1204" s="47" t="s">
        <v>52</v>
      </c>
      <c r="E1204" s="47" t="s">
        <v>47</v>
      </c>
      <c r="F1204" s="46">
        <v>1510</v>
      </c>
      <c r="G1204" s="46">
        <v>150</v>
      </c>
      <c r="H1204" s="46">
        <v>430</v>
      </c>
      <c r="I1204" s="46">
        <v>335</v>
      </c>
      <c r="J1204" s="46">
        <v>220</v>
      </c>
      <c r="K1204" s="46">
        <v>90</v>
      </c>
      <c r="L1204" s="46">
        <v>285</v>
      </c>
      <c r="M1204">
        <f t="shared" si="109"/>
        <v>1.7484657213295333E-2</v>
      </c>
      <c r="N1204">
        <f t="shared" si="110"/>
        <v>5.0122684011446615E-2</v>
      </c>
      <c r="O1204">
        <f t="shared" si="111"/>
        <v>3.9049067776359581E-2</v>
      </c>
      <c r="P1204">
        <f t="shared" si="112"/>
        <v>2.5644163912833157E-2</v>
      </c>
      <c r="Q1204">
        <f t="shared" si="113"/>
        <v>1.04907943279772E-2</v>
      </c>
      <c r="R1204">
        <f t="shared" si="114"/>
        <v>3.3220848705261131E-2</v>
      </c>
    </row>
    <row r="1205" spans="1:18" hidden="1" x14ac:dyDescent="0.25">
      <c r="A1205" s="46">
        <v>2020</v>
      </c>
      <c r="B1205" s="56">
        <v>459</v>
      </c>
      <c r="C1205" s="47" t="s">
        <v>100</v>
      </c>
      <c r="D1205" s="47" t="s">
        <v>52</v>
      </c>
      <c r="E1205" s="47" t="s">
        <v>48</v>
      </c>
      <c r="F1205" s="46">
        <v>6355</v>
      </c>
      <c r="G1205" s="46">
        <v>385</v>
      </c>
      <c r="H1205" s="46">
        <v>1160</v>
      </c>
      <c r="I1205" s="46">
        <v>960</v>
      </c>
      <c r="J1205" s="46">
        <v>725</v>
      </c>
      <c r="K1205" s="46">
        <v>475</v>
      </c>
      <c r="L1205" s="46">
        <v>2650</v>
      </c>
      <c r="M1205">
        <f t="shared" si="109"/>
        <v>4.4877286847458023E-2</v>
      </c>
      <c r="N1205">
        <f t="shared" si="110"/>
        <v>0.13521468244948393</v>
      </c>
      <c r="O1205">
        <f t="shared" si="111"/>
        <v>0.11190180616509013</v>
      </c>
      <c r="P1205">
        <f t="shared" si="112"/>
        <v>8.4509176530927446E-2</v>
      </c>
      <c r="Q1205">
        <f t="shared" si="113"/>
        <v>5.5368081175435221E-2</v>
      </c>
      <c r="R1205">
        <f t="shared" si="114"/>
        <v>0.30889561076821753</v>
      </c>
    </row>
    <row r="1206" spans="1:18" hidden="1" x14ac:dyDescent="0.25">
      <c r="A1206" s="46">
        <v>2020</v>
      </c>
      <c r="B1206" s="56">
        <v>459</v>
      </c>
      <c r="C1206" s="47" t="s">
        <v>100</v>
      </c>
      <c r="D1206" s="47" t="s">
        <v>52</v>
      </c>
      <c r="E1206" s="47" t="s">
        <v>49</v>
      </c>
      <c r="F1206" s="46">
        <v>2395</v>
      </c>
      <c r="G1206" s="46">
        <v>85</v>
      </c>
      <c r="H1206" s="46">
        <v>230</v>
      </c>
      <c r="I1206" s="46">
        <v>200</v>
      </c>
      <c r="J1206" s="46">
        <v>140</v>
      </c>
      <c r="K1206" s="46">
        <v>110</v>
      </c>
      <c r="L1206" s="46">
        <v>1630</v>
      </c>
      <c r="M1206">
        <f t="shared" si="109"/>
        <v>9.9079724208673559E-3</v>
      </c>
      <c r="N1206">
        <f t="shared" si="110"/>
        <v>2.6809807727052843E-2</v>
      </c>
      <c r="O1206">
        <f t="shared" si="111"/>
        <v>2.3312876284393776E-2</v>
      </c>
      <c r="P1206">
        <f t="shared" si="112"/>
        <v>1.6319013399075644E-2</v>
      </c>
      <c r="Q1206">
        <f t="shared" si="113"/>
        <v>1.2822081956416579E-2</v>
      </c>
      <c r="R1206">
        <f t="shared" si="114"/>
        <v>0.18999994171780929</v>
      </c>
    </row>
    <row r="1207" spans="1:18" hidden="1" x14ac:dyDescent="0.25">
      <c r="A1207" s="46">
        <v>2020</v>
      </c>
      <c r="B1207" s="56">
        <v>459</v>
      </c>
      <c r="C1207" s="47" t="s">
        <v>100</v>
      </c>
      <c r="D1207" s="47" t="s">
        <v>52</v>
      </c>
      <c r="E1207" s="47" t="s">
        <v>50</v>
      </c>
      <c r="F1207" s="46">
        <v>1145</v>
      </c>
      <c r="G1207" s="46">
        <v>15</v>
      </c>
      <c r="H1207" s="46">
        <v>50</v>
      </c>
      <c r="I1207" s="46">
        <v>55</v>
      </c>
      <c r="J1207" s="46">
        <v>30</v>
      </c>
      <c r="K1207" s="46">
        <v>25</v>
      </c>
      <c r="L1207" s="46">
        <v>975</v>
      </c>
      <c r="M1207">
        <f t="shared" si="109"/>
        <v>1.7484657213295333E-3</v>
      </c>
      <c r="N1207">
        <f t="shared" si="110"/>
        <v>5.8282190710984439E-3</v>
      </c>
      <c r="O1207">
        <f t="shared" si="111"/>
        <v>6.4110409782082893E-3</v>
      </c>
      <c r="P1207">
        <f t="shared" si="112"/>
        <v>3.4969314426590665E-3</v>
      </c>
      <c r="Q1207">
        <f t="shared" si="113"/>
        <v>2.914109535549222E-3</v>
      </c>
      <c r="R1207">
        <f t="shared" si="114"/>
        <v>0.11365027188641966</v>
      </c>
    </row>
    <row r="1208" spans="1:18" x14ac:dyDescent="0.25">
      <c r="A1208" s="46">
        <v>2020</v>
      </c>
      <c r="B1208" s="56">
        <v>460</v>
      </c>
      <c r="C1208" s="47" t="s">
        <v>101</v>
      </c>
      <c r="D1208" s="47" t="s">
        <v>42</v>
      </c>
      <c r="E1208" s="47" t="s">
        <v>43</v>
      </c>
      <c r="F1208" s="46">
        <v>21370</v>
      </c>
      <c r="G1208" s="46">
        <v>1540</v>
      </c>
      <c r="H1208" s="46">
        <v>4635</v>
      </c>
      <c r="I1208" s="46">
        <v>4730</v>
      </c>
      <c r="J1208" s="46">
        <v>2285</v>
      </c>
      <c r="K1208" s="46">
        <v>1555</v>
      </c>
      <c r="L1208" s="46">
        <v>6625</v>
      </c>
      <c r="M1208">
        <f t="shared" si="109"/>
        <v>0.17950914738983209</v>
      </c>
      <c r="N1208">
        <f t="shared" si="110"/>
        <v>0.5402759078908258</v>
      </c>
      <c r="O1208">
        <f t="shared" si="111"/>
        <v>0.55134952412591287</v>
      </c>
      <c r="P1208">
        <f t="shared" si="112"/>
        <v>0.26634961154919895</v>
      </c>
      <c r="Q1208">
        <f t="shared" si="113"/>
        <v>0.18125761311116162</v>
      </c>
      <c r="R1208">
        <f t="shared" si="114"/>
        <v>0.77223902692054391</v>
      </c>
    </row>
    <row r="1209" spans="1:18" hidden="1" x14ac:dyDescent="0.25">
      <c r="A1209" s="46">
        <v>2020</v>
      </c>
      <c r="B1209" s="56">
        <v>460</v>
      </c>
      <c r="C1209" s="47" t="s">
        <v>101</v>
      </c>
      <c r="D1209" s="47" t="s">
        <v>42</v>
      </c>
      <c r="E1209" s="47" t="s">
        <v>44</v>
      </c>
      <c r="F1209" s="46">
        <v>3835</v>
      </c>
      <c r="G1209" s="46">
        <v>445</v>
      </c>
      <c r="H1209" s="46">
        <v>1450</v>
      </c>
      <c r="I1209" s="46">
        <v>1155</v>
      </c>
      <c r="J1209" s="46">
        <v>400</v>
      </c>
      <c r="K1209" s="46">
        <v>180</v>
      </c>
      <c r="L1209" s="46">
        <v>205</v>
      </c>
      <c r="M1209">
        <f t="shared" si="109"/>
        <v>5.1871149732776158E-2</v>
      </c>
      <c r="N1209">
        <f t="shared" si="110"/>
        <v>0.16901835306185489</v>
      </c>
      <c r="O1209">
        <f t="shared" si="111"/>
        <v>0.13463186054237405</v>
      </c>
      <c r="P1209">
        <f t="shared" si="112"/>
        <v>4.6625752568787551E-2</v>
      </c>
      <c r="Q1209">
        <f t="shared" si="113"/>
        <v>2.0981588655954401E-2</v>
      </c>
      <c r="R1209">
        <f t="shared" si="114"/>
        <v>2.3895698191503622E-2</v>
      </c>
    </row>
    <row r="1210" spans="1:18" hidden="1" x14ac:dyDescent="0.25">
      <c r="A1210" s="46">
        <v>2020</v>
      </c>
      <c r="B1210" s="56">
        <v>460</v>
      </c>
      <c r="C1210" s="47" t="s">
        <v>101</v>
      </c>
      <c r="D1210" s="47" t="s">
        <v>42</v>
      </c>
      <c r="E1210" s="47" t="s">
        <v>45</v>
      </c>
      <c r="F1210" s="46">
        <v>1070</v>
      </c>
      <c r="G1210" s="46">
        <v>100</v>
      </c>
      <c r="H1210" s="46">
        <v>230</v>
      </c>
      <c r="I1210" s="46">
        <v>345</v>
      </c>
      <c r="J1210" s="46">
        <v>110</v>
      </c>
      <c r="K1210" s="46">
        <v>60</v>
      </c>
      <c r="L1210" s="46">
        <v>225</v>
      </c>
      <c r="M1210">
        <f t="shared" si="109"/>
        <v>1.1656438142196888E-2</v>
      </c>
      <c r="N1210">
        <f t="shared" si="110"/>
        <v>2.6809807727052843E-2</v>
      </c>
      <c r="O1210">
        <f t="shared" si="111"/>
        <v>4.0214711590579266E-2</v>
      </c>
      <c r="P1210">
        <f t="shared" si="112"/>
        <v>1.2822081956416579E-2</v>
      </c>
      <c r="Q1210">
        <f t="shared" si="113"/>
        <v>6.993862885318133E-3</v>
      </c>
      <c r="R1210">
        <f t="shared" si="114"/>
        <v>2.6226985819943E-2</v>
      </c>
    </row>
    <row r="1211" spans="1:18" hidden="1" x14ac:dyDescent="0.25">
      <c r="A1211" s="46">
        <v>2020</v>
      </c>
      <c r="B1211" s="56">
        <v>460</v>
      </c>
      <c r="C1211" s="47" t="s">
        <v>101</v>
      </c>
      <c r="D1211" s="47" t="s">
        <v>42</v>
      </c>
      <c r="E1211" s="47" t="s">
        <v>46</v>
      </c>
      <c r="F1211" s="46">
        <v>1825</v>
      </c>
      <c r="G1211" s="46">
        <v>235</v>
      </c>
      <c r="H1211" s="46">
        <v>575</v>
      </c>
      <c r="I1211" s="46">
        <v>525</v>
      </c>
      <c r="J1211" s="46">
        <v>115</v>
      </c>
      <c r="K1211" s="46">
        <v>65</v>
      </c>
      <c r="L1211" s="46">
        <v>320</v>
      </c>
      <c r="M1211">
        <f t="shared" si="109"/>
        <v>2.7392629634162689E-2</v>
      </c>
      <c r="N1211">
        <f t="shared" si="110"/>
        <v>6.702451931763212E-2</v>
      </c>
      <c r="O1211">
        <f t="shared" si="111"/>
        <v>6.1196300246533664E-2</v>
      </c>
      <c r="P1211">
        <f t="shared" si="112"/>
        <v>1.3404903863526422E-2</v>
      </c>
      <c r="Q1211">
        <f t="shared" si="113"/>
        <v>7.5766847924279776E-3</v>
      </c>
      <c r="R1211">
        <f t="shared" si="114"/>
        <v>3.7300602055030045E-2</v>
      </c>
    </row>
    <row r="1212" spans="1:18" hidden="1" x14ac:dyDescent="0.25">
      <c r="A1212" s="46">
        <v>2020</v>
      </c>
      <c r="B1212" s="56">
        <v>460</v>
      </c>
      <c r="C1212" s="47" t="s">
        <v>101</v>
      </c>
      <c r="D1212" s="47" t="s">
        <v>42</v>
      </c>
      <c r="E1212" s="47" t="s">
        <v>47</v>
      </c>
      <c r="F1212" s="46">
        <v>2290</v>
      </c>
      <c r="G1212" s="46">
        <v>190</v>
      </c>
      <c r="H1212" s="46">
        <v>580</v>
      </c>
      <c r="I1212" s="46">
        <v>685</v>
      </c>
      <c r="J1212" s="46">
        <v>345</v>
      </c>
      <c r="K1212" s="46">
        <v>155</v>
      </c>
      <c r="L1212" s="46">
        <v>330</v>
      </c>
      <c r="M1212">
        <f t="shared" si="109"/>
        <v>2.214723247017409E-2</v>
      </c>
      <c r="N1212">
        <f t="shared" si="110"/>
        <v>6.7607341224741963E-2</v>
      </c>
      <c r="O1212">
        <f t="shared" si="111"/>
        <v>7.984660127404869E-2</v>
      </c>
      <c r="P1212">
        <f t="shared" si="112"/>
        <v>4.0214711590579266E-2</v>
      </c>
      <c r="Q1212">
        <f t="shared" si="113"/>
        <v>1.806747912040518E-2</v>
      </c>
      <c r="R1212">
        <f t="shared" si="114"/>
        <v>3.8466245869249731E-2</v>
      </c>
    </row>
    <row r="1213" spans="1:18" hidden="1" x14ac:dyDescent="0.25">
      <c r="A1213" s="46">
        <v>2020</v>
      </c>
      <c r="B1213" s="56">
        <v>460</v>
      </c>
      <c r="C1213" s="47" t="s">
        <v>101</v>
      </c>
      <c r="D1213" s="47" t="s">
        <v>42</v>
      </c>
      <c r="E1213" s="47" t="s">
        <v>48</v>
      </c>
      <c r="F1213" s="46">
        <v>8435</v>
      </c>
      <c r="G1213" s="46">
        <v>455</v>
      </c>
      <c r="H1213" s="46">
        <v>1440</v>
      </c>
      <c r="I1213" s="46">
        <v>1595</v>
      </c>
      <c r="J1213" s="46">
        <v>1050</v>
      </c>
      <c r="K1213" s="46">
        <v>810</v>
      </c>
      <c r="L1213" s="46">
        <v>3080</v>
      </c>
      <c r="M1213">
        <f t="shared" si="109"/>
        <v>5.3036793546995843E-2</v>
      </c>
      <c r="N1213">
        <f t="shared" si="110"/>
        <v>0.16785270924763521</v>
      </c>
      <c r="O1213">
        <f t="shared" si="111"/>
        <v>0.18592018836804039</v>
      </c>
      <c r="P1213">
        <f t="shared" si="112"/>
        <v>0.12239260049306733</v>
      </c>
      <c r="Q1213">
        <f t="shared" si="113"/>
        <v>9.4417148951794802E-2</v>
      </c>
      <c r="R1213">
        <f t="shared" si="114"/>
        <v>0.35901829477966418</v>
      </c>
    </row>
    <row r="1214" spans="1:18" hidden="1" x14ac:dyDescent="0.25">
      <c r="A1214" s="46">
        <v>2020</v>
      </c>
      <c r="B1214" s="56">
        <v>460</v>
      </c>
      <c r="C1214" s="47" t="s">
        <v>101</v>
      </c>
      <c r="D1214" s="47" t="s">
        <v>42</v>
      </c>
      <c r="E1214" s="47" t="s">
        <v>49</v>
      </c>
      <c r="F1214" s="46">
        <v>3105</v>
      </c>
      <c r="G1214" s="46">
        <v>105</v>
      </c>
      <c r="H1214" s="46">
        <v>330</v>
      </c>
      <c r="I1214" s="46">
        <v>380</v>
      </c>
      <c r="J1214" s="46">
        <v>235</v>
      </c>
      <c r="K1214" s="46">
        <v>255</v>
      </c>
      <c r="L1214" s="46">
        <v>1795</v>
      </c>
      <c r="M1214">
        <f t="shared" si="109"/>
        <v>1.2239260049306732E-2</v>
      </c>
      <c r="N1214">
        <f t="shared" si="110"/>
        <v>3.8466245869249731E-2</v>
      </c>
      <c r="O1214">
        <f t="shared" si="111"/>
        <v>4.429446494034818E-2</v>
      </c>
      <c r="P1214">
        <f t="shared" si="112"/>
        <v>2.7392629634162689E-2</v>
      </c>
      <c r="Q1214">
        <f t="shared" si="113"/>
        <v>2.9723917262602068E-2</v>
      </c>
      <c r="R1214">
        <f t="shared" si="114"/>
        <v>0.20923306465243419</v>
      </c>
    </row>
    <row r="1215" spans="1:18" hidden="1" x14ac:dyDescent="0.25">
      <c r="A1215" s="46">
        <v>2020</v>
      </c>
      <c r="B1215" s="56">
        <v>460</v>
      </c>
      <c r="C1215" s="47" t="s">
        <v>101</v>
      </c>
      <c r="D1215" s="47" t="s">
        <v>42</v>
      </c>
      <c r="E1215" s="47" t="s">
        <v>50</v>
      </c>
      <c r="F1215" s="46">
        <v>810</v>
      </c>
      <c r="G1215" s="46">
        <v>10</v>
      </c>
      <c r="H1215" s="46">
        <v>25</v>
      </c>
      <c r="I1215" s="46">
        <v>50</v>
      </c>
      <c r="J1215" s="46">
        <v>30</v>
      </c>
      <c r="K1215" s="46">
        <v>20</v>
      </c>
      <c r="L1215" s="46">
        <v>675</v>
      </c>
      <c r="M1215">
        <f t="shared" si="109"/>
        <v>1.1656438142196889E-3</v>
      </c>
      <c r="N1215">
        <f t="shared" si="110"/>
        <v>2.914109535549222E-3</v>
      </c>
      <c r="O1215">
        <f t="shared" si="111"/>
        <v>5.8282190710984439E-3</v>
      </c>
      <c r="P1215">
        <f t="shared" si="112"/>
        <v>3.4969314426590665E-3</v>
      </c>
      <c r="Q1215">
        <f t="shared" si="113"/>
        <v>2.3312876284393778E-3</v>
      </c>
      <c r="R1215">
        <f t="shared" si="114"/>
        <v>7.8680957459829004E-2</v>
      </c>
    </row>
    <row r="1216" spans="1:18" hidden="1" x14ac:dyDescent="0.25">
      <c r="A1216" s="46">
        <v>2020</v>
      </c>
      <c r="B1216" s="56">
        <v>460</v>
      </c>
      <c r="C1216" s="47" t="s">
        <v>101</v>
      </c>
      <c r="D1216" s="47" t="s">
        <v>51</v>
      </c>
      <c r="E1216" s="47" t="s">
        <v>43</v>
      </c>
      <c r="F1216" s="46">
        <v>11625</v>
      </c>
      <c r="G1216" s="46">
        <v>835</v>
      </c>
      <c r="H1216" s="46">
        <v>2395</v>
      </c>
      <c r="I1216" s="46">
        <v>2730</v>
      </c>
      <c r="J1216" s="46">
        <v>1260</v>
      </c>
      <c r="K1216" s="46">
        <v>890</v>
      </c>
      <c r="L1216" s="46">
        <v>3515</v>
      </c>
      <c r="M1216">
        <f t="shared" si="109"/>
        <v>9.7331258487344016E-2</v>
      </c>
      <c r="N1216">
        <f t="shared" si="110"/>
        <v>0.27917169350561549</v>
      </c>
      <c r="O1216">
        <f t="shared" si="111"/>
        <v>0.31822076128197507</v>
      </c>
      <c r="P1216">
        <f t="shared" si="112"/>
        <v>0.14687112059168081</v>
      </c>
      <c r="Q1216">
        <f t="shared" si="113"/>
        <v>0.10374229946555232</v>
      </c>
      <c r="R1216">
        <f t="shared" si="114"/>
        <v>0.40972380069822062</v>
      </c>
    </row>
    <row r="1217" spans="1:18" hidden="1" x14ac:dyDescent="0.25">
      <c r="A1217" s="46">
        <v>2020</v>
      </c>
      <c r="B1217" s="56">
        <v>460</v>
      </c>
      <c r="C1217" s="47" t="s">
        <v>101</v>
      </c>
      <c r="D1217" s="47" t="s">
        <v>51</v>
      </c>
      <c r="E1217" s="47" t="s">
        <v>44</v>
      </c>
      <c r="F1217" s="46">
        <v>1950</v>
      </c>
      <c r="G1217" s="46">
        <v>215</v>
      </c>
      <c r="H1217" s="46">
        <v>715</v>
      </c>
      <c r="I1217" s="46">
        <v>600</v>
      </c>
      <c r="J1217" s="46">
        <v>220</v>
      </c>
      <c r="K1217" s="46">
        <v>95</v>
      </c>
      <c r="L1217" s="46">
        <v>105</v>
      </c>
      <c r="M1217">
        <f t="shared" si="109"/>
        <v>2.5061342005723308E-2</v>
      </c>
      <c r="N1217">
        <f t="shared" si="110"/>
        <v>8.3343532716707761E-2</v>
      </c>
      <c r="O1217">
        <f t="shared" si="111"/>
        <v>6.9938628853181334E-2</v>
      </c>
      <c r="P1217">
        <f t="shared" si="112"/>
        <v>2.5644163912833157E-2</v>
      </c>
      <c r="Q1217">
        <f t="shared" si="113"/>
        <v>1.1073616235087045E-2</v>
      </c>
      <c r="R1217">
        <f t="shared" si="114"/>
        <v>1.2239260049306732E-2</v>
      </c>
    </row>
    <row r="1218" spans="1:18" hidden="1" x14ac:dyDescent="0.25">
      <c r="A1218" s="46">
        <v>2020</v>
      </c>
      <c r="B1218" s="56">
        <v>460</v>
      </c>
      <c r="C1218" s="47" t="s">
        <v>101</v>
      </c>
      <c r="D1218" s="47" t="s">
        <v>51</v>
      </c>
      <c r="E1218" s="47" t="s">
        <v>45</v>
      </c>
      <c r="F1218" s="46">
        <v>560</v>
      </c>
      <c r="G1218" s="46">
        <v>60</v>
      </c>
      <c r="H1218" s="46">
        <v>125</v>
      </c>
      <c r="I1218" s="46">
        <v>180</v>
      </c>
      <c r="J1218" s="46">
        <v>65</v>
      </c>
      <c r="K1218" s="46">
        <v>30</v>
      </c>
      <c r="L1218" s="46">
        <v>105</v>
      </c>
      <c r="M1218">
        <f t="shared" si="109"/>
        <v>6.993862885318133E-3</v>
      </c>
      <c r="N1218">
        <f t="shared" si="110"/>
        <v>1.4570547677746111E-2</v>
      </c>
      <c r="O1218">
        <f t="shared" si="111"/>
        <v>2.0981588655954401E-2</v>
      </c>
      <c r="P1218">
        <f t="shared" si="112"/>
        <v>7.5766847924279776E-3</v>
      </c>
      <c r="Q1218">
        <f t="shared" si="113"/>
        <v>3.4969314426590665E-3</v>
      </c>
      <c r="R1218">
        <f t="shared" si="114"/>
        <v>1.2239260049306732E-2</v>
      </c>
    </row>
    <row r="1219" spans="1:18" hidden="1" x14ac:dyDescent="0.25">
      <c r="A1219" s="46">
        <v>2020</v>
      </c>
      <c r="B1219" s="56">
        <v>460</v>
      </c>
      <c r="C1219" s="47" t="s">
        <v>101</v>
      </c>
      <c r="D1219" s="47" t="s">
        <v>51</v>
      </c>
      <c r="E1219" s="47" t="s">
        <v>46</v>
      </c>
      <c r="F1219" s="46">
        <v>1025</v>
      </c>
      <c r="G1219" s="46">
        <v>120</v>
      </c>
      <c r="H1219" s="46">
        <v>295</v>
      </c>
      <c r="I1219" s="46">
        <v>360</v>
      </c>
      <c r="J1219" s="46">
        <v>55</v>
      </c>
      <c r="K1219" s="46">
        <v>35</v>
      </c>
      <c r="L1219" s="46">
        <v>165</v>
      </c>
      <c r="M1219">
        <f t="shared" si="109"/>
        <v>1.3987725770636266E-2</v>
      </c>
      <c r="N1219">
        <f t="shared" si="110"/>
        <v>3.4386492519480824E-2</v>
      </c>
      <c r="O1219">
        <f t="shared" si="111"/>
        <v>4.1963177311908802E-2</v>
      </c>
      <c r="P1219">
        <f t="shared" si="112"/>
        <v>6.4110409782082893E-3</v>
      </c>
      <c r="Q1219">
        <f t="shared" si="113"/>
        <v>4.0797533497689111E-3</v>
      </c>
      <c r="R1219">
        <f t="shared" si="114"/>
        <v>1.9233122934624865E-2</v>
      </c>
    </row>
    <row r="1220" spans="1:18" hidden="1" x14ac:dyDescent="0.25">
      <c r="A1220" s="46">
        <v>2020</v>
      </c>
      <c r="B1220" s="56">
        <v>460</v>
      </c>
      <c r="C1220" s="47" t="s">
        <v>101</v>
      </c>
      <c r="D1220" s="47" t="s">
        <v>51</v>
      </c>
      <c r="E1220" s="47" t="s">
        <v>47</v>
      </c>
      <c r="F1220" s="46">
        <v>1235</v>
      </c>
      <c r="G1220" s="46">
        <v>100</v>
      </c>
      <c r="H1220" s="46">
        <v>275</v>
      </c>
      <c r="I1220" s="46">
        <v>420</v>
      </c>
      <c r="J1220" s="46">
        <v>170</v>
      </c>
      <c r="K1220" s="46">
        <v>90</v>
      </c>
      <c r="L1220" s="46">
        <v>180</v>
      </c>
      <c r="M1220">
        <f t="shared" si="109"/>
        <v>1.1656438142196888E-2</v>
      </c>
      <c r="N1220">
        <f t="shared" si="110"/>
        <v>3.2055204891041446E-2</v>
      </c>
      <c r="O1220">
        <f t="shared" si="111"/>
        <v>4.895704019722693E-2</v>
      </c>
      <c r="P1220">
        <f t="shared" si="112"/>
        <v>1.9815944841734712E-2</v>
      </c>
      <c r="Q1220">
        <f t="shared" si="113"/>
        <v>1.04907943279772E-2</v>
      </c>
      <c r="R1220">
        <f t="shared" si="114"/>
        <v>2.0981588655954401E-2</v>
      </c>
    </row>
    <row r="1221" spans="1:18" hidden="1" x14ac:dyDescent="0.25">
      <c r="A1221" s="46">
        <v>2020</v>
      </c>
      <c r="B1221" s="56">
        <v>460</v>
      </c>
      <c r="C1221" s="47" t="s">
        <v>101</v>
      </c>
      <c r="D1221" s="47" t="s">
        <v>51</v>
      </c>
      <c r="E1221" s="47" t="s">
        <v>48</v>
      </c>
      <c r="F1221" s="46">
        <v>4685</v>
      </c>
      <c r="G1221" s="46">
        <v>265</v>
      </c>
      <c r="H1221" s="46">
        <v>775</v>
      </c>
      <c r="I1221" s="46">
        <v>935</v>
      </c>
      <c r="J1221" s="46">
        <v>605</v>
      </c>
      <c r="K1221" s="46">
        <v>480</v>
      </c>
      <c r="L1221" s="46">
        <v>1625</v>
      </c>
      <c r="M1221">
        <f t="shared" si="109"/>
        <v>3.0889561076821757E-2</v>
      </c>
      <c r="N1221">
        <f t="shared" si="110"/>
        <v>9.0337395602025888E-2</v>
      </c>
      <c r="O1221">
        <f t="shared" si="111"/>
        <v>0.10898769662954091</v>
      </c>
      <c r="P1221">
        <f t="shared" si="112"/>
        <v>7.0521450760291177E-2</v>
      </c>
      <c r="Q1221">
        <f t="shared" si="113"/>
        <v>5.5950903082545064E-2</v>
      </c>
      <c r="R1221">
        <f t="shared" si="114"/>
        <v>0.18941711981069945</v>
      </c>
    </row>
    <row r="1222" spans="1:18" hidden="1" x14ac:dyDescent="0.25">
      <c r="A1222" s="46">
        <v>2020</v>
      </c>
      <c r="B1222" s="56">
        <v>460</v>
      </c>
      <c r="C1222" s="47" t="s">
        <v>101</v>
      </c>
      <c r="D1222" s="47" t="s">
        <v>51</v>
      </c>
      <c r="E1222" s="47" t="s">
        <v>49</v>
      </c>
      <c r="F1222" s="46">
        <v>1760</v>
      </c>
      <c r="G1222" s="46">
        <v>65</v>
      </c>
      <c r="H1222" s="46">
        <v>200</v>
      </c>
      <c r="I1222" s="46">
        <v>215</v>
      </c>
      <c r="J1222" s="46">
        <v>140</v>
      </c>
      <c r="K1222" s="46">
        <v>150</v>
      </c>
      <c r="L1222" s="46">
        <v>990</v>
      </c>
      <c r="M1222">
        <f t="shared" si="109"/>
        <v>7.5766847924279776E-3</v>
      </c>
      <c r="N1222">
        <f t="shared" si="110"/>
        <v>2.3312876284393776E-2</v>
      </c>
      <c r="O1222">
        <f t="shared" si="111"/>
        <v>2.5061342005723308E-2</v>
      </c>
      <c r="P1222">
        <f t="shared" si="112"/>
        <v>1.6319013399075644E-2</v>
      </c>
      <c r="Q1222">
        <f t="shared" si="113"/>
        <v>1.7484657213295333E-2</v>
      </c>
      <c r="R1222">
        <f t="shared" si="114"/>
        <v>0.1153987376077492</v>
      </c>
    </row>
    <row r="1223" spans="1:18" hidden="1" x14ac:dyDescent="0.25">
      <c r="A1223" s="46">
        <v>2020</v>
      </c>
      <c r="B1223" s="56">
        <v>460</v>
      </c>
      <c r="C1223" s="47" t="s">
        <v>101</v>
      </c>
      <c r="D1223" s="47" t="s">
        <v>51</v>
      </c>
      <c r="E1223" s="47" t="s">
        <v>50</v>
      </c>
      <c r="F1223" s="46">
        <v>405</v>
      </c>
      <c r="G1223" s="46">
        <v>5</v>
      </c>
      <c r="H1223" s="46">
        <v>10</v>
      </c>
      <c r="I1223" s="46">
        <v>20</v>
      </c>
      <c r="J1223" s="46">
        <v>15</v>
      </c>
      <c r="K1223" s="46">
        <v>10</v>
      </c>
      <c r="L1223" s="46">
        <v>340</v>
      </c>
      <c r="M1223">
        <f t="shared" si="109"/>
        <v>5.8282190710984446E-4</v>
      </c>
      <c r="N1223">
        <f t="shared" si="110"/>
        <v>1.1656438142196889E-3</v>
      </c>
      <c r="O1223">
        <f t="shared" si="111"/>
        <v>2.3312876284393778E-3</v>
      </c>
      <c r="P1223">
        <f t="shared" si="112"/>
        <v>1.7484657213295333E-3</v>
      </c>
      <c r="Q1223">
        <f t="shared" si="113"/>
        <v>1.1656438142196889E-3</v>
      </c>
      <c r="R1223">
        <f t="shared" si="114"/>
        <v>3.9631889683469423E-2</v>
      </c>
    </row>
    <row r="1224" spans="1:18" hidden="1" x14ac:dyDescent="0.25">
      <c r="A1224" s="46">
        <v>2020</v>
      </c>
      <c r="B1224" s="56">
        <v>460</v>
      </c>
      <c r="C1224" s="47" t="s">
        <v>101</v>
      </c>
      <c r="D1224" s="47" t="s">
        <v>52</v>
      </c>
      <c r="E1224" s="47" t="s">
        <v>43</v>
      </c>
      <c r="F1224" s="46">
        <v>9745</v>
      </c>
      <c r="G1224" s="46">
        <v>710</v>
      </c>
      <c r="H1224" s="46">
        <v>2240</v>
      </c>
      <c r="I1224" s="46">
        <v>2000</v>
      </c>
      <c r="J1224" s="46">
        <v>1025</v>
      </c>
      <c r="K1224" s="46">
        <v>665</v>
      </c>
      <c r="L1224" s="46">
        <v>3110</v>
      </c>
      <c r="M1224">
        <f t="shared" si="109"/>
        <v>8.2760710809597904E-2</v>
      </c>
      <c r="N1224">
        <f t="shared" si="110"/>
        <v>0.26110421438521031</v>
      </c>
      <c r="O1224">
        <f t="shared" si="111"/>
        <v>0.23312876284393777</v>
      </c>
      <c r="P1224">
        <f t="shared" si="112"/>
        <v>0.11947849095751811</v>
      </c>
      <c r="Q1224">
        <f t="shared" si="113"/>
        <v>7.7515313645609304E-2</v>
      </c>
      <c r="R1224">
        <f t="shared" si="114"/>
        <v>0.36251522622232324</v>
      </c>
    </row>
    <row r="1225" spans="1:18" hidden="1" x14ac:dyDescent="0.25">
      <c r="A1225" s="46">
        <v>2020</v>
      </c>
      <c r="B1225" s="56">
        <v>460</v>
      </c>
      <c r="C1225" s="47" t="s">
        <v>101</v>
      </c>
      <c r="D1225" s="47" t="s">
        <v>52</v>
      </c>
      <c r="E1225" s="47" t="s">
        <v>44</v>
      </c>
      <c r="F1225" s="46">
        <v>1885</v>
      </c>
      <c r="G1225" s="46">
        <v>225</v>
      </c>
      <c r="H1225" s="46">
        <v>735</v>
      </c>
      <c r="I1225" s="46">
        <v>555</v>
      </c>
      <c r="J1225" s="46">
        <v>180</v>
      </c>
      <c r="K1225" s="46">
        <v>85</v>
      </c>
      <c r="L1225" s="46">
        <v>100</v>
      </c>
      <c r="M1225">
        <f t="shared" ref="M1225:M1279" si="115">G1225/$F$8*100</f>
        <v>2.6226985819943E-2</v>
      </c>
      <c r="N1225">
        <f t="shared" ref="N1225:N1279" si="116">H1225/$F$8*100</f>
        <v>8.5674820345147132E-2</v>
      </c>
      <c r="O1225">
        <f t="shared" ref="O1225:O1279" si="117">I1225/$F$8*100</f>
        <v>6.4693231689192734E-2</v>
      </c>
      <c r="P1225">
        <f t="shared" ref="P1225:P1279" si="118">J1225/$F$8*100</f>
        <v>2.0981588655954401E-2</v>
      </c>
      <c r="Q1225">
        <f t="shared" ref="Q1225:Q1279" si="119">K1225/$F$8*100</f>
        <v>9.9079724208673559E-3</v>
      </c>
      <c r="R1225">
        <f t="shared" ref="R1225:R1279" si="120">L1225/$F$8*100</f>
        <v>1.1656438142196888E-2</v>
      </c>
    </row>
    <row r="1226" spans="1:18" hidden="1" x14ac:dyDescent="0.25">
      <c r="A1226" s="46">
        <v>2020</v>
      </c>
      <c r="B1226" s="56">
        <v>460</v>
      </c>
      <c r="C1226" s="47" t="s">
        <v>101</v>
      </c>
      <c r="D1226" s="47" t="s">
        <v>52</v>
      </c>
      <c r="E1226" s="47" t="s">
        <v>45</v>
      </c>
      <c r="F1226" s="46">
        <v>510</v>
      </c>
      <c r="G1226" s="46">
        <v>45</v>
      </c>
      <c r="H1226" s="46">
        <v>110</v>
      </c>
      <c r="I1226" s="46">
        <v>165</v>
      </c>
      <c r="J1226" s="46">
        <v>45</v>
      </c>
      <c r="K1226" s="46">
        <v>30</v>
      </c>
      <c r="L1226" s="46">
        <v>115</v>
      </c>
      <c r="M1226">
        <f t="shared" si="115"/>
        <v>5.2453971639886002E-3</v>
      </c>
      <c r="N1226">
        <f t="shared" si="116"/>
        <v>1.2822081956416579E-2</v>
      </c>
      <c r="O1226">
        <f t="shared" si="117"/>
        <v>1.9233122934624865E-2</v>
      </c>
      <c r="P1226">
        <f t="shared" si="118"/>
        <v>5.2453971639886002E-3</v>
      </c>
      <c r="Q1226">
        <f t="shared" si="119"/>
        <v>3.4969314426590665E-3</v>
      </c>
      <c r="R1226">
        <f t="shared" si="120"/>
        <v>1.3404903863526422E-2</v>
      </c>
    </row>
    <row r="1227" spans="1:18" hidden="1" x14ac:dyDescent="0.25">
      <c r="A1227" s="46">
        <v>2020</v>
      </c>
      <c r="B1227" s="56">
        <v>460</v>
      </c>
      <c r="C1227" s="47" t="s">
        <v>101</v>
      </c>
      <c r="D1227" s="47" t="s">
        <v>52</v>
      </c>
      <c r="E1227" s="47" t="s">
        <v>46</v>
      </c>
      <c r="F1227" s="46">
        <v>800</v>
      </c>
      <c r="G1227" s="46">
        <v>110</v>
      </c>
      <c r="H1227" s="46">
        <v>280</v>
      </c>
      <c r="I1227" s="46">
        <v>165</v>
      </c>
      <c r="J1227" s="46">
        <v>60</v>
      </c>
      <c r="K1227" s="46">
        <v>30</v>
      </c>
      <c r="L1227" s="46">
        <v>155</v>
      </c>
      <c r="M1227">
        <f t="shared" si="115"/>
        <v>1.2822081956416579E-2</v>
      </c>
      <c r="N1227">
        <f t="shared" si="116"/>
        <v>3.2638026798151289E-2</v>
      </c>
      <c r="O1227">
        <f t="shared" si="117"/>
        <v>1.9233122934624865E-2</v>
      </c>
      <c r="P1227">
        <f t="shared" si="118"/>
        <v>6.993862885318133E-3</v>
      </c>
      <c r="Q1227">
        <f t="shared" si="119"/>
        <v>3.4969314426590665E-3</v>
      </c>
      <c r="R1227">
        <f t="shared" si="120"/>
        <v>1.806747912040518E-2</v>
      </c>
    </row>
    <row r="1228" spans="1:18" hidden="1" x14ac:dyDescent="0.25">
      <c r="A1228" s="46">
        <v>2020</v>
      </c>
      <c r="B1228" s="56">
        <v>460</v>
      </c>
      <c r="C1228" s="47" t="s">
        <v>101</v>
      </c>
      <c r="D1228" s="47" t="s">
        <v>52</v>
      </c>
      <c r="E1228" s="47" t="s">
        <v>47</v>
      </c>
      <c r="F1228" s="46">
        <v>1050</v>
      </c>
      <c r="G1228" s="46">
        <v>90</v>
      </c>
      <c r="H1228" s="46">
        <v>305</v>
      </c>
      <c r="I1228" s="46">
        <v>260</v>
      </c>
      <c r="J1228" s="46">
        <v>180</v>
      </c>
      <c r="K1228" s="46">
        <v>70</v>
      </c>
      <c r="L1228" s="46">
        <v>150</v>
      </c>
      <c r="M1228">
        <f t="shared" si="115"/>
        <v>1.04907943279772E-2</v>
      </c>
      <c r="N1228">
        <f t="shared" si="116"/>
        <v>3.555213633370051E-2</v>
      </c>
      <c r="O1228">
        <f t="shared" si="117"/>
        <v>3.030673916971191E-2</v>
      </c>
      <c r="P1228">
        <f t="shared" si="118"/>
        <v>2.0981588655954401E-2</v>
      </c>
      <c r="Q1228">
        <f t="shared" si="119"/>
        <v>8.1595066995378222E-3</v>
      </c>
      <c r="R1228">
        <f t="shared" si="120"/>
        <v>1.7484657213295333E-2</v>
      </c>
    </row>
    <row r="1229" spans="1:18" hidden="1" x14ac:dyDescent="0.25">
      <c r="A1229" s="46">
        <v>2020</v>
      </c>
      <c r="B1229" s="56">
        <v>460</v>
      </c>
      <c r="C1229" s="47" t="s">
        <v>101</v>
      </c>
      <c r="D1229" s="47" t="s">
        <v>52</v>
      </c>
      <c r="E1229" s="47" t="s">
        <v>48</v>
      </c>
      <c r="F1229" s="46">
        <v>3745</v>
      </c>
      <c r="G1229" s="46">
        <v>195</v>
      </c>
      <c r="H1229" s="46">
        <v>665</v>
      </c>
      <c r="I1229" s="46">
        <v>660</v>
      </c>
      <c r="J1229" s="46">
        <v>450</v>
      </c>
      <c r="K1229" s="46">
        <v>330</v>
      </c>
      <c r="L1229" s="46">
        <v>1450</v>
      </c>
      <c r="M1229">
        <f t="shared" si="115"/>
        <v>2.2730054377283933E-2</v>
      </c>
      <c r="N1229">
        <f t="shared" si="116"/>
        <v>7.7515313645609304E-2</v>
      </c>
      <c r="O1229">
        <f t="shared" si="117"/>
        <v>7.6932491738499462E-2</v>
      </c>
      <c r="P1229">
        <f t="shared" si="118"/>
        <v>5.2453971639886E-2</v>
      </c>
      <c r="Q1229">
        <f t="shared" si="119"/>
        <v>3.8466245869249731E-2</v>
      </c>
      <c r="R1229">
        <f t="shared" si="120"/>
        <v>0.16901835306185489</v>
      </c>
    </row>
    <row r="1230" spans="1:18" hidden="1" x14ac:dyDescent="0.25">
      <c r="A1230" s="46">
        <v>2020</v>
      </c>
      <c r="B1230" s="56">
        <v>460</v>
      </c>
      <c r="C1230" s="47" t="s">
        <v>101</v>
      </c>
      <c r="D1230" s="47" t="s">
        <v>52</v>
      </c>
      <c r="E1230" s="47" t="s">
        <v>49</v>
      </c>
      <c r="F1230" s="46">
        <v>1350</v>
      </c>
      <c r="G1230" s="46">
        <v>40</v>
      </c>
      <c r="H1230" s="46">
        <v>130</v>
      </c>
      <c r="I1230" s="46">
        <v>160</v>
      </c>
      <c r="J1230" s="46">
        <v>100</v>
      </c>
      <c r="K1230" s="46">
        <v>110</v>
      </c>
      <c r="L1230" s="46">
        <v>805</v>
      </c>
      <c r="M1230">
        <f t="shared" si="115"/>
        <v>4.6625752568787556E-3</v>
      </c>
      <c r="N1230">
        <f t="shared" si="116"/>
        <v>1.5153369584855955E-2</v>
      </c>
      <c r="O1230">
        <f t="shared" si="117"/>
        <v>1.8650301027515023E-2</v>
      </c>
      <c r="P1230">
        <f t="shared" si="118"/>
        <v>1.1656438142196888E-2</v>
      </c>
      <c r="Q1230">
        <f t="shared" si="119"/>
        <v>1.2822081956416579E-2</v>
      </c>
      <c r="R1230">
        <f t="shared" si="120"/>
        <v>9.3834327044684959E-2</v>
      </c>
    </row>
    <row r="1231" spans="1:18" hidden="1" x14ac:dyDescent="0.25">
      <c r="A1231" s="46">
        <v>2020</v>
      </c>
      <c r="B1231" s="56">
        <v>460</v>
      </c>
      <c r="C1231" s="47" t="s">
        <v>101</v>
      </c>
      <c r="D1231" s="47" t="s">
        <v>52</v>
      </c>
      <c r="E1231" s="47" t="s">
        <v>50</v>
      </c>
      <c r="F1231" s="46">
        <v>405</v>
      </c>
      <c r="G1231" s="46">
        <v>5</v>
      </c>
      <c r="H1231" s="46">
        <v>15</v>
      </c>
      <c r="I1231" s="46">
        <v>30</v>
      </c>
      <c r="J1231" s="46">
        <v>15</v>
      </c>
      <c r="K1231" s="46">
        <v>15</v>
      </c>
      <c r="L1231" s="46">
        <v>330</v>
      </c>
      <c r="M1231">
        <f t="shared" si="115"/>
        <v>5.8282190710984446E-4</v>
      </c>
      <c r="N1231">
        <f t="shared" si="116"/>
        <v>1.7484657213295333E-3</v>
      </c>
      <c r="O1231">
        <f t="shared" si="117"/>
        <v>3.4969314426590665E-3</v>
      </c>
      <c r="P1231">
        <f t="shared" si="118"/>
        <v>1.7484657213295333E-3</v>
      </c>
      <c r="Q1231">
        <f t="shared" si="119"/>
        <v>1.7484657213295333E-3</v>
      </c>
      <c r="R1231">
        <f t="shared" si="120"/>
        <v>3.8466245869249731E-2</v>
      </c>
    </row>
    <row r="1232" spans="1:18" x14ac:dyDescent="0.25">
      <c r="A1232" s="46">
        <v>2020</v>
      </c>
      <c r="B1232" s="56">
        <v>461</v>
      </c>
      <c r="C1232" s="47" t="s">
        <v>102</v>
      </c>
      <c r="D1232" s="47" t="s">
        <v>42</v>
      </c>
      <c r="E1232" s="47" t="s">
        <v>43</v>
      </c>
      <c r="F1232" s="46">
        <v>7820</v>
      </c>
      <c r="G1232" s="46">
        <v>470</v>
      </c>
      <c r="H1232" s="46">
        <v>1465</v>
      </c>
      <c r="I1232" s="46">
        <v>1735</v>
      </c>
      <c r="J1232" s="46">
        <v>650</v>
      </c>
      <c r="K1232" s="46">
        <v>345</v>
      </c>
      <c r="L1232" s="46">
        <v>3155</v>
      </c>
      <c r="M1232">
        <f t="shared" si="115"/>
        <v>5.4785259268325379E-2</v>
      </c>
      <c r="N1232">
        <f t="shared" si="116"/>
        <v>0.17076681878318442</v>
      </c>
      <c r="O1232">
        <f t="shared" si="117"/>
        <v>0.20223920176711602</v>
      </c>
      <c r="P1232">
        <f t="shared" si="118"/>
        <v>7.5766847924279776E-2</v>
      </c>
      <c r="Q1232">
        <f t="shared" si="119"/>
        <v>4.0214711590579266E-2</v>
      </c>
      <c r="R1232">
        <f t="shared" si="120"/>
        <v>0.36776062338631182</v>
      </c>
    </row>
    <row r="1233" spans="1:18" hidden="1" x14ac:dyDescent="0.25">
      <c r="A1233" s="46">
        <v>2020</v>
      </c>
      <c r="B1233" s="56">
        <v>461</v>
      </c>
      <c r="C1233" s="47" t="s">
        <v>102</v>
      </c>
      <c r="D1233" s="47" t="s">
        <v>42</v>
      </c>
      <c r="E1233" s="47" t="s">
        <v>44</v>
      </c>
      <c r="F1233" s="46">
        <v>1370</v>
      </c>
      <c r="G1233" s="46">
        <v>135</v>
      </c>
      <c r="H1233" s="46">
        <v>485</v>
      </c>
      <c r="I1233" s="46">
        <v>510</v>
      </c>
      <c r="J1233" s="46">
        <v>135</v>
      </c>
      <c r="K1233" s="46">
        <v>40</v>
      </c>
      <c r="L1233" s="46">
        <v>60</v>
      </c>
      <c r="M1233">
        <f t="shared" si="115"/>
        <v>1.5736191491965801E-2</v>
      </c>
      <c r="N1233">
        <f t="shared" si="116"/>
        <v>5.6533724989654914E-2</v>
      </c>
      <c r="O1233">
        <f t="shared" si="117"/>
        <v>5.9447834525204135E-2</v>
      </c>
      <c r="P1233">
        <f t="shared" si="118"/>
        <v>1.5736191491965801E-2</v>
      </c>
      <c r="Q1233">
        <f t="shared" si="119"/>
        <v>4.6625752568787556E-3</v>
      </c>
      <c r="R1233">
        <f t="shared" si="120"/>
        <v>6.993862885318133E-3</v>
      </c>
    </row>
    <row r="1234" spans="1:18" hidden="1" x14ac:dyDescent="0.25">
      <c r="A1234" s="46">
        <v>2020</v>
      </c>
      <c r="B1234" s="56">
        <v>461</v>
      </c>
      <c r="C1234" s="47" t="s">
        <v>102</v>
      </c>
      <c r="D1234" s="47" t="s">
        <v>42</v>
      </c>
      <c r="E1234" s="47" t="s">
        <v>45</v>
      </c>
      <c r="F1234" s="46">
        <v>410</v>
      </c>
      <c r="G1234" s="46">
        <v>30</v>
      </c>
      <c r="H1234" s="46">
        <v>105</v>
      </c>
      <c r="I1234" s="46">
        <v>125</v>
      </c>
      <c r="J1234" s="46">
        <v>30</v>
      </c>
      <c r="K1234" s="46">
        <v>20</v>
      </c>
      <c r="L1234" s="46">
        <v>105</v>
      </c>
      <c r="M1234">
        <f t="shared" si="115"/>
        <v>3.4969314426590665E-3</v>
      </c>
      <c r="N1234">
        <f t="shared" si="116"/>
        <v>1.2239260049306732E-2</v>
      </c>
      <c r="O1234">
        <f t="shared" si="117"/>
        <v>1.4570547677746111E-2</v>
      </c>
      <c r="P1234">
        <f t="shared" si="118"/>
        <v>3.4969314426590665E-3</v>
      </c>
      <c r="Q1234">
        <f t="shared" si="119"/>
        <v>2.3312876284393778E-3</v>
      </c>
      <c r="R1234">
        <f t="shared" si="120"/>
        <v>1.2239260049306732E-2</v>
      </c>
    </row>
    <row r="1235" spans="1:18" hidden="1" x14ac:dyDescent="0.25">
      <c r="A1235" s="46">
        <v>2020</v>
      </c>
      <c r="B1235" s="56">
        <v>461</v>
      </c>
      <c r="C1235" s="47" t="s">
        <v>102</v>
      </c>
      <c r="D1235" s="47" t="s">
        <v>42</v>
      </c>
      <c r="E1235" s="47" t="s">
        <v>46</v>
      </c>
      <c r="F1235" s="46">
        <v>560</v>
      </c>
      <c r="G1235" s="46">
        <v>60</v>
      </c>
      <c r="H1235" s="46">
        <v>115</v>
      </c>
      <c r="I1235" s="46">
        <v>185</v>
      </c>
      <c r="J1235" s="46">
        <v>40</v>
      </c>
      <c r="K1235" s="46">
        <v>20</v>
      </c>
      <c r="L1235" s="46">
        <v>140</v>
      </c>
      <c r="M1235">
        <f t="shared" si="115"/>
        <v>6.993862885318133E-3</v>
      </c>
      <c r="N1235">
        <f t="shared" si="116"/>
        <v>1.3404903863526422E-2</v>
      </c>
      <c r="O1235">
        <f t="shared" si="117"/>
        <v>2.1564410563064244E-2</v>
      </c>
      <c r="P1235">
        <f t="shared" si="118"/>
        <v>4.6625752568787556E-3</v>
      </c>
      <c r="Q1235">
        <f t="shared" si="119"/>
        <v>2.3312876284393778E-3</v>
      </c>
      <c r="R1235">
        <f t="shared" si="120"/>
        <v>1.6319013399075644E-2</v>
      </c>
    </row>
    <row r="1236" spans="1:18" hidden="1" x14ac:dyDescent="0.25">
      <c r="A1236" s="46">
        <v>2020</v>
      </c>
      <c r="B1236" s="56">
        <v>461</v>
      </c>
      <c r="C1236" s="47" t="s">
        <v>102</v>
      </c>
      <c r="D1236" s="47" t="s">
        <v>42</v>
      </c>
      <c r="E1236" s="47" t="s">
        <v>47</v>
      </c>
      <c r="F1236" s="46">
        <v>630</v>
      </c>
      <c r="G1236" s="46">
        <v>55</v>
      </c>
      <c r="H1236" s="46">
        <v>155</v>
      </c>
      <c r="I1236" s="46">
        <v>190</v>
      </c>
      <c r="J1236" s="46">
        <v>75</v>
      </c>
      <c r="K1236" s="46">
        <v>20</v>
      </c>
      <c r="L1236" s="46">
        <v>135</v>
      </c>
      <c r="M1236">
        <f t="shared" si="115"/>
        <v>6.4110409782082893E-3</v>
      </c>
      <c r="N1236">
        <f t="shared" si="116"/>
        <v>1.806747912040518E-2</v>
      </c>
      <c r="O1236">
        <f t="shared" si="117"/>
        <v>2.214723247017409E-2</v>
      </c>
      <c r="P1236">
        <f t="shared" si="118"/>
        <v>8.7423286066476667E-3</v>
      </c>
      <c r="Q1236">
        <f t="shared" si="119"/>
        <v>2.3312876284393778E-3</v>
      </c>
      <c r="R1236">
        <f t="shared" si="120"/>
        <v>1.5736191491965801E-2</v>
      </c>
    </row>
    <row r="1237" spans="1:18" hidden="1" x14ac:dyDescent="0.25">
      <c r="A1237" s="46">
        <v>2020</v>
      </c>
      <c r="B1237" s="56">
        <v>461</v>
      </c>
      <c r="C1237" s="47" t="s">
        <v>102</v>
      </c>
      <c r="D1237" s="47" t="s">
        <v>42</v>
      </c>
      <c r="E1237" s="47" t="s">
        <v>48</v>
      </c>
      <c r="F1237" s="46">
        <v>2935</v>
      </c>
      <c r="G1237" s="46">
        <v>160</v>
      </c>
      <c r="H1237" s="46">
        <v>485</v>
      </c>
      <c r="I1237" s="46">
        <v>580</v>
      </c>
      <c r="J1237" s="46">
        <v>285</v>
      </c>
      <c r="K1237" s="46">
        <v>180</v>
      </c>
      <c r="L1237" s="46">
        <v>1245</v>
      </c>
      <c r="M1237">
        <f t="shared" si="115"/>
        <v>1.8650301027515023E-2</v>
      </c>
      <c r="N1237">
        <f t="shared" si="116"/>
        <v>5.6533724989654914E-2</v>
      </c>
      <c r="O1237">
        <f t="shared" si="117"/>
        <v>6.7607341224741963E-2</v>
      </c>
      <c r="P1237">
        <f t="shared" si="118"/>
        <v>3.3220848705261131E-2</v>
      </c>
      <c r="Q1237">
        <f t="shared" si="119"/>
        <v>2.0981588655954401E-2</v>
      </c>
      <c r="R1237">
        <f t="shared" si="120"/>
        <v>0.14512265487035125</v>
      </c>
    </row>
    <row r="1238" spans="1:18" hidden="1" x14ac:dyDescent="0.25">
      <c r="A1238" s="46">
        <v>2020</v>
      </c>
      <c r="B1238" s="56">
        <v>461</v>
      </c>
      <c r="C1238" s="47" t="s">
        <v>102</v>
      </c>
      <c r="D1238" s="47" t="s">
        <v>42</v>
      </c>
      <c r="E1238" s="47" t="s">
        <v>49</v>
      </c>
      <c r="F1238" s="46">
        <v>1290</v>
      </c>
      <c r="G1238" s="46">
        <v>35</v>
      </c>
      <c r="H1238" s="46">
        <v>100</v>
      </c>
      <c r="I1238" s="46">
        <v>125</v>
      </c>
      <c r="J1238" s="46">
        <v>75</v>
      </c>
      <c r="K1238" s="46">
        <v>60</v>
      </c>
      <c r="L1238" s="46">
        <v>900</v>
      </c>
      <c r="M1238">
        <f t="shared" si="115"/>
        <v>4.0797533497689111E-3</v>
      </c>
      <c r="N1238">
        <f t="shared" si="116"/>
        <v>1.1656438142196888E-2</v>
      </c>
      <c r="O1238">
        <f t="shared" si="117"/>
        <v>1.4570547677746111E-2</v>
      </c>
      <c r="P1238">
        <f t="shared" si="118"/>
        <v>8.7423286066476667E-3</v>
      </c>
      <c r="Q1238">
        <f t="shared" si="119"/>
        <v>6.993862885318133E-3</v>
      </c>
      <c r="R1238">
        <f t="shared" si="120"/>
        <v>0.104907943279772</v>
      </c>
    </row>
    <row r="1239" spans="1:18" hidden="1" x14ac:dyDescent="0.25">
      <c r="A1239" s="46">
        <v>2020</v>
      </c>
      <c r="B1239" s="56">
        <v>461</v>
      </c>
      <c r="C1239" s="47" t="s">
        <v>102</v>
      </c>
      <c r="D1239" s="47" t="s">
        <v>42</v>
      </c>
      <c r="E1239" s="47" t="s">
        <v>50</v>
      </c>
      <c r="F1239" s="46">
        <v>630</v>
      </c>
      <c r="G1239" s="46">
        <v>0</v>
      </c>
      <c r="H1239" s="46">
        <v>20</v>
      </c>
      <c r="I1239" s="46">
        <v>25</v>
      </c>
      <c r="J1239" s="46">
        <v>5</v>
      </c>
      <c r="K1239" s="46">
        <v>10</v>
      </c>
      <c r="L1239" s="46">
        <v>575</v>
      </c>
      <c r="M1239">
        <f t="shared" si="115"/>
        <v>0</v>
      </c>
      <c r="N1239">
        <f t="shared" si="116"/>
        <v>2.3312876284393778E-3</v>
      </c>
      <c r="O1239">
        <f t="shared" si="117"/>
        <v>2.914109535549222E-3</v>
      </c>
      <c r="P1239">
        <f t="shared" si="118"/>
        <v>5.8282190710984446E-4</v>
      </c>
      <c r="Q1239">
        <f t="shared" si="119"/>
        <v>1.1656438142196889E-3</v>
      </c>
      <c r="R1239">
        <f t="shared" si="120"/>
        <v>6.702451931763212E-2</v>
      </c>
    </row>
    <row r="1240" spans="1:18" hidden="1" x14ac:dyDescent="0.25">
      <c r="A1240" s="46">
        <v>2020</v>
      </c>
      <c r="B1240" s="56">
        <v>461</v>
      </c>
      <c r="C1240" s="47" t="s">
        <v>102</v>
      </c>
      <c r="D1240" s="47" t="s">
        <v>51</v>
      </c>
      <c r="E1240" s="47" t="s">
        <v>43</v>
      </c>
      <c r="F1240" s="46">
        <v>4335</v>
      </c>
      <c r="G1240" s="46">
        <v>275</v>
      </c>
      <c r="H1240" s="46">
        <v>815</v>
      </c>
      <c r="I1240" s="46">
        <v>1010</v>
      </c>
      <c r="J1240" s="46">
        <v>355</v>
      </c>
      <c r="K1240" s="46">
        <v>185</v>
      </c>
      <c r="L1240" s="46">
        <v>1690</v>
      </c>
      <c r="M1240">
        <f t="shared" si="115"/>
        <v>3.2055204891041446E-2</v>
      </c>
      <c r="N1240">
        <f t="shared" si="116"/>
        <v>9.4999970858904645E-2</v>
      </c>
      <c r="O1240">
        <f t="shared" si="117"/>
        <v>0.11773002523618858</v>
      </c>
      <c r="P1240">
        <f t="shared" si="118"/>
        <v>4.1380355404798952E-2</v>
      </c>
      <c r="Q1240">
        <f t="shared" si="119"/>
        <v>2.1564410563064244E-2</v>
      </c>
      <c r="R1240">
        <f t="shared" si="120"/>
        <v>0.19699380460312743</v>
      </c>
    </row>
    <row r="1241" spans="1:18" hidden="1" x14ac:dyDescent="0.25">
      <c r="A1241" s="46">
        <v>2020</v>
      </c>
      <c r="B1241" s="56">
        <v>461</v>
      </c>
      <c r="C1241" s="47" t="s">
        <v>102</v>
      </c>
      <c r="D1241" s="47" t="s">
        <v>51</v>
      </c>
      <c r="E1241" s="47" t="s">
        <v>44</v>
      </c>
      <c r="F1241" s="46">
        <v>720</v>
      </c>
      <c r="G1241" s="46">
        <v>70</v>
      </c>
      <c r="H1241" s="46">
        <v>260</v>
      </c>
      <c r="I1241" s="46">
        <v>275</v>
      </c>
      <c r="J1241" s="46">
        <v>60</v>
      </c>
      <c r="K1241" s="46">
        <v>25</v>
      </c>
      <c r="L1241" s="46">
        <v>30</v>
      </c>
      <c r="M1241">
        <f t="shared" si="115"/>
        <v>8.1595066995378222E-3</v>
      </c>
      <c r="N1241">
        <f t="shared" si="116"/>
        <v>3.030673916971191E-2</v>
      </c>
      <c r="O1241">
        <f t="shared" si="117"/>
        <v>3.2055204891041446E-2</v>
      </c>
      <c r="P1241">
        <f t="shared" si="118"/>
        <v>6.993862885318133E-3</v>
      </c>
      <c r="Q1241">
        <f t="shared" si="119"/>
        <v>2.914109535549222E-3</v>
      </c>
      <c r="R1241">
        <f t="shared" si="120"/>
        <v>3.4969314426590665E-3</v>
      </c>
    </row>
    <row r="1242" spans="1:18" hidden="1" x14ac:dyDescent="0.25">
      <c r="A1242" s="46">
        <v>2020</v>
      </c>
      <c r="B1242" s="56">
        <v>461</v>
      </c>
      <c r="C1242" s="47" t="s">
        <v>102</v>
      </c>
      <c r="D1242" s="47" t="s">
        <v>51</v>
      </c>
      <c r="E1242" s="47" t="s">
        <v>45</v>
      </c>
      <c r="F1242" s="46">
        <v>225</v>
      </c>
      <c r="G1242" s="46">
        <v>10</v>
      </c>
      <c r="H1242" s="46">
        <v>60</v>
      </c>
      <c r="I1242" s="46">
        <v>70</v>
      </c>
      <c r="J1242" s="46">
        <v>15</v>
      </c>
      <c r="K1242" s="46">
        <v>10</v>
      </c>
      <c r="L1242" s="46">
        <v>55</v>
      </c>
      <c r="M1242">
        <f t="shared" si="115"/>
        <v>1.1656438142196889E-3</v>
      </c>
      <c r="N1242">
        <f t="shared" si="116"/>
        <v>6.993862885318133E-3</v>
      </c>
      <c r="O1242">
        <f t="shared" si="117"/>
        <v>8.1595066995378222E-3</v>
      </c>
      <c r="P1242">
        <f t="shared" si="118"/>
        <v>1.7484657213295333E-3</v>
      </c>
      <c r="Q1242">
        <f t="shared" si="119"/>
        <v>1.1656438142196889E-3</v>
      </c>
      <c r="R1242">
        <f t="shared" si="120"/>
        <v>6.4110409782082893E-3</v>
      </c>
    </row>
    <row r="1243" spans="1:18" hidden="1" x14ac:dyDescent="0.25">
      <c r="A1243" s="46">
        <v>2020</v>
      </c>
      <c r="B1243" s="56">
        <v>461</v>
      </c>
      <c r="C1243" s="47" t="s">
        <v>102</v>
      </c>
      <c r="D1243" s="47" t="s">
        <v>51</v>
      </c>
      <c r="E1243" s="47" t="s">
        <v>46</v>
      </c>
      <c r="F1243" s="46">
        <v>330</v>
      </c>
      <c r="G1243" s="46">
        <v>35</v>
      </c>
      <c r="H1243" s="46">
        <v>60</v>
      </c>
      <c r="I1243" s="46">
        <v>125</v>
      </c>
      <c r="J1243" s="46">
        <v>20</v>
      </c>
      <c r="K1243" s="46">
        <v>5</v>
      </c>
      <c r="L1243" s="46">
        <v>80</v>
      </c>
      <c r="M1243">
        <f t="shared" si="115"/>
        <v>4.0797533497689111E-3</v>
      </c>
      <c r="N1243">
        <f t="shared" si="116"/>
        <v>6.993862885318133E-3</v>
      </c>
      <c r="O1243">
        <f t="shared" si="117"/>
        <v>1.4570547677746111E-2</v>
      </c>
      <c r="P1243">
        <f t="shared" si="118"/>
        <v>2.3312876284393778E-3</v>
      </c>
      <c r="Q1243">
        <f t="shared" si="119"/>
        <v>5.8282190710984446E-4</v>
      </c>
      <c r="R1243">
        <f t="shared" si="120"/>
        <v>9.3251505137575113E-3</v>
      </c>
    </row>
    <row r="1244" spans="1:18" hidden="1" x14ac:dyDescent="0.25">
      <c r="A1244" s="46">
        <v>2020</v>
      </c>
      <c r="B1244" s="56">
        <v>461</v>
      </c>
      <c r="C1244" s="47" t="s">
        <v>102</v>
      </c>
      <c r="D1244" s="47" t="s">
        <v>51</v>
      </c>
      <c r="E1244" s="47" t="s">
        <v>47</v>
      </c>
      <c r="F1244" s="46">
        <v>355</v>
      </c>
      <c r="G1244" s="46">
        <v>30</v>
      </c>
      <c r="H1244" s="46">
        <v>85</v>
      </c>
      <c r="I1244" s="46">
        <v>110</v>
      </c>
      <c r="J1244" s="46">
        <v>45</v>
      </c>
      <c r="K1244" s="46">
        <v>10</v>
      </c>
      <c r="L1244" s="46">
        <v>70</v>
      </c>
      <c r="M1244">
        <f t="shared" si="115"/>
        <v>3.4969314426590665E-3</v>
      </c>
      <c r="N1244">
        <f t="shared" si="116"/>
        <v>9.9079724208673559E-3</v>
      </c>
      <c r="O1244">
        <f t="shared" si="117"/>
        <v>1.2822081956416579E-2</v>
      </c>
      <c r="P1244">
        <f t="shared" si="118"/>
        <v>5.2453971639886002E-3</v>
      </c>
      <c r="Q1244">
        <f t="shared" si="119"/>
        <v>1.1656438142196889E-3</v>
      </c>
      <c r="R1244">
        <f t="shared" si="120"/>
        <v>8.1595066995378222E-3</v>
      </c>
    </row>
    <row r="1245" spans="1:18" hidden="1" x14ac:dyDescent="0.25">
      <c r="A1245" s="46">
        <v>2020</v>
      </c>
      <c r="B1245" s="56">
        <v>461</v>
      </c>
      <c r="C1245" s="47" t="s">
        <v>102</v>
      </c>
      <c r="D1245" s="47" t="s">
        <v>51</v>
      </c>
      <c r="E1245" s="47" t="s">
        <v>48</v>
      </c>
      <c r="F1245" s="46">
        <v>1660</v>
      </c>
      <c r="G1245" s="46">
        <v>105</v>
      </c>
      <c r="H1245" s="46">
        <v>285</v>
      </c>
      <c r="I1245" s="46">
        <v>345</v>
      </c>
      <c r="J1245" s="46">
        <v>175</v>
      </c>
      <c r="K1245" s="46">
        <v>90</v>
      </c>
      <c r="L1245" s="46">
        <v>665</v>
      </c>
      <c r="M1245">
        <f t="shared" si="115"/>
        <v>1.2239260049306732E-2</v>
      </c>
      <c r="N1245">
        <f t="shared" si="116"/>
        <v>3.3220848705261131E-2</v>
      </c>
      <c r="O1245">
        <f t="shared" si="117"/>
        <v>4.0214711590579266E-2</v>
      </c>
      <c r="P1245">
        <f t="shared" si="118"/>
        <v>2.0398766748844555E-2</v>
      </c>
      <c r="Q1245">
        <f t="shared" si="119"/>
        <v>1.04907943279772E-2</v>
      </c>
      <c r="R1245">
        <f t="shared" si="120"/>
        <v>7.7515313645609304E-2</v>
      </c>
    </row>
    <row r="1246" spans="1:18" hidden="1" x14ac:dyDescent="0.25">
      <c r="A1246" s="46">
        <v>2020</v>
      </c>
      <c r="B1246" s="56">
        <v>461</v>
      </c>
      <c r="C1246" s="47" t="s">
        <v>102</v>
      </c>
      <c r="D1246" s="47" t="s">
        <v>51</v>
      </c>
      <c r="E1246" s="47" t="s">
        <v>49</v>
      </c>
      <c r="F1246" s="46">
        <v>745</v>
      </c>
      <c r="G1246" s="46">
        <v>25</v>
      </c>
      <c r="H1246" s="46">
        <v>55</v>
      </c>
      <c r="I1246" s="46">
        <v>70</v>
      </c>
      <c r="J1246" s="46">
        <v>40</v>
      </c>
      <c r="K1246" s="46">
        <v>35</v>
      </c>
      <c r="L1246" s="46">
        <v>510</v>
      </c>
      <c r="M1246">
        <f t="shared" si="115"/>
        <v>2.914109535549222E-3</v>
      </c>
      <c r="N1246">
        <f t="shared" si="116"/>
        <v>6.4110409782082893E-3</v>
      </c>
      <c r="O1246">
        <f t="shared" si="117"/>
        <v>8.1595066995378222E-3</v>
      </c>
      <c r="P1246">
        <f t="shared" si="118"/>
        <v>4.6625752568787556E-3</v>
      </c>
      <c r="Q1246">
        <f t="shared" si="119"/>
        <v>4.0797533497689111E-3</v>
      </c>
      <c r="R1246">
        <f t="shared" si="120"/>
        <v>5.9447834525204135E-2</v>
      </c>
    </row>
    <row r="1247" spans="1:18" hidden="1" x14ac:dyDescent="0.25">
      <c r="A1247" s="46">
        <v>2020</v>
      </c>
      <c r="B1247" s="56">
        <v>461</v>
      </c>
      <c r="C1247" s="47" t="s">
        <v>102</v>
      </c>
      <c r="D1247" s="47" t="s">
        <v>51</v>
      </c>
      <c r="E1247" s="47" t="s">
        <v>50</v>
      </c>
      <c r="F1247" s="46">
        <v>305</v>
      </c>
      <c r="G1247" s="46">
        <v>0</v>
      </c>
      <c r="H1247" s="46">
        <v>10</v>
      </c>
      <c r="I1247" s="46">
        <v>10</v>
      </c>
      <c r="J1247" s="46">
        <v>5</v>
      </c>
      <c r="K1247" s="46">
        <v>5</v>
      </c>
      <c r="L1247" s="46">
        <v>275</v>
      </c>
      <c r="M1247">
        <f t="shared" si="115"/>
        <v>0</v>
      </c>
      <c r="N1247">
        <f t="shared" si="116"/>
        <v>1.1656438142196889E-3</v>
      </c>
      <c r="O1247">
        <f t="shared" si="117"/>
        <v>1.1656438142196889E-3</v>
      </c>
      <c r="P1247">
        <f t="shared" si="118"/>
        <v>5.8282190710984446E-4</v>
      </c>
      <c r="Q1247">
        <f t="shared" si="119"/>
        <v>5.8282190710984446E-4</v>
      </c>
      <c r="R1247">
        <f t="shared" si="120"/>
        <v>3.2055204891041446E-2</v>
      </c>
    </row>
    <row r="1248" spans="1:18" hidden="1" x14ac:dyDescent="0.25">
      <c r="A1248" s="46">
        <v>2020</v>
      </c>
      <c r="B1248" s="56">
        <v>461</v>
      </c>
      <c r="C1248" s="47" t="s">
        <v>102</v>
      </c>
      <c r="D1248" s="47" t="s">
        <v>52</v>
      </c>
      <c r="E1248" s="47" t="s">
        <v>43</v>
      </c>
      <c r="F1248" s="46">
        <v>3485</v>
      </c>
      <c r="G1248" s="46">
        <v>195</v>
      </c>
      <c r="H1248" s="46">
        <v>650</v>
      </c>
      <c r="I1248" s="46">
        <v>725</v>
      </c>
      <c r="J1248" s="46">
        <v>290</v>
      </c>
      <c r="K1248" s="46">
        <v>160</v>
      </c>
      <c r="L1248" s="46">
        <v>1465</v>
      </c>
      <c r="M1248">
        <f t="shared" si="115"/>
        <v>2.2730054377283933E-2</v>
      </c>
      <c r="N1248">
        <f t="shared" si="116"/>
        <v>7.5766847924279776E-2</v>
      </c>
      <c r="O1248">
        <f t="shared" si="117"/>
        <v>8.4509176530927446E-2</v>
      </c>
      <c r="P1248">
        <f t="shared" si="118"/>
        <v>3.3803670612370981E-2</v>
      </c>
      <c r="Q1248">
        <f t="shared" si="119"/>
        <v>1.8650301027515023E-2</v>
      </c>
      <c r="R1248">
        <f t="shared" si="120"/>
        <v>0.17076681878318442</v>
      </c>
    </row>
    <row r="1249" spans="1:18" hidden="1" x14ac:dyDescent="0.25">
      <c r="A1249" s="46">
        <v>2020</v>
      </c>
      <c r="B1249" s="56">
        <v>461</v>
      </c>
      <c r="C1249" s="47" t="s">
        <v>102</v>
      </c>
      <c r="D1249" s="47" t="s">
        <v>52</v>
      </c>
      <c r="E1249" s="47" t="s">
        <v>44</v>
      </c>
      <c r="F1249" s="46">
        <v>650</v>
      </c>
      <c r="G1249" s="46">
        <v>65</v>
      </c>
      <c r="H1249" s="46">
        <v>225</v>
      </c>
      <c r="I1249" s="46">
        <v>230</v>
      </c>
      <c r="J1249" s="46">
        <v>80</v>
      </c>
      <c r="K1249" s="46">
        <v>20</v>
      </c>
      <c r="L1249" s="46">
        <v>30</v>
      </c>
      <c r="M1249">
        <f t="shared" si="115"/>
        <v>7.5766847924279776E-3</v>
      </c>
      <c r="N1249">
        <f t="shared" si="116"/>
        <v>2.6226985819943E-2</v>
      </c>
      <c r="O1249">
        <f t="shared" si="117"/>
        <v>2.6809807727052843E-2</v>
      </c>
      <c r="P1249">
        <f t="shared" si="118"/>
        <v>9.3251505137575113E-3</v>
      </c>
      <c r="Q1249">
        <f t="shared" si="119"/>
        <v>2.3312876284393778E-3</v>
      </c>
      <c r="R1249">
        <f t="shared" si="120"/>
        <v>3.4969314426590665E-3</v>
      </c>
    </row>
    <row r="1250" spans="1:18" hidden="1" x14ac:dyDescent="0.25">
      <c r="A1250" s="46">
        <v>2020</v>
      </c>
      <c r="B1250" s="56">
        <v>461</v>
      </c>
      <c r="C1250" s="47" t="s">
        <v>102</v>
      </c>
      <c r="D1250" s="47" t="s">
        <v>52</v>
      </c>
      <c r="E1250" s="47" t="s">
        <v>45</v>
      </c>
      <c r="F1250" s="46">
        <v>185</v>
      </c>
      <c r="G1250" s="46">
        <v>15</v>
      </c>
      <c r="H1250" s="46">
        <v>40</v>
      </c>
      <c r="I1250" s="46">
        <v>50</v>
      </c>
      <c r="J1250" s="46">
        <v>15</v>
      </c>
      <c r="K1250" s="46">
        <v>10</v>
      </c>
      <c r="L1250" s="46">
        <v>50</v>
      </c>
      <c r="M1250">
        <f t="shared" si="115"/>
        <v>1.7484657213295333E-3</v>
      </c>
      <c r="N1250">
        <f t="shared" si="116"/>
        <v>4.6625752568787556E-3</v>
      </c>
      <c r="O1250">
        <f t="shared" si="117"/>
        <v>5.8282190710984439E-3</v>
      </c>
      <c r="P1250">
        <f t="shared" si="118"/>
        <v>1.7484657213295333E-3</v>
      </c>
      <c r="Q1250">
        <f t="shared" si="119"/>
        <v>1.1656438142196889E-3</v>
      </c>
      <c r="R1250">
        <f t="shared" si="120"/>
        <v>5.8282190710984439E-3</v>
      </c>
    </row>
    <row r="1251" spans="1:18" hidden="1" x14ac:dyDescent="0.25">
      <c r="A1251" s="46">
        <v>2020</v>
      </c>
      <c r="B1251" s="56">
        <v>461</v>
      </c>
      <c r="C1251" s="47" t="s">
        <v>102</v>
      </c>
      <c r="D1251" s="47" t="s">
        <v>52</v>
      </c>
      <c r="E1251" s="47" t="s">
        <v>46</v>
      </c>
      <c r="F1251" s="46">
        <v>235</v>
      </c>
      <c r="G1251" s="46">
        <v>25</v>
      </c>
      <c r="H1251" s="46">
        <v>55</v>
      </c>
      <c r="I1251" s="46">
        <v>60</v>
      </c>
      <c r="J1251" s="46">
        <v>20</v>
      </c>
      <c r="K1251" s="46">
        <v>10</v>
      </c>
      <c r="L1251" s="46">
        <v>60</v>
      </c>
      <c r="M1251">
        <f t="shared" si="115"/>
        <v>2.914109535549222E-3</v>
      </c>
      <c r="N1251">
        <f t="shared" si="116"/>
        <v>6.4110409782082893E-3</v>
      </c>
      <c r="O1251">
        <f t="shared" si="117"/>
        <v>6.993862885318133E-3</v>
      </c>
      <c r="P1251">
        <f t="shared" si="118"/>
        <v>2.3312876284393778E-3</v>
      </c>
      <c r="Q1251">
        <f t="shared" si="119"/>
        <v>1.1656438142196889E-3</v>
      </c>
      <c r="R1251">
        <f t="shared" si="120"/>
        <v>6.993862885318133E-3</v>
      </c>
    </row>
    <row r="1252" spans="1:18" hidden="1" x14ac:dyDescent="0.25">
      <c r="A1252" s="46">
        <v>2020</v>
      </c>
      <c r="B1252" s="56">
        <v>461</v>
      </c>
      <c r="C1252" s="47" t="s">
        <v>102</v>
      </c>
      <c r="D1252" s="47" t="s">
        <v>52</v>
      </c>
      <c r="E1252" s="47" t="s">
        <v>47</v>
      </c>
      <c r="F1252" s="46">
        <v>275</v>
      </c>
      <c r="G1252" s="46">
        <v>25</v>
      </c>
      <c r="H1252" s="46">
        <v>70</v>
      </c>
      <c r="I1252" s="46">
        <v>80</v>
      </c>
      <c r="J1252" s="46">
        <v>30</v>
      </c>
      <c r="K1252" s="46">
        <v>10</v>
      </c>
      <c r="L1252" s="46">
        <v>60</v>
      </c>
      <c r="M1252">
        <f t="shared" si="115"/>
        <v>2.914109535549222E-3</v>
      </c>
      <c r="N1252">
        <f t="shared" si="116"/>
        <v>8.1595066995378222E-3</v>
      </c>
      <c r="O1252">
        <f t="shared" si="117"/>
        <v>9.3251505137575113E-3</v>
      </c>
      <c r="P1252">
        <f t="shared" si="118"/>
        <v>3.4969314426590665E-3</v>
      </c>
      <c r="Q1252">
        <f t="shared" si="119"/>
        <v>1.1656438142196889E-3</v>
      </c>
      <c r="R1252">
        <f t="shared" si="120"/>
        <v>6.993862885318133E-3</v>
      </c>
    </row>
    <row r="1253" spans="1:18" hidden="1" x14ac:dyDescent="0.25">
      <c r="A1253" s="46">
        <v>2020</v>
      </c>
      <c r="B1253" s="56">
        <v>461</v>
      </c>
      <c r="C1253" s="47" t="s">
        <v>102</v>
      </c>
      <c r="D1253" s="47" t="s">
        <v>52</v>
      </c>
      <c r="E1253" s="47" t="s">
        <v>48</v>
      </c>
      <c r="F1253" s="46">
        <v>1270</v>
      </c>
      <c r="G1253" s="46">
        <v>55</v>
      </c>
      <c r="H1253" s="46">
        <v>205</v>
      </c>
      <c r="I1253" s="46">
        <v>235</v>
      </c>
      <c r="J1253" s="46">
        <v>115</v>
      </c>
      <c r="K1253" s="46">
        <v>85</v>
      </c>
      <c r="L1253" s="46">
        <v>580</v>
      </c>
      <c r="M1253">
        <f t="shared" si="115"/>
        <v>6.4110409782082893E-3</v>
      </c>
      <c r="N1253">
        <f t="shared" si="116"/>
        <v>2.3895698191503622E-2</v>
      </c>
      <c r="O1253">
        <f t="shared" si="117"/>
        <v>2.7392629634162689E-2</v>
      </c>
      <c r="P1253">
        <f t="shared" si="118"/>
        <v>1.3404903863526422E-2</v>
      </c>
      <c r="Q1253">
        <f t="shared" si="119"/>
        <v>9.9079724208673559E-3</v>
      </c>
      <c r="R1253">
        <f t="shared" si="120"/>
        <v>6.7607341224741963E-2</v>
      </c>
    </row>
    <row r="1254" spans="1:18" hidden="1" x14ac:dyDescent="0.25">
      <c r="A1254" s="46">
        <v>2020</v>
      </c>
      <c r="B1254" s="56">
        <v>461</v>
      </c>
      <c r="C1254" s="47" t="s">
        <v>102</v>
      </c>
      <c r="D1254" s="47" t="s">
        <v>52</v>
      </c>
      <c r="E1254" s="47" t="s">
        <v>49</v>
      </c>
      <c r="F1254" s="46">
        <v>545</v>
      </c>
      <c r="G1254" s="46">
        <v>5</v>
      </c>
      <c r="H1254" s="46">
        <v>40</v>
      </c>
      <c r="I1254" s="46">
        <v>55</v>
      </c>
      <c r="J1254" s="46">
        <v>35</v>
      </c>
      <c r="K1254" s="46">
        <v>20</v>
      </c>
      <c r="L1254" s="46">
        <v>390</v>
      </c>
      <c r="M1254">
        <f t="shared" si="115"/>
        <v>5.8282190710984446E-4</v>
      </c>
      <c r="N1254">
        <f t="shared" si="116"/>
        <v>4.6625752568787556E-3</v>
      </c>
      <c r="O1254">
        <f t="shared" si="117"/>
        <v>6.4110409782082893E-3</v>
      </c>
      <c r="P1254">
        <f t="shared" si="118"/>
        <v>4.0797533497689111E-3</v>
      </c>
      <c r="Q1254">
        <f t="shared" si="119"/>
        <v>2.3312876284393778E-3</v>
      </c>
      <c r="R1254">
        <f t="shared" si="120"/>
        <v>4.5460108754567866E-2</v>
      </c>
    </row>
    <row r="1255" spans="1:18" hidden="1" x14ac:dyDescent="0.25">
      <c r="A1255" s="46">
        <v>2020</v>
      </c>
      <c r="B1255" s="56">
        <v>461</v>
      </c>
      <c r="C1255" s="47" t="s">
        <v>102</v>
      </c>
      <c r="D1255" s="47" t="s">
        <v>52</v>
      </c>
      <c r="E1255" s="47" t="s">
        <v>50</v>
      </c>
      <c r="F1255" s="46">
        <v>325</v>
      </c>
      <c r="G1255" s="46">
        <v>0</v>
      </c>
      <c r="H1255" s="46">
        <v>10</v>
      </c>
      <c r="I1255" s="46">
        <v>10</v>
      </c>
      <c r="J1255" s="46">
        <v>0</v>
      </c>
      <c r="K1255" s="46">
        <v>0</v>
      </c>
      <c r="L1255" s="46">
        <v>300</v>
      </c>
      <c r="M1255">
        <f t="shared" si="115"/>
        <v>0</v>
      </c>
      <c r="N1255">
        <f t="shared" si="116"/>
        <v>1.1656438142196889E-3</v>
      </c>
      <c r="O1255">
        <f t="shared" si="117"/>
        <v>1.1656438142196889E-3</v>
      </c>
      <c r="P1255">
        <f t="shared" si="118"/>
        <v>0</v>
      </c>
      <c r="Q1255">
        <f t="shared" si="119"/>
        <v>0</v>
      </c>
      <c r="R1255">
        <f t="shared" si="120"/>
        <v>3.4969314426590667E-2</v>
      </c>
    </row>
    <row r="1256" spans="1:18" x14ac:dyDescent="0.25">
      <c r="A1256" s="46">
        <v>2020</v>
      </c>
      <c r="B1256" s="56">
        <v>462</v>
      </c>
      <c r="C1256" s="47" t="s">
        <v>104</v>
      </c>
      <c r="D1256" s="47" t="s">
        <v>42</v>
      </c>
      <c r="E1256" s="47" t="s">
        <v>43</v>
      </c>
      <c r="F1256" s="46">
        <v>2915</v>
      </c>
      <c r="G1256" s="46">
        <v>235</v>
      </c>
      <c r="H1256" s="46">
        <v>735</v>
      </c>
      <c r="I1256" s="46">
        <v>630</v>
      </c>
      <c r="J1256" s="46">
        <v>260</v>
      </c>
      <c r="K1256" s="46">
        <v>165</v>
      </c>
      <c r="L1256" s="46">
        <v>890</v>
      </c>
      <c r="M1256">
        <f t="shared" si="115"/>
        <v>2.7392629634162689E-2</v>
      </c>
      <c r="N1256">
        <f t="shared" si="116"/>
        <v>8.5674820345147132E-2</v>
      </c>
      <c r="O1256">
        <f t="shared" si="117"/>
        <v>7.3435560295840405E-2</v>
      </c>
      <c r="P1256">
        <f t="shared" si="118"/>
        <v>3.030673916971191E-2</v>
      </c>
      <c r="Q1256">
        <f t="shared" si="119"/>
        <v>1.9233122934624865E-2</v>
      </c>
      <c r="R1256">
        <f t="shared" si="120"/>
        <v>0.10374229946555232</v>
      </c>
    </row>
    <row r="1257" spans="1:18" hidden="1" x14ac:dyDescent="0.25">
      <c r="A1257" s="46">
        <v>2020</v>
      </c>
      <c r="B1257" s="47" t="s">
        <v>103</v>
      </c>
      <c r="C1257" s="47" t="s">
        <v>104</v>
      </c>
      <c r="D1257" s="47" t="s">
        <v>42</v>
      </c>
      <c r="E1257" s="47" t="s">
        <v>44</v>
      </c>
      <c r="F1257" s="46">
        <v>545</v>
      </c>
      <c r="G1257" s="46">
        <v>70</v>
      </c>
      <c r="H1257" s="46">
        <v>190</v>
      </c>
      <c r="I1257" s="46">
        <v>160</v>
      </c>
      <c r="J1257" s="46">
        <v>55</v>
      </c>
      <c r="K1257" s="46">
        <v>25</v>
      </c>
      <c r="L1257" s="46">
        <v>45</v>
      </c>
      <c r="M1257">
        <f t="shared" si="115"/>
        <v>8.1595066995378222E-3</v>
      </c>
      <c r="N1257">
        <f t="shared" si="116"/>
        <v>2.214723247017409E-2</v>
      </c>
      <c r="O1257">
        <f t="shared" si="117"/>
        <v>1.8650301027515023E-2</v>
      </c>
      <c r="P1257">
        <f t="shared" si="118"/>
        <v>6.4110409782082893E-3</v>
      </c>
      <c r="Q1257">
        <f t="shared" si="119"/>
        <v>2.914109535549222E-3</v>
      </c>
      <c r="R1257">
        <f t="shared" si="120"/>
        <v>5.2453971639886002E-3</v>
      </c>
    </row>
    <row r="1258" spans="1:18" hidden="1" x14ac:dyDescent="0.25">
      <c r="A1258" s="46">
        <v>2020</v>
      </c>
      <c r="B1258" s="47" t="s">
        <v>103</v>
      </c>
      <c r="C1258" s="47" t="s">
        <v>104</v>
      </c>
      <c r="D1258" s="47" t="s">
        <v>42</v>
      </c>
      <c r="E1258" s="47" t="s">
        <v>45</v>
      </c>
      <c r="F1258" s="46">
        <v>175</v>
      </c>
      <c r="G1258" s="46">
        <v>15</v>
      </c>
      <c r="H1258" s="46">
        <v>55</v>
      </c>
      <c r="I1258" s="46">
        <v>40</v>
      </c>
      <c r="J1258" s="46">
        <v>10</v>
      </c>
      <c r="K1258" s="46">
        <v>10</v>
      </c>
      <c r="L1258" s="46">
        <v>45</v>
      </c>
      <c r="M1258">
        <f t="shared" si="115"/>
        <v>1.7484657213295333E-3</v>
      </c>
      <c r="N1258">
        <f t="shared" si="116"/>
        <v>6.4110409782082893E-3</v>
      </c>
      <c r="O1258">
        <f t="shared" si="117"/>
        <v>4.6625752568787556E-3</v>
      </c>
      <c r="P1258">
        <f t="shared" si="118"/>
        <v>1.1656438142196889E-3</v>
      </c>
      <c r="Q1258">
        <f t="shared" si="119"/>
        <v>1.1656438142196889E-3</v>
      </c>
      <c r="R1258">
        <f t="shared" si="120"/>
        <v>5.2453971639886002E-3</v>
      </c>
    </row>
    <row r="1259" spans="1:18" hidden="1" x14ac:dyDescent="0.25">
      <c r="A1259" s="46">
        <v>2020</v>
      </c>
      <c r="B1259" s="47" t="s">
        <v>103</v>
      </c>
      <c r="C1259" s="47" t="s">
        <v>104</v>
      </c>
      <c r="D1259" s="47" t="s">
        <v>42</v>
      </c>
      <c r="E1259" s="47" t="s">
        <v>46</v>
      </c>
      <c r="F1259" s="46">
        <v>245</v>
      </c>
      <c r="G1259" s="46">
        <v>35</v>
      </c>
      <c r="H1259" s="46">
        <v>80</v>
      </c>
      <c r="I1259" s="46">
        <v>70</v>
      </c>
      <c r="J1259" s="46">
        <v>10</v>
      </c>
      <c r="K1259" s="46">
        <v>5</v>
      </c>
      <c r="L1259" s="46">
        <v>45</v>
      </c>
      <c r="M1259">
        <f t="shared" si="115"/>
        <v>4.0797533497689111E-3</v>
      </c>
      <c r="N1259">
        <f t="shared" si="116"/>
        <v>9.3251505137575113E-3</v>
      </c>
      <c r="O1259">
        <f t="shared" si="117"/>
        <v>8.1595066995378222E-3</v>
      </c>
      <c r="P1259">
        <f t="shared" si="118"/>
        <v>1.1656438142196889E-3</v>
      </c>
      <c r="Q1259">
        <f t="shared" si="119"/>
        <v>5.8282190710984446E-4</v>
      </c>
      <c r="R1259">
        <f t="shared" si="120"/>
        <v>5.2453971639886002E-3</v>
      </c>
    </row>
    <row r="1260" spans="1:18" hidden="1" x14ac:dyDescent="0.25">
      <c r="A1260" s="46">
        <v>2020</v>
      </c>
      <c r="B1260" s="47" t="s">
        <v>103</v>
      </c>
      <c r="C1260" s="47" t="s">
        <v>104</v>
      </c>
      <c r="D1260" s="47" t="s">
        <v>42</v>
      </c>
      <c r="E1260" s="47" t="s">
        <v>47</v>
      </c>
      <c r="F1260" s="46">
        <v>305</v>
      </c>
      <c r="G1260" s="46">
        <v>25</v>
      </c>
      <c r="H1260" s="46">
        <v>105</v>
      </c>
      <c r="I1260" s="46">
        <v>90</v>
      </c>
      <c r="J1260" s="46">
        <v>35</v>
      </c>
      <c r="K1260" s="46">
        <v>15</v>
      </c>
      <c r="L1260" s="46">
        <v>40</v>
      </c>
      <c r="M1260">
        <f t="shared" si="115"/>
        <v>2.914109535549222E-3</v>
      </c>
      <c r="N1260">
        <f t="shared" si="116"/>
        <v>1.2239260049306732E-2</v>
      </c>
      <c r="O1260">
        <f t="shared" si="117"/>
        <v>1.04907943279772E-2</v>
      </c>
      <c r="P1260">
        <f t="shared" si="118"/>
        <v>4.0797533497689111E-3</v>
      </c>
      <c r="Q1260">
        <f t="shared" si="119"/>
        <v>1.7484657213295333E-3</v>
      </c>
      <c r="R1260">
        <f t="shared" si="120"/>
        <v>4.6625752568787556E-3</v>
      </c>
    </row>
    <row r="1261" spans="1:18" hidden="1" x14ac:dyDescent="0.25">
      <c r="A1261" s="46">
        <v>2020</v>
      </c>
      <c r="B1261" s="47" t="s">
        <v>103</v>
      </c>
      <c r="C1261" s="47" t="s">
        <v>104</v>
      </c>
      <c r="D1261" s="47" t="s">
        <v>42</v>
      </c>
      <c r="E1261" s="47" t="s">
        <v>48</v>
      </c>
      <c r="F1261" s="46">
        <v>990</v>
      </c>
      <c r="G1261" s="46">
        <v>65</v>
      </c>
      <c r="H1261" s="46">
        <v>230</v>
      </c>
      <c r="I1261" s="46">
        <v>225</v>
      </c>
      <c r="J1261" s="46">
        <v>115</v>
      </c>
      <c r="K1261" s="46">
        <v>65</v>
      </c>
      <c r="L1261" s="46">
        <v>290</v>
      </c>
      <c r="M1261">
        <f t="shared" si="115"/>
        <v>7.5766847924279776E-3</v>
      </c>
      <c r="N1261">
        <f t="shared" si="116"/>
        <v>2.6809807727052843E-2</v>
      </c>
      <c r="O1261">
        <f t="shared" si="117"/>
        <v>2.6226985819943E-2</v>
      </c>
      <c r="P1261">
        <f t="shared" si="118"/>
        <v>1.3404903863526422E-2</v>
      </c>
      <c r="Q1261">
        <f t="shared" si="119"/>
        <v>7.5766847924279776E-3</v>
      </c>
      <c r="R1261">
        <f t="shared" si="120"/>
        <v>3.3803670612370981E-2</v>
      </c>
    </row>
    <row r="1262" spans="1:18" hidden="1" x14ac:dyDescent="0.25">
      <c r="A1262" s="46">
        <v>2020</v>
      </c>
      <c r="B1262" s="47" t="s">
        <v>103</v>
      </c>
      <c r="C1262" s="47" t="s">
        <v>104</v>
      </c>
      <c r="D1262" s="47" t="s">
        <v>42</v>
      </c>
      <c r="E1262" s="47" t="s">
        <v>49</v>
      </c>
      <c r="F1262" s="46">
        <v>490</v>
      </c>
      <c r="G1262" s="46">
        <v>25</v>
      </c>
      <c r="H1262" s="46">
        <v>75</v>
      </c>
      <c r="I1262" s="46">
        <v>35</v>
      </c>
      <c r="J1262" s="46">
        <v>35</v>
      </c>
      <c r="K1262" s="46">
        <v>35</v>
      </c>
      <c r="L1262" s="46">
        <v>280</v>
      </c>
      <c r="M1262">
        <f t="shared" si="115"/>
        <v>2.914109535549222E-3</v>
      </c>
      <c r="N1262">
        <f t="shared" si="116"/>
        <v>8.7423286066476667E-3</v>
      </c>
      <c r="O1262">
        <f t="shared" si="117"/>
        <v>4.0797533497689111E-3</v>
      </c>
      <c r="P1262">
        <f t="shared" si="118"/>
        <v>4.0797533497689111E-3</v>
      </c>
      <c r="Q1262">
        <f t="shared" si="119"/>
        <v>4.0797533497689111E-3</v>
      </c>
      <c r="R1262">
        <f t="shared" si="120"/>
        <v>3.2638026798151289E-2</v>
      </c>
    </row>
    <row r="1263" spans="1:18" hidden="1" x14ac:dyDescent="0.25">
      <c r="A1263" s="46">
        <v>2020</v>
      </c>
      <c r="B1263" s="47" t="s">
        <v>103</v>
      </c>
      <c r="C1263" s="47" t="s">
        <v>104</v>
      </c>
      <c r="D1263" s="47" t="s">
        <v>42</v>
      </c>
      <c r="E1263" s="47" t="s">
        <v>50</v>
      </c>
      <c r="F1263" s="46">
        <v>170</v>
      </c>
      <c r="G1263" s="46">
        <v>0</v>
      </c>
      <c r="H1263" s="46">
        <v>10</v>
      </c>
      <c r="I1263" s="46">
        <v>5</v>
      </c>
      <c r="J1263" s="46">
        <v>5</v>
      </c>
      <c r="K1263" s="46">
        <v>10</v>
      </c>
      <c r="L1263" s="46">
        <v>140</v>
      </c>
      <c r="M1263">
        <f t="shared" si="115"/>
        <v>0</v>
      </c>
      <c r="N1263">
        <f t="shared" si="116"/>
        <v>1.1656438142196889E-3</v>
      </c>
      <c r="O1263">
        <f t="shared" si="117"/>
        <v>5.8282190710984446E-4</v>
      </c>
      <c r="P1263">
        <f t="shared" si="118"/>
        <v>5.8282190710984446E-4</v>
      </c>
      <c r="Q1263">
        <f t="shared" si="119"/>
        <v>1.1656438142196889E-3</v>
      </c>
      <c r="R1263">
        <f t="shared" si="120"/>
        <v>1.6319013399075644E-2</v>
      </c>
    </row>
    <row r="1264" spans="1:18" hidden="1" x14ac:dyDescent="0.25">
      <c r="A1264" s="46">
        <v>2020</v>
      </c>
      <c r="B1264" s="47" t="s">
        <v>103</v>
      </c>
      <c r="C1264" s="47" t="s">
        <v>104</v>
      </c>
      <c r="D1264" s="47" t="s">
        <v>51</v>
      </c>
      <c r="E1264" s="47" t="s">
        <v>43</v>
      </c>
      <c r="F1264" s="46">
        <v>1500</v>
      </c>
      <c r="G1264" s="46">
        <v>110</v>
      </c>
      <c r="H1264" s="46">
        <v>375</v>
      </c>
      <c r="I1264" s="46">
        <v>355</v>
      </c>
      <c r="J1264" s="46">
        <v>145</v>
      </c>
      <c r="K1264" s="46">
        <v>85</v>
      </c>
      <c r="L1264" s="46">
        <v>435</v>
      </c>
      <c r="M1264">
        <f t="shared" si="115"/>
        <v>1.2822081956416579E-2</v>
      </c>
      <c r="N1264">
        <f t="shared" si="116"/>
        <v>4.371164303323833E-2</v>
      </c>
      <c r="O1264">
        <f t="shared" si="117"/>
        <v>4.1380355404798952E-2</v>
      </c>
      <c r="P1264">
        <f t="shared" si="118"/>
        <v>1.6901835306185491E-2</v>
      </c>
      <c r="Q1264">
        <f t="shared" si="119"/>
        <v>9.9079724208673559E-3</v>
      </c>
      <c r="R1264">
        <f t="shared" si="120"/>
        <v>5.0705505918556465E-2</v>
      </c>
    </row>
    <row r="1265" spans="1:18" hidden="1" x14ac:dyDescent="0.25">
      <c r="A1265" s="46">
        <v>2020</v>
      </c>
      <c r="B1265" s="47" t="s">
        <v>103</v>
      </c>
      <c r="C1265" s="47" t="s">
        <v>104</v>
      </c>
      <c r="D1265" s="47" t="s">
        <v>51</v>
      </c>
      <c r="E1265" s="47" t="s">
        <v>44</v>
      </c>
      <c r="F1265" s="46">
        <v>295</v>
      </c>
      <c r="G1265" s="46">
        <v>45</v>
      </c>
      <c r="H1265" s="46">
        <v>110</v>
      </c>
      <c r="I1265" s="46">
        <v>80</v>
      </c>
      <c r="J1265" s="46">
        <v>30</v>
      </c>
      <c r="K1265" s="46">
        <v>10</v>
      </c>
      <c r="L1265" s="46">
        <v>20</v>
      </c>
      <c r="M1265">
        <f t="shared" si="115"/>
        <v>5.2453971639886002E-3</v>
      </c>
      <c r="N1265">
        <f t="shared" si="116"/>
        <v>1.2822081956416579E-2</v>
      </c>
      <c r="O1265">
        <f t="shared" si="117"/>
        <v>9.3251505137575113E-3</v>
      </c>
      <c r="P1265">
        <f t="shared" si="118"/>
        <v>3.4969314426590665E-3</v>
      </c>
      <c r="Q1265">
        <f t="shared" si="119"/>
        <v>1.1656438142196889E-3</v>
      </c>
      <c r="R1265">
        <f t="shared" si="120"/>
        <v>2.3312876284393778E-3</v>
      </c>
    </row>
    <row r="1266" spans="1:18" hidden="1" x14ac:dyDescent="0.25">
      <c r="A1266" s="46">
        <v>2020</v>
      </c>
      <c r="B1266" s="47" t="s">
        <v>103</v>
      </c>
      <c r="C1266" s="47" t="s">
        <v>104</v>
      </c>
      <c r="D1266" s="47" t="s">
        <v>51</v>
      </c>
      <c r="E1266" s="47" t="s">
        <v>45</v>
      </c>
      <c r="F1266" s="46">
        <v>100</v>
      </c>
      <c r="G1266" s="46">
        <v>5</v>
      </c>
      <c r="H1266" s="46">
        <v>35</v>
      </c>
      <c r="I1266" s="46">
        <v>20</v>
      </c>
      <c r="J1266" s="46">
        <v>5</v>
      </c>
      <c r="K1266" s="46">
        <v>5</v>
      </c>
      <c r="L1266" s="46">
        <v>25</v>
      </c>
      <c r="M1266">
        <f t="shared" si="115"/>
        <v>5.8282190710984446E-4</v>
      </c>
      <c r="N1266">
        <f t="shared" si="116"/>
        <v>4.0797533497689111E-3</v>
      </c>
      <c r="O1266">
        <f t="shared" si="117"/>
        <v>2.3312876284393778E-3</v>
      </c>
      <c r="P1266">
        <f t="shared" si="118"/>
        <v>5.8282190710984446E-4</v>
      </c>
      <c r="Q1266">
        <f t="shared" si="119"/>
        <v>5.8282190710984446E-4</v>
      </c>
      <c r="R1266">
        <f t="shared" si="120"/>
        <v>2.914109535549222E-3</v>
      </c>
    </row>
    <row r="1267" spans="1:18" hidden="1" x14ac:dyDescent="0.25">
      <c r="A1267" s="46">
        <v>2020</v>
      </c>
      <c r="B1267" s="47" t="s">
        <v>103</v>
      </c>
      <c r="C1267" s="47" t="s">
        <v>104</v>
      </c>
      <c r="D1267" s="47" t="s">
        <v>51</v>
      </c>
      <c r="E1267" s="47" t="s">
        <v>46</v>
      </c>
      <c r="F1267" s="46">
        <v>130</v>
      </c>
      <c r="G1267" s="46">
        <v>15</v>
      </c>
      <c r="H1267" s="46">
        <v>35</v>
      </c>
      <c r="I1267" s="46">
        <v>50</v>
      </c>
      <c r="J1267" s="46">
        <v>5</v>
      </c>
      <c r="K1267" s="46">
        <v>5</v>
      </c>
      <c r="L1267" s="46">
        <v>20</v>
      </c>
      <c r="M1267">
        <f t="shared" si="115"/>
        <v>1.7484657213295333E-3</v>
      </c>
      <c r="N1267">
        <f t="shared" si="116"/>
        <v>4.0797533497689111E-3</v>
      </c>
      <c r="O1267">
        <f t="shared" si="117"/>
        <v>5.8282190710984439E-3</v>
      </c>
      <c r="P1267">
        <f t="shared" si="118"/>
        <v>5.8282190710984446E-4</v>
      </c>
      <c r="Q1267">
        <f t="shared" si="119"/>
        <v>5.8282190710984446E-4</v>
      </c>
      <c r="R1267">
        <f t="shared" si="120"/>
        <v>2.3312876284393778E-3</v>
      </c>
    </row>
    <row r="1268" spans="1:18" hidden="1" x14ac:dyDescent="0.25">
      <c r="A1268" s="46">
        <v>2020</v>
      </c>
      <c r="B1268" s="47" t="s">
        <v>103</v>
      </c>
      <c r="C1268" s="47" t="s">
        <v>104</v>
      </c>
      <c r="D1268" s="47" t="s">
        <v>51</v>
      </c>
      <c r="E1268" s="47" t="s">
        <v>47</v>
      </c>
      <c r="F1268" s="46">
        <v>175</v>
      </c>
      <c r="G1268" s="46">
        <v>15</v>
      </c>
      <c r="H1268" s="46">
        <v>55</v>
      </c>
      <c r="I1268" s="46">
        <v>60</v>
      </c>
      <c r="J1268" s="46">
        <v>20</v>
      </c>
      <c r="K1268" s="46">
        <v>5</v>
      </c>
      <c r="L1268" s="46">
        <v>20</v>
      </c>
      <c r="M1268">
        <f t="shared" si="115"/>
        <v>1.7484657213295333E-3</v>
      </c>
      <c r="N1268">
        <f t="shared" si="116"/>
        <v>6.4110409782082893E-3</v>
      </c>
      <c r="O1268">
        <f t="shared" si="117"/>
        <v>6.993862885318133E-3</v>
      </c>
      <c r="P1268">
        <f t="shared" si="118"/>
        <v>2.3312876284393778E-3</v>
      </c>
      <c r="Q1268">
        <f t="shared" si="119"/>
        <v>5.8282190710984446E-4</v>
      </c>
      <c r="R1268">
        <f t="shared" si="120"/>
        <v>2.3312876284393778E-3</v>
      </c>
    </row>
    <row r="1269" spans="1:18" hidden="1" x14ac:dyDescent="0.25">
      <c r="A1269" s="46">
        <v>2020</v>
      </c>
      <c r="B1269" s="47" t="s">
        <v>103</v>
      </c>
      <c r="C1269" s="47" t="s">
        <v>104</v>
      </c>
      <c r="D1269" s="47" t="s">
        <v>51</v>
      </c>
      <c r="E1269" s="47" t="s">
        <v>48</v>
      </c>
      <c r="F1269" s="46">
        <v>490</v>
      </c>
      <c r="G1269" s="46">
        <v>25</v>
      </c>
      <c r="H1269" s="46">
        <v>105</v>
      </c>
      <c r="I1269" s="46">
        <v>130</v>
      </c>
      <c r="J1269" s="46">
        <v>70</v>
      </c>
      <c r="K1269" s="46">
        <v>35</v>
      </c>
      <c r="L1269" s="46">
        <v>130</v>
      </c>
      <c r="M1269">
        <f t="shared" si="115"/>
        <v>2.914109535549222E-3</v>
      </c>
      <c r="N1269">
        <f t="shared" si="116"/>
        <v>1.2239260049306732E-2</v>
      </c>
      <c r="O1269">
        <f t="shared" si="117"/>
        <v>1.5153369584855955E-2</v>
      </c>
      <c r="P1269">
        <f t="shared" si="118"/>
        <v>8.1595066995378222E-3</v>
      </c>
      <c r="Q1269">
        <f t="shared" si="119"/>
        <v>4.0797533497689111E-3</v>
      </c>
      <c r="R1269">
        <f t="shared" si="120"/>
        <v>1.5153369584855955E-2</v>
      </c>
    </row>
    <row r="1270" spans="1:18" hidden="1" x14ac:dyDescent="0.25">
      <c r="A1270" s="46">
        <v>2020</v>
      </c>
      <c r="B1270" s="47" t="s">
        <v>103</v>
      </c>
      <c r="C1270" s="47" t="s">
        <v>104</v>
      </c>
      <c r="D1270" s="47" t="s">
        <v>51</v>
      </c>
      <c r="E1270" s="47" t="s">
        <v>49</v>
      </c>
      <c r="F1270" s="46">
        <v>225</v>
      </c>
      <c r="G1270" s="46">
        <v>5</v>
      </c>
      <c r="H1270" s="46">
        <v>25</v>
      </c>
      <c r="I1270" s="46">
        <v>15</v>
      </c>
      <c r="J1270" s="46">
        <v>15</v>
      </c>
      <c r="K1270" s="46">
        <v>15</v>
      </c>
      <c r="L1270" s="46">
        <v>145</v>
      </c>
      <c r="M1270">
        <f t="shared" si="115"/>
        <v>5.8282190710984446E-4</v>
      </c>
      <c r="N1270">
        <f t="shared" si="116"/>
        <v>2.914109535549222E-3</v>
      </c>
      <c r="O1270">
        <f t="shared" si="117"/>
        <v>1.7484657213295333E-3</v>
      </c>
      <c r="P1270">
        <f t="shared" si="118"/>
        <v>1.7484657213295333E-3</v>
      </c>
      <c r="Q1270">
        <f t="shared" si="119"/>
        <v>1.7484657213295333E-3</v>
      </c>
      <c r="R1270">
        <f t="shared" si="120"/>
        <v>1.6901835306185491E-2</v>
      </c>
    </row>
    <row r="1271" spans="1:18" hidden="1" x14ac:dyDescent="0.25">
      <c r="A1271" s="46">
        <v>2020</v>
      </c>
      <c r="B1271" s="47" t="s">
        <v>103</v>
      </c>
      <c r="C1271" s="47" t="s">
        <v>104</v>
      </c>
      <c r="D1271" s="47" t="s">
        <v>51</v>
      </c>
      <c r="E1271" s="47" t="s">
        <v>50</v>
      </c>
      <c r="F1271" s="46">
        <v>85</v>
      </c>
      <c r="G1271" s="46">
        <v>0</v>
      </c>
      <c r="H1271" s="46">
        <v>5</v>
      </c>
      <c r="I1271" s="46">
        <v>0</v>
      </c>
      <c r="J1271" s="46">
        <v>0</v>
      </c>
      <c r="K1271" s="46">
        <v>5</v>
      </c>
      <c r="L1271" s="46">
        <v>75</v>
      </c>
      <c r="M1271">
        <f t="shared" si="115"/>
        <v>0</v>
      </c>
      <c r="N1271">
        <f t="shared" si="116"/>
        <v>5.8282190710984446E-4</v>
      </c>
      <c r="O1271">
        <f t="shared" si="117"/>
        <v>0</v>
      </c>
      <c r="P1271">
        <f t="shared" si="118"/>
        <v>0</v>
      </c>
      <c r="Q1271">
        <f t="shared" si="119"/>
        <v>5.8282190710984446E-4</v>
      </c>
      <c r="R1271">
        <f t="shared" si="120"/>
        <v>8.7423286066476667E-3</v>
      </c>
    </row>
    <row r="1272" spans="1:18" hidden="1" x14ac:dyDescent="0.25">
      <c r="A1272" s="46">
        <v>2020</v>
      </c>
      <c r="B1272" s="47" t="s">
        <v>103</v>
      </c>
      <c r="C1272" s="47" t="s">
        <v>104</v>
      </c>
      <c r="D1272" s="47" t="s">
        <v>52</v>
      </c>
      <c r="E1272" s="47" t="s">
        <v>43</v>
      </c>
      <c r="F1272" s="46">
        <v>1415</v>
      </c>
      <c r="G1272" s="46">
        <v>125</v>
      </c>
      <c r="H1272" s="46">
        <v>365</v>
      </c>
      <c r="I1272" s="46">
        <v>275</v>
      </c>
      <c r="J1272" s="46">
        <v>115</v>
      </c>
      <c r="K1272" s="46">
        <v>85</v>
      </c>
      <c r="L1272" s="46">
        <v>455</v>
      </c>
      <c r="M1272">
        <f t="shared" si="115"/>
        <v>1.4570547677746111E-2</v>
      </c>
      <c r="N1272">
        <f t="shared" si="116"/>
        <v>4.2545999219018645E-2</v>
      </c>
      <c r="O1272">
        <f t="shared" si="117"/>
        <v>3.2055204891041446E-2</v>
      </c>
      <c r="P1272">
        <f t="shared" si="118"/>
        <v>1.3404903863526422E-2</v>
      </c>
      <c r="Q1272">
        <f t="shared" si="119"/>
        <v>9.9079724208673559E-3</v>
      </c>
      <c r="R1272">
        <f t="shared" si="120"/>
        <v>5.3036793546995843E-2</v>
      </c>
    </row>
    <row r="1273" spans="1:18" hidden="1" x14ac:dyDescent="0.25">
      <c r="A1273" s="46">
        <v>2020</v>
      </c>
      <c r="B1273" s="47" t="s">
        <v>103</v>
      </c>
      <c r="C1273" s="47" t="s">
        <v>104</v>
      </c>
      <c r="D1273" s="47" t="s">
        <v>52</v>
      </c>
      <c r="E1273" s="47" t="s">
        <v>44</v>
      </c>
      <c r="F1273" s="46">
        <v>250</v>
      </c>
      <c r="G1273" s="46">
        <v>30</v>
      </c>
      <c r="H1273" s="46">
        <v>80</v>
      </c>
      <c r="I1273" s="46">
        <v>85</v>
      </c>
      <c r="J1273" s="46">
        <v>25</v>
      </c>
      <c r="K1273" s="46">
        <v>15</v>
      </c>
      <c r="L1273" s="46">
        <v>25</v>
      </c>
      <c r="M1273">
        <f t="shared" si="115"/>
        <v>3.4969314426590665E-3</v>
      </c>
      <c r="N1273">
        <f t="shared" si="116"/>
        <v>9.3251505137575113E-3</v>
      </c>
      <c r="O1273">
        <f t="shared" si="117"/>
        <v>9.9079724208673559E-3</v>
      </c>
      <c r="P1273">
        <f t="shared" si="118"/>
        <v>2.914109535549222E-3</v>
      </c>
      <c r="Q1273">
        <f t="shared" si="119"/>
        <v>1.7484657213295333E-3</v>
      </c>
      <c r="R1273">
        <f t="shared" si="120"/>
        <v>2.914109535549222E-3</v>
      </c>
    </row>
    <row r="1274" spans="1:18" hidden="1" x14ac:dyDescent="0.25">
      <c r="A1274" s="46">
        <v>2020</v>
      </c>
      <c r="B1274" s="47" t="s">
        <v>103</v>
      </c>
      <c r="C1274" s="47" t="s">
        <v>104</v>
      </c>
      <c r="D1274" s="47" t="s">
        <v>52</v>
      </c>
      <c r="E1274" s="47" t="s">
        <v>45</v>
      </c>
      <c r="F1274" s="46">
        <v>75</v>
      </c>
      <c r="G1274" s="46">
        <v>5</v>
      </c>
      <c r="H1274" s="46">
        <v>20</v>
      </c>
      <c r="I1274" s="46">
        <v>20</v>
      </c>
      <c r="J1274" s="46">
        <v>5</v>
      </c>
      <c r="K1274" s="46">
        <v>5</v>
      </c>
      <c r="L1274" s="46">
        <v>20</v>
      </c>
      <c r="M1274">
        <f t="shared" si="115"/>
        <v>5.8282190710984446E-4</v>
      </c>
      <c r="N1274">
        <f t="shared" si="116"/>
        <v>2.3312876284393778E-3</v>
      </c>
      <c r="O1274">
        <f t="shared" si="117"/>
        <v>2.3312876284393778E-3</v>
      </c>
      <c r="P1274">
        <f t="shared" si="118"/>
        <v>5.8282190710984446E-4</v>
      </c>
      <c r="Q1274">
        <f t="shared" si="119"/>
        <v>5.8282190710984446E-4</v>
      </c>
      <c r="R1274">
        <f t="shared" si="120"/>
        <v>2.3312876284393778E-3</v>
      </c>
    </row>
    <row r="1275" spans="1:18" hidden="1" x14ac:dyDescent="0.25">
      <c r="A1275" s="46">
        <v>2020</v>
      </c>
      <c r="B1275" s="47" t="s">
        <v>103</v>
      </c>
      <c r="C1275" s="47" t="s">
        <v>104</v>
      </c>
      <c r="D1275" s="47" t="s">
        <v>52</v>
      </c>
      <c r="E1275" s="47" t="s">
        <v>46</v>
      </c>
      <c r="F1275" s="46">
        <v>115</v>
      </c>
      <c r="G1275" s="46">
        <v>20</v>
      </c>
      <c r="H1275" s="46">
        <v>45</v>
      </c>
      <c r="I1275" s="46">
        <v>15</v>
      </c>
      <c r="J1275" s="46">
        <v>5</v>
      </c>
      <c r="K1275" s="46">
        <v>0</v>
      </c>
      <c r="L1275" s="46">
        <v>25</v>
      </c>
      <c r="M1275">
        <f t="shared" si="115"/>
        <v>2.3312876284393778E-3</v>
      </c>
      <c r="N1275">
        <f t="shared" si="116"/>
        <v>5.2453971639886002E-3</v>
      </c>
      <c r="O1275">
        <f t="shared" si="117"/>
        <v>1.7484657213295333E-3</v>
      </c>
      <c r="P1275">
        <f t="shared" si="118"/>
        <v>5.8282190710984446E-4</v>
      </c>
      <c r="Q1275">
        <f t="shared" si="119"/>
        <v>0</v>
      </c>
      <c r="R1275">
        <f t="shared" si="120"/>
        <v>2.914109535549222E-3</v>
      </c>
    </row>
    <row r="1276" spans="1:18" hidden="1" x14ac:dyDescent="0.25">
      <c r="A1276" s="46">
        <v>2020</v>
      </c>
      <c r="B1276" s="47" t="s">
        <v>103</v>
      </c>
      <c r="C1276" s="47" t="s">
        <v>104</v>
      </c>
      <c r="D1276" s="47" t="s">
        <v>52</v>
      </c>
      <c r="E1276" s="47" t="s">
        <v>47</v>
      </c>
      <c r="F1276" s="46">
        <v>130</v>
      </c>
      <c r="G1276" s="46">
        <v>5</v>
      </c>
      <c r="H1276" s="46">
        <v>50</v>
      </c>
      <c r="I1276" s="46">
        <v>30</v>
      </c>
      <c r="J1276" s="46">
        <v>15</v>
      </c>
      <c r="K1276" s="46">
        <v>10</v>
      </c>
      <c r="L1276" s="46">
        <v>20</v>
      </c>
      <c r="M1276">
        <f t="shared" si="115"/>
        <v>5.8282190710984446E-4</v>
      </c>
      <c r="N1276">
        <f t="shared" si="116"/>
        <v>5.8282190710984439E-3</v>
      </c>
      <c r="O1276">
        <f t="shared" si="117"/>
        <v>3.4969314426590665E-3</v>
      </c>
      <c r="P1276">
        <f t="shared" si="118"/>
        <v>1.7484657213295333E-3</v>
      </c>
      <c r="Q1276">
        <f t="shared" si="119"/>
        <v>1.1656438142196889E-3</v>
      </c>
      <c r="R1276">
        <f t="shared" si="120"/>
        <v>2.3312876284393778E-3</v>
      </c>
    </row>
    <row r="1277" spans="1:18" hidden="1" x14ac:dyDescent="0.25">
      <c r="A1277" s="46">
        <v>2020</v>
      </c>
      <c r="B1277" s="47" t="s">
        <v>103</v>
      </c>
      <c r="C1277" s="47" t="s">
        <v>104</v>
      </c>
      <c r="D1277" s="47" t="s">
        <v>52</v>
      </c>
      <c r="E1277" s="47" t="s">
        <v>48</v>
      </c>
      <c r="F1277" s="46">
        <v>500</v>
      </c>
      <c r="G1277" s="46">
        <v>40</v>
      </c>
      <c r="H1277" s="46">
        <v>125</v>
      </c>
      <c r="I1277" s="46">
        <v>100</v>
      </c>
      <c r="J1277" s="46">
        <v>45</v>
      </c>
      <c r="K1277" s="46">
        <v>30</v>
      </c>
      <c r="L1277" s="46">
        <v>160</v>
      </c>
      <c r="M1277">
        <f t="shared" si="115"/>
        <v>4.6625752568787556E-3</v>
      </c>
      <c r="N1277">
        <f t="shared" si="116"/>
        <v>1.4570547677746111E-2</v>
      </c>
      <c r="O1277">
        <f t="shared" si="117"/>
        <v>1.1656438142196888E-2</v>
      </c>
      <c r="P1277">
        <f t="shared" si="118"/>
        <v>5.2453971639886002E-3</v>
      </c>
      <c r="Q1277">
        <f t="shared" si="119"/>
        <v>3.4969314426590665E-3</v>
      </c>
      <c r="R1277">
        <f t="shared" si="120"/>
        <v>1.8650301027515023E-2</v>
      </c>
    </row>
    <row r="1278" spans="1:18" hidden="1" x14ac:dyDescent="0.25">
      <c r="A1278" s="46">
        <v>2020</v>
      </c>
      <c r="B1278" s="47" t="s">
        <v>103</v>
      </c>
      <c r="C1278" s="47" t="s">
        <v>104</v>
      </c>
      <c r="D1278" s="47" t="s">
        <v>52</v>
      </c>
      <c r="E1278" s="47" t="s">
        <v>49</v>
      </c>
      <c r="F1278" s="46">
        <v>260</v>
      </c>
      <c r="G1278" s="46">
        <v>20</v>
      </c>
      <c r="H1278" s="46">
        <v>45</v>
      </c>
      <c r="I1278" s="46">
        <v>20</v>
      </c>
      <c r="J1278" s="46">
        <v>20</v>
      </c>
      <c r="K1278" s="46">
        <v>20</v>
      </c>
      <c r="L1278" s="46">
        <v>135</v>
      </c>
      <c r="M1278">
        <f t="shared" si="115"/>
        <v>2.3312876284393778E-3</v>
      </c>
      <c r="N1278">
        <f t="shared" si="116"/>
        <v>5.2453971639886002E-3</v>
      </c>
      <c r="O1278">
        <f t="shared" si="117"/>
        <v>2.3312876284393778E-3</v>
      </c>
      <c r="P1278">
        <f t="shared" si="118"/>
        <v>2.3312876284393778E-3</v>
      </c>
      <c r="Q1278">
        <f t="shared" si="119"/>
        <v>2.3312876284393778E-3</v>
      </c>
      <c r="R1278">
        <f t="shared" si="120"/>
        <v>1.5736191491965801E-2</v>
      </c>
    </row>
    <row r="1279" spans="1:18" hidden="1" x14ac:dyDescent="0.25">
      <c r="A1279" s="46">
        <v>2020</v>
      </c>
      <c r="B1279" s="47" t="s">
        <v>103</v>
      </c>
      <c r="C1279" s="47" t="s">
        <v>104</v>
      </c>
      <c r="D1279" s="47" t="s">
        <v>52</v>
      </c>
      <c r="E1279" s="47" t="s">
        <v>50</v>
      </c>
      <c r="F1279" s="46">
        <v>85</v>
      </c>
      <c r="G1279" s="46">
        <v>0</v>
      </c>
      <c r="H1279" s="46">
        <v>0</v>
      </c>
      <c r="I1279" s="46">
        <v>5</v>
      </c>
      <c r="J1279" s="46">
        <v>0</v>
      </c>
      <c r="K1279" s="46">
        <v>5</v>
      </c>
      <c r="L1279" s="46">
        <v>70</v>
      </c>
      <c r="M1279">
        <f t="shared" si="115"/>
        <v>0</v>
      </c>
      <c r="N1279">
        <f t="shared" si="116"/>
        <v>0</v>
      </c>
      <c r="O1279">
        <f t="shared" si="117"/>
        <v>5.8282190710984446E-4</v>
      </c>
      <c r="P1279">
        <f t="shared" si="118"/>
        <v>0</v>
      </c>
      <c r="Q1279">
        <f t="shared" si="119"/>
        <v>5.8282190710984446E-4</v>
      </c>
      <c r="R1279">
        <f t="shared" si="120"/>
        <v>8.1595066995378222E-3</v>
      </c>
    </row>
    <row r="1280" spans="1:18" hidden="1" x14ac:dyDescent="0.25">
      <c r="A1280" s="46" t="s">
        <v>105</v>
      </c>
      <c r="B1280" s="46"/>
      <c r="C1280" s="46"/>
      <c r="D1280" s="46"/>
      <c r="E1280" s="46"/>
      <c r="F1280" s="46"/>
      <c r="G1280" s="46"/>
      <c r="H1280" s="46"/>
      <c r="I1280" s="46"/>
      <c r="J1280" s="46"/>
      <c r="K1280" s="46"/>
      <c r="L1280" s="46"/>
    </row>
  </sheetData>
  <autoFilter ref="A8:Z1280" xr:uid="{8D45BB55-FD06-4854-96B5-CCC03903DC0E}">
    <filterColumn colId="3">
      <filters>
        <filter val="Insgesamt"/>
      </filters>
    </filterColumn>
    <filterColumn colId="4">
      <filters blank="1"/>
    </filterColumn>
  </autoFilter>
  <mergeCells count="11">
    <mergeCell ref="A4:A6"/>
    <mergeCell ref="B4:C6"/>
    <mergeCell ref="D4:D6"/>
    <mergeCell ref="E4:E6"/>
    <mergeCell ref="F4:L4"/>
    <mergeCell ref="F7:L7"/>
    <mergeCell ref="M7:R7"/>
    <mergeCell ref="M4:R4"/>
    <mergeCell ref="F5:F6"/>
    <mergeCell ref="G5:L5"/>
    <mergeCell ref="M5:R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D3A0F-3AF4-4787-91B5-5B37836AFD63}">
  <sheetPr codeName="Tabelle3"/>
  <dimension ref="A1:S59"/>
  <sheetViews>
    <sheetView workbookViewId="0"/>
  </sheetViews>
  <sheetFormatPr baseColWidth="10" defaultRowHeight="15" x14ac:dyDescent="0.25"/>
  <sheetData>
    <row r="1" spans="1:19" x14ac:dyDescent="0.25">
      <c r="A1" s="48" t="s">
        <v>28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9" x14ac:dyDescent="0.25">
      <c r="A2" s="50" t="s">
        <v>29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9" x14ac:dyDescent="0.25">
      <c r="A3" s="51" t="s">
        <v>30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</row>
    <row r="4" spans="1:19" x14ac:dyDescent="0.25">
      <c r="A4" s="64" t="s">
        <v>1</v>
      </c>
      <c r="B4" s="64" t="s">
        <v>31</v>
      </c>
      <c r="C4" s="64"/>
      <c r="D4" s="64" t="s">
        <v>32</v>
      </c>
      <c r="E4" s="64" t="s">
        <v>25</v>
      </c>
      <c r="F4" s="64" t="s">
        <v>33</v>
      </c>
      <c r="G4" s="64"/>
      <c r="H4" s="64"/>
      <c r="I4" s="64"/>
      <c r="J4" s="64"/>
      <c r="K4" s="64"/>
      <c r="L4" s="64"/>
      <c r="M4" s="64" t="s">
        <v>33</v>
      </c>
      <c r="N4" s="64"/>
      <c r="O4" s="64"/>
      <c r="P4" s="64"/>
      <c r="Q4" s="64"/>
      <c r="R4" s="64"/>
    </row>
    <row r="5" spans="1:19" x14ac:dyDescent="0.25">
      <c r="A5" s="64"/>
      <c r="B5" s="64"/>
      <c r="C5" s="64"/>
      <c r="D5" s="64"/>
      <c r="E5" s="64"/>
      <c r="F5" s="64" t="s">
        <v>34</v>
      </c>
      <c r="G5" s="64" t="s">
        <v>35</v>
      </c>
      <c r="H5" s="64"/>
      <c r="I5" s="64"/>
      <c r="J5" s="64"/>
      <c r="K5" s="64"/>
      <c r="L5" s="64"/>
      <c r="M5" s="64" t="s">
        <v>35</v>
      </c>
      <c r="N5" s="64"/>
      <c r="O5" s="64"/>
      <c r="P5" s="64"/>
      <c r="Q5" s="64"/>
      <c r="R5" s="64"/>
    </row>
    <row r="6" spans="1:19" x14ac:dyDescent="0.25">
      <c r="A6" s="64"/>
      <c r="B6" s="64"/>
      <c r="C6" s="64"/>
      <c r="D6" s="64"/>
      <c r="E6" s="64"/>
      <c r="F6" s="64"/>
      <c r="G6" s="52">
        <v>0</v>
      </c>
      <c r="H6" s="52" t="s">
        <v>36</v>
      </c>
      <c r="I6" s="52" t="s">
        <v>37</v>
      </c>
      <c r="J6" s="52" t="s">
        <v>38</v>
      </c>
      <c r="K6" s="52" t="s">
        <v>39</v>
      </c>
      <c r="L6" s="52" t="s">
        <v>40</v>
      </c>
      <c r="M6" s="52">
        <v>0</v>
      </c>
      <c r="N6" s="52" t="s">
        <v>36</v>
      </c>
      <c r="O6" s="52" t="s">
        <v>37</v>
      </c>
      <c r="P6" s="52" t="s">
        <v>38</v>
      </c>
      <c r="Q6" s="52" t="s">
        <v>39</v>
      </c>
      <c r="R6" s="52" t="s">
        <v>40</v>
      </c>
    </row>
    <row r="7" spans="1:19" x14ac:dyDescent="0.25">
      <c r="A7" s="45"/>
      <c r="B7" s="45"/>
      <c r="C7" s="45"/>
      <c r="D7" s="45"/>
      <c r="E7" s="45"/>
      <c r="F7" s="63" t="s">
        <v>10</v>
      </c>
      <c r="G7" s="63"/>
      <c r="H7" s="63"/>
      <c r="I7" s="63"/>
      <c r="J7" s="63"/>
      <c r="K7" s="63"/>
      <c r="L7" s="63"/>
      <c r="M7" s="63" t="s">
        <v>11</v>
      </c>
      <c r="N7" s="63"/>
      <c r="O7" s="63"/>
      <c r="P7" s="63"/>
      <c r="Q7" s="63"/>
      <c r="R7" s="63"/>
      <c r="S7" s="53"/>
    </row>
    <row r="8" spans="1:19" x14ac:dyDescent="0.25">
      <c r="A8">
        <v>2020</v>
      </c>
      <c r="B8">
        <v>0</v>
      </c>
      <c r="C8" t="s">
        <v>41</v>
      </c>
      <c r="D8" t="s">
        <v>42</v>
      </c>
      <c r="E8" t="s">
        <v>43</v>
      </c>
      <c r="F8">
        <v>857895</v>
      </c>
      <c r="G8">
        <v>46045</v>
      </c>
      <c r="H8">
        <v>172885</v>
      </c>
      <c r="I8">
        <v>181085</v>
      </c>
      <c r="J8">
        <v>82685</v>
      </c>
      <c r="K8">
        <v>46700</v>
      </c>
      <c r="L8">
        <v>328490</v>
      </c>
      <c r="M8">
        <v>5.3672069425745574</v>
      </c>
      <c r="N8">
        <v>20.152233082137091</v>
      </c>
      <c r="O8">
        <v>21.108061009797236</v>
      </c>
      <c r="P8">
        <v>9.6381258778754972</v>
      </c>
      <c r="Q8">
        <v>5.4435566124059465</v>
      </c>
      <c r="R8">
        <v>38.290233653302558</v>
      </c>
    </row>
    <row r="9" spans="1:19" x14ac:dyDescent="0.25">
      <c r="A9">
        <v>2020</v>
      </c>
      <c r="B9">
        <v>1</v>
      </c>
      <c r="C9" t="s">
        <v>53</v>
      </c>
      <c r="D9" t="s">
        <v>42</v>
      </c>
      <c r="E9" t="s">
        <v>43</v>
      </c>
      <c r="F9">
        <v>166960</v>
      </c>
      <c r="G9">
        <v>9000</v>
      </c>
      <c r="H9">
        <v>34680</v>
      </c>
      <c r="I9">
        <v>34445</v>
      </c>
      <c r="J9">
        <v>15050</v>
      </c>
      <c r="K9">
        <v>7500</v>
      </c>
      <c r="L9">
        <v>66285</v>
      </c>
      <c r="M9">
        <v>1.04907943279772</v>
      </c>
      <c r="N9">
        <v>4.042452747713881</v>
      </c>
      <c r="O9">
        <v>4.0150601180797185</v>
      </c>
      <c r="P9">
        <v>1.7542939404006319</v>
      </c>
      <c r="Q9">
        <v>0.87423286066476669</v>
      </c>
      <c r="R9">
        <v>7.7264700225552083</v>
      </c>
    </row>
    <row r="10" spans="1:19" x14ac:dyDescent="0.25">
      <c r="A10">
        <v>2020</v>
      </c>
      <c r="B10">
        <v>101</v>
      </c>
      <c r="C10" t="s">
        <v>54</v>
      </c>
      <c r="D10" t="s">
        <v>42</v>
      </c>
      <c r="E10" t="s">
        <v>43</v>
      </c>
      <c r="F10">
        <v>30950</v>
      </c>
      <c r="G10">
        <v>1550</v>
      </c>
      <c r="H10">
        <v>6020</v>
      </c>
      <c r="I10">
        <v>5345</v>
      </c>
      <c r="J10">
        <v>3020</v>
      </c>
      <c r="K10">
        <v>1740</v>
      </c>
      <c r="L10">
        <v>13275</v>
      </c>
      <c r="M10">
        <v>0.18067479120405178</v>
      </c>
      <c r="N10">
        <v>0.70171757616025277</v>
      </c>
      <c r="O10">
        <v>0.62303661870042371</v>
      </c>
      <c r="P10">
        <v>0.35202443189434601</v>
      </c>
      <c r="Q10">
        <v>0.20282202367422586</v>
      </c>
      <c r="R10">
        <v>1.547392163376637</v>
      </c>
    </row>
    <row r="11" spans="1:19" x14ac:dyDescent="0.25">
      <c r="A11">
        <v>2020</v>
      </c>
      <c r="B11">
        <v>102</v>
      </c>
      <c r="C11" t="s">
        <v>55</v>
      </c>
      <c r="D11" t="s">
        <v>42</v>
      </c>
      <c r="E11" t="s">
        <v>43</v>
      </c>
      <c r="F11">
        <v>20785</v>
      </c>
      <c r="G11">
        <v>980</v>
      </c>
      <c r="H11">
        <v>4230</v>
      </c>
      <c r="I11">
        <v>5400</v>
      </c>
      <c r="J11">
        <v>1640</v>
      </c>
      <c r="K11">
        <v>685</v>
      </c>
      <c r="L11">
        <v>7845</v>
      </c>
      <c r="M11">
        <v>0.11423309379352951</v>
      </c>
      <c r="N11">
        <v>0.49306733341492837</v>
      </c>
      <c r="O11">
        <v>0.62944765967863203</v>
      </c>
      <c r="P11">
        <v>0.19116558553202898</v>
      </c>
      <c r="Q11">
        <v>7.984660127404869E-2</v>
      </c>
      <c r="R11">
        <v>0.9144475722553459</v>
      </c>
    </row>
    <row r="12" spans="1:19" x14ac:dyDescent="0.25">
      <c r="A12">
        <v>2020</v>
      </c>
      <c r="B12">
        <v>103</v>
      </c>
      <c r="C12" t="s">
        <v>56</v>
      </c>
      <c r="D12" t="s">
        <v>42</v>
      </c>
      <c r="E12" t="s">
        <v>43</v>
      </c>
      <c r="F12">
        <v>20265</v>
      </c>
      <c r="G12">
        <v>975</v>
      </c>
      <c r="H12">
        <v>4000</v>
      </c>
      <c r="I12">
        <v>3410</v>
      </c>
      <c r="J12">
        <v>2135</v>
      </c>
      <c r="K12">
        <v>975</v>
      </c>
      <c r="L12">
        <v>8765</v>
      </c>
      <c r="M12">
        <v>0.11365027188641966</v>
      </c>
      <c r="N12">
        <v>0.46625752568787554</v>
      </c>
      <c r="O12">
        <v>0.39748454064891398</v>
      </c>
      <c r="P12">
        <v>0.24886495433590355</v>
      </c>
      <c r="Q12">
        <v>0.11365027188641966</v>
      </c>
      <c r="R12">
        <v>1.0216868031635573</v>
      </c>
    </row>
    <row r="13" spans="1:19" x14ac:dyDescent="0.25">
      <c r="A13">
        <v>2020</v>
      </c>
      <c r="B13">
        <v>151</v>
      </c>
      <c r="C13" t="s">
        <v>57</v>
      </c>
      <c r="D13" t="s">
        <v>42</v>
      </c>
      <c r="E13" t="s">
        <v>43</v>
      </c>
      <c r="F13">
        <v>12955</v>
      </c>
      <c r="G13">
        <v>575</v>
      </c>
      <c r="H13">
        <v>2750</v>
      </c>
      <c r="I13">
        <v>2420</v>
      </c>
      <c r="J13">
        <v>1010</v>
      </c>
      <c r="K13">
        <v>580</v>
      </c>
      <c r="L13">
        <v>5615</v>
      </c>
      <c r="M13">
        <v>6.702451931763212E-2</v>
      </c>
      <c r="N13">
        <v>0.32055204891041444</v>
      </c>
      <c r="O13">
        <v>0.28208580304116471</v>
      </c>
      <c r="P13">
        <v>0.11773002523618858</v>
      </c>
      <c r="Q13">
        <v>6.7607341224741963E-2</v>
      </c>
      <c r="R13">
        <v>0.65450900168435533</v>
      </c>
    </row>
    <row r="14" spans="1:19" x14ac:dyDescent="0.25">
      <c r="A14">
        <v>2020</v>
      </c>
      <c r="B14">
        <v>153</v>
      </c>
      <c r="C14" t="s">
        <v>58</v>
      </c>
      <c r="D14" t="s">
        <v>42</v>
      </c>
      <c r="E14" t="s">
        <v>43</v>
      </c>
      <c r="F14">
        <v>13830</v>
      </c>
      <c r="G14">
        <v>1005</v>
      </c>
      <c r="H14">
        <v>3485</v>
      </c>
      <c r="I14">
        <v>3265</v>
      </c>
      <c r="J14">
        <v>1070</v>
      </c>
      <c r="K14">
        <v>515</v>
      </c>
      <c r="L14">
        <v>4485</v>
      </c>
      <c r="M14">
        <v>0.11714720332907873</v>
      </c>
      <c r="N14">
        <v>0.40622686925556162</v>
      </c>
      <c r="O14">
        <v>0.38058270534272842</v>
      </c>
      <c r="P14">
        <v>0.12472388812150671</v>
      </c>
      <c r="Q14">
        <v>6.0030656432313978E-2</v>
      </c>
      <c r="R14">
        <v>0.52279125067753041</v>
      </c>
    </row>
    <row r="15" spans="1:19" x14ac:dyDescent="0.25">
      <c r="A15">
        <v>2020</v>
      </c>
      <c r="B15">
        <v>154</v>
      </c>
      <c r="C15" t="s">
        <v>59</v>
      </c>
      <c r="D15" t="s">
        <v>42</v>
      </c>
      <c r="E15" t="s">
        <v>43</v>
      </c>
      <c r="F15">
        <v>6760</v>
      </c>
      <c r="G15">
        <v>375</v>
      </c>
      <c r="H15">
        <v>1225</v>
      </c>
      <c r="I15">
        <v>1445</v>
      </c>
      <c r="J15">
        <v>695</v>
      </c>
      <c r="K15">
        <v>310</v>
      </c>
      <c r="L15">
        <v>2705</v>
      </c>
      <c r="M15">
        <v>4.371164303323833E-2</v>
      </c>
      <c r="N15">
        <v>0.14279136724191188</v>
      </c>
      <c r="O15">
        <v>0.16843553115474505</v>
      </c>
      <c r="P15">
        <v>8.1012245088268375E-2</v>
      </c>
      <c r="Q15">
        <v>3.613495824081036E-2</v>
      </c>
      <c r="R15">
        <v>0.31530665174642586</v>
      </c>
    </row>
    <row r="16" spans="1:19" x14ac:dyDescent="0.25">
      <c r="A16">
        <v>2020</v>
      </c>
      <c r="B16">
        <v>155</v>
      </c>
      <c r="C16" t="s">
        <v>60</v>
      </c>
      <c r="D16" t="s">
        <v>42</v>
      </c>
      <c r="E16" t="s">
        <v>43</v>
      </c>
      <c r="F16">
        <v>9310</v>
      </c>
      <c r="G16">
        <v>460</v>
      </c>
      <c r="H16">
        <v>1835</v>
      </c>
      <c r="I16">
        <v>2130</v>
      </c>
      <c r="J16">
        <v>805</v>
      </c>
      <c r="K16">
        <v>420</v>
      </c>
      <c r="L16">
        <v>3660</v>
      </c>
      <c r="M16">
        <v>5.3619615454105686E-2</v>
      </c>
      <c r="N16">
        <v>0.21389563990931293</v>
      </c>
      <c r="O16">
        <v>0.24828213242879374</v>
      </c>
      <c r="P16">
        <v>9.3834327044684959E-2</v>
      </c>
      <c r="Q16">
        <v>4.895704019722693E-2</v>
      </c>
      <c r="R16">
        <v>0.42662563600440612</v>
      </c>
    </row>
    <row r="17" spans="1:18" x14ac:dyDescent="0.25">
      <c r="A17">
        <v>2020</v>
      </c>
      <c r="B17">
        <v>157</v>
      </c>
      <c r="C17" t="s">
        <v>61</v>
      </c>
      <c r="D17" t="s">
        <v>42</v>
      </c>
      <c r="E17" t="s">
        <v>43</v>
      </c>
      <c r="F17">
        <v>11985</v>
      </c>
      <c r="G17">
        <v>665</v>
      </c>
      <c r="H17">
        <v>2290</v>
      </c>
      <c r="I17">
        <v>2655</v>
      </c>
      <c r="J17">
        <v>995</v>
      </c>
      <c r="K17">
        <v>550</v>
      </c>
      <c r="L17">
        <v>4830</v>
      </c>
      <c r="M17">
        <v>7.7515313645609304E-2</v>
      </c>
      <c r="N17">
        <v>0.26693243345630874</v>
      </c>
      <c r="O17">
        <v>0.30947843267532738</v>
      </c>
      <c r="P17">
        <v>0.11598155951485904</v>
      </c>
      <c r="Q17">
        <v>6.4110409782082892E-2</v>
      </c>
      <c r="R17">
        <v>0.56300596226810973</v>
      </c>
    </row>
    <row r="18" spans="1:18" x14ac:dyDescent="0.25">
      <c r="A18">
        <v>2020</v>
      </c>
      <c r="B18">
        <v>158</v>
      </c>
      <c r="C18" t="s">
        <v>62</v>
      </c>
      <c r="D18" t="s">
        <v>42</v>
      </c>
      <c r="E18" t="s">
        <v>43</v>
      </c>
      <c r="F18">
        <v>7860</v>
      </c>
      <c r="G18">
        <v>330</v>
      </c>
      <c r="H18">
        <v>1465</v>
      </c>
      <c r="I18">
        <v>1910</v>
      </c>
      <c r="J18">
        <v>730</v>
      </c>
      <c r="K18">
        <v>330</v>
      </c>
      <c r="L18">
        <v>3095</v>
      </c>
      <c r="M18">
        <v>3.8466245869249731E-2</v>
      </c>
      <c r="N18">
        <v>0.17076681878318442</v>
      </c>
      <c r="O18">
        <v>0.22263796851596057</v>
      </c>
      <c r="P18">
        <v>8.5091998438037289E-2</v>
      </c>
      <c r="Q18">
        <v>3.8466245869249731E-2</v>
      </c>
      <c r="R18">
        <v>0.36076676050099371</v>
      </c>
    </row>
    <row r="19" spans="1:18" x14ac:dyDescent="0.25">
      <c r="A19">
        <v>2020</v>
      </c>
      <c r="B19">
        <v>159</v>
      </c>
      <c r="C19" t="s">
        <v>63</v>
      </c>
      <c r="D19" t="s">
        <v>42</v>
      </c>
      <c r="E19" t="s">
        <v>43</v>
      </c>
      <c r="F19">
        <v>32265</v>
      </c>
      <c r="G19">
        <v>2080</v>
      </c>
      <c r="H19">
        <v>7375</v>
      </c>
      <c r="I19">
        <v>6460</v>
      </c>
      <c r="J19">
        <v>2940</v>
      </c>
      <c r="K19">
        <v>1395</v>
      </c>
      <c r="L19">
        <v>12010</v>
      </c>
      <c r="M19">
        <v>0.24245391335769528</v>
      </c>
      <c r="N19">
        <v>0.85966231298702056</v>
      </c>
      <c r="O19">
        <v>0.75300590398591905</v>
      </c>
      <c r="P19">
        <v>0.34269928138058853</v>
      </c>
      <c r="Q19">
        <v>0.16260731208364659</v>
      </c>
      <c r="R19">
        <v>1.3999382208778464</v>
      </c>
    </row>
    <row r="20" spans="1:18" x14ac:dyDescent="0.25">
      <c r="A20">
        <v>2020</v>
      </c>
      <c r="B20">
        <v>2</v>
      </c>
      <c r="C20" t="s">
        <v>65</v>
      </c>
      <c r="D20" t="s">
        <v>42</v>
      </c>
      <c r="E20" t="s">
        <v>43</v>
      </c>
      <c r="F20">
        <v>277860</v>
      </c>
      <c r="G20">
        <v>10050</v>
      </c>
      <c r="H20">
        <v>49740</v>
      </c>
      <c r="I20">
        <v>55350</v>
      </c>
      <c r="J20">
        <v>26910</v>
      </c>
      <c r="K20">
        <v>15500</v>
      </c>
      <c r="L20">
        <v>120305</v>
      </c>
      <c r="M20">
        <v>1.1714720332907873</v>
      </c>
      <c r="N20">
        <v>5.7979123319287327</v>
      </c>
      <c r="O20">
        <v>6.4518385117059776</v>
      </c>
      <c r="P20">
        <v>3.1367475040651827</v>
      </c>
      <c r="Q20">
        <v>1.8067479120405177</v>
      </c>
      <c r="R20">
        <v>14.023277906969966</v>
      </c>
    </row>
    <row r="21" spans="1:18" x14ac:dyDescent="0.25">
      <c r="A21">
        <v>2020</v>
      </c>
      <c r="B21">
        <v>241</v>
      </c>
      <c r="C21" t="s">
        <v>66</v>
      </c>
      <c r="D21" t="s">
        <v>42</v>
      </c>
      <c r="E21" t="s">
        <v>43</v>
      </c>
      <c r="F21">
        <v>185675</v>
      </c>
      <c r="G21">
        <v>5340</v>
      </c>
      <c r="H21">
        <v>32050</v>
      </c>
      <c r="I21">
        <v>34440</v>
      </c>
      <c r="J21">
        <v>18570</v>
      </c>
      <c r="K21">
        <v>10985</v>
      </c>
      <c r="L21">
        <v>84290</v>
      </c>
      <c r="M21">
        <v>0.62245379679331392</v>
      </c>
      <c r="N21">
        <v>3.7358884245741026</v>
      </c>
      <c r="O21">
        <v>4.0144772961726085</v>
      </c>
      <c r="P21">
        <v>2.1646005630059624</v>
      </c>
      <c r="Q21">
        <v>1.2804597299203282</v>
      </c>
      <c r="R21">
        <v>9.8252117100577578</v>
      </c>
    </row>
    <row r="22" spans="1:18" x14ac:dyDescent="0.25">
      <c r="A22">
        <v>2020</v>
      </c>
      <c r="B22">
        <v>241001</v>
      </c>
      <c r="C22" t="s">
        <v>67</v>
      </c>
      <c r="D22" t="s">
        <v>42</v>
      </c>
      <c r="E22" t="s">
        <v>43</v>
      </c>
      <c r="F22">
        <v>112125</v>
      </c>
      <c r="G22">
        <v>2375</v>
      </c>
      <c r="H22">
        <v>19565</v>
      </c>
      <c r="I22">
        <v>18815</v>
      </c>
      <c r="J22">
        <v>11805</v>
      </c>
      <c r="K22">
        <v>7330</v>
      </c>
      <c r="L22">
        <v>52235</v>
      </c>
      <c r="M22">
        <v>0.27684040587717612</v>
      </c>
      <c r="N22">
        <v>2.2805821225208214</v>
      </c>
      <c r="O22">
        <v>2.1931588364543444</v>
      </c>
      <c r="P22">
        <v>1.3760425226863426</v>
      </c>
      <c r="Q22">
        <v>0.85441691582303203</v>
      </c>
      <c r="R22">
        <v>6.0887404635765447</v>
      </c>
    </row>
    <row r="23" spans="1:18" x14ac:dyDescent="0.25">
      <c r="A23">
        <v>2020</v>
      </c>
      <c r="B23">
        <v>241999</v>
      </c>
      <c r="C23" t="s">
        <v>108</v>
      </c>
      <c r="F23">
        <f>F21-F22</f>
        <v>73550</v>
      </c>
      <c r="G23">
        <f t="shared" ref="G23:L23" si="0">G21-G22</f>
        <v>2965</v>
      </c>
      <c r="H23">
        <f t="shared" si="0"/>
        <v>12485</v>
      </c>
      <c r="I23">
        <f t="shared" si="0"/>
        <v>15625</v>
      </c>
      <c r="J23">
        <f t="shared" si="0"/>
        <v>6765</v>
      </c>
      <c r="K23">
        <f t="shared" si="0"/>
        <v>3655</v>
      </c>
      <c r="L23">
        <f t="shared" si="0"/>
        <v>32055</v>
      </c>
      <c r="M23">
        <v>0.27684040587717612</v>
      </c>
      <c r="N23">
        <v>2.2805821225208214</v>
      </c>
      <c r="O23">
        <v>2.1931588364543444</v>
      </c>
      <c r="P23">
        <v>1.3760425226863426</v>
      </c>
      <c r="Q23">
        <v>0.85441691582303203</v>
      </c>
      <c r="R23">
        <v>6.0887404635765447</v>
      </c>
    </row>
    <row r="24" spans="1:18" x14ac:dyDescent="0.25">
      <c r="A24">
        <v>2020</v>
      </c>
      <c r="B24">
        <v>251</v>
      </c>
      <c r="C24" t="s">
        <v>68</v>
      </c>
      <c r="D24" t="s">
        <v>42</v>
      </c>
      <c r="E24" t="s">
        <v>43</v>
      </c>
      <c r="F24">
        <v>19395</v>
      </c>
      <c r="G24">
        <v>1180</v>
      </c>
      <c r="H24">
        <v>4030</v>
      </c>
      <c r="I24">
        <v>4370</v>
      </c>
      <c r="J24">
        <v>2335</v>
      </c>
      <c r="K24">
        <v>1250</v>
      </c>
      <c r="L24">
        <v>6230</v>
      </c>
      <c r="M24">
        <v>0.1375459700779233</v>
      </c>
      <c r="N24">
        <v>0.46975445713053465</v>
      </c>
      <c r="O24">
        <v>0.50938634681400408</v>
      </c>
      <c r="P24">
        <v>0.27217783062029732</v>
      </c>
      <c r="Q24">
        <v>0.14570547677746112</v>
      </c>
      <c r="R24">
        <v>0.72619609625886616</v>
      </c>
    </row>
    <row r="25" spans="1:18" x14ac:dyDescent="0.25">
      <c r="A25">
        <v>2020</v>
      </c>
      <c r="B25">
        <v>252</v>
      </c>
      <c r="C25" t="s">
        <v>69</v>
      </c>
      <c r="D25" t="s">
        <v>42</v>
      </c>
      <c r="E25" t="s">
        <v>43</v>
      </c>
      <c r="F25">
        <v>17460</v>
      </c>
      <c r="G25">
        <v>740</v>
      </c>
      <c r="H25">
        <v>2950</v>
      </c>
      <c r="I25">
        <v>3995</v>
      </c>
      <c r="J25">
        <v>1450</v>
      </c>
      <c r="K25">
        <v>690</v>
      </c>
      <c r="L25">
        <v>7640</v>
      </c>
      <c r="M25">
        <v>8.6257642252256975E-2</v>
      </c>
      <c r="N25">
        <v>0.34386492519480827</v>
      </c>
      <c r="O25">
        <v>0.46567470378076575</v>
      </c>
      <c r="P25">
        <v>0.16901835306185489</v>
      </c>
      <c r="Q25">
        <v>8.0429423181158533E-2</v>
      </c>
      <c r="R25">
        <v>0.89055187406384229</v>
      </c>
    </row>
    <row r="26" spans="1:18" x14ac:dyDescent="0.25">
      <c r="A26">
        <v>2020</v>
      </c>
      <c r="B26">
        <v>254</v>
      </c>
      <c r="C26" t="s">
        <v>70</v>
      </c>
      <c r="D26" t="s">
        <v>42</v>
      </c>
      <c r="E26" t="s">
        <v>43</v>
      </c>
      <c r="F26">
        <v>25525</v>
      </c>
      <c r="G26">
        <v>1315</v>
      </c>
      <c r="H26">
        <v>4980</v>
      </c>
      <c r="I26">
        <v>5460</v>
      </c>
      <c r="J26">
        <v>2335</v>
      </c>
      <c r="K26">
        <v>1275</v>
      </c>
      <c r="L26">
        <v>10160</v>
      </c>
      <c r="M26">
        <v>0.15328216156988908</v>
      </c>
      <c r="N26">
        <v>0.58049061948140501</v>
      </c>
      <c r="O26">
        <v>0.63644152256395015</v>
      </c>
      <c r="P26">
        <v>0.27217783062029732</v>
      </c>
      <c r="Q26">
        <v>0.14861958631301034</v>
      </c>
      <c r="R26">
        <v>1.184294115247204</v>
      </c>
    </row>
    <row r="27" spans="1:18" x14ac:dyDescent="0.25">
      <c r="A27" s="54">
        <v>2020</v>
      </c>
      <c r="B27">
        <v>255</v>
      </c>
      <c r="C27" t="s">
        <v>72</v>
      </c>
      <c r="D27" t="s">
        <v>42</v>
      </c>
      <c r="E27" t="s">
        <v>43</v>
      </c>
      <c r="F27">
        <v>4490</v>
      </c>
      <c r="G27">
        <v>150</v>
      </c>
      <c r="H27">
        <v>835</v>
      </c>
      <c r="I27">
        <v>955</v>
      </c>
      <c r="J27">
        <v>225</v>
      </c>
      <c r="K27">
        <v>175</v>
      </c>
      <c r="L27">
        <v>2150</v>
      </c>
      <c r="M27">
        <v>1.7484657213295333E-2</v>
      </c>
      <c r="N27">
        <v>9.7331258487344016E-2</v>
      </c>
      <c r="O27">
        <v>0.11131898425798029</v>
      </c>
      <c r="P27">
        <v>2.6226985819943E-2</v>
      </c>
      <c r="Q27">
        <v>2.0398766748844555E-2</v>
      </c>
      <c r="R27">
        <v>0.25061342005723308</v>
      </c>
    </row>
    <row r="28" spans="1:18" x14ac:dyDescent="0.25">
      <c r="A28" s="54" t="s">
        <v>220</v>
      </c>
      <c r="B28">
        <v>256</v>
      </c>
      <c r="C28" t="s">
        <v>73</v>
      </c>
      <c r="D28" t="s">
        <v>42</v>
      </c>
      <c r="E28" t="s">
        <v>43</v>
      </c>
      <c r="F28">
        <v>10560</v>
      </c>
      <c r="G28">
        <v>570</v>
      </c>
      <c r="H28">
        <v>2020</v>
      </c>
      <c r="I28">
        <v>2935</v>
      </c>
      <c r="J28">
        <v>890</v>
      </c>
      <c r="K28">
        <v>540</v>
      </c>
      <c r="L28">
        <v>3600</v>
      </c>
      <c r="M28">
        <v>6.6441697410522263E-2</v>
      </c>
      <c r="N28">
        <v>0.23546005047237717</v>
      </c>
      <c r="O28">
        <v>0.34211645947347868</v>
      </c>
      <c r="P28">
        <v>0.10374229946555232</v>
      </c>
      <c r="Q28">
        <v>6.2944765967863206E-2</v>
      </c>
      <c r="R28">
        <v>0.419631773119088</v>
      </c>
    </row>
    <row r="29" spans="1:18" x14ac:dyDescent="0.25">
      <c r="A29" s="54" t="s">
        <v>220</v>
      </c>
      <c r="B29">
        <v>257</v>
      </c>
      <c r="C29" t="s">
        <v>74</v>
      </c>
      <c r="D29" t="s">
        <v>42</v>
      </c>
      <c r="E29" t="s">
        <v>43</v>
      </c>
      <c r="F29">
        <v>14755</v>
      </c>
      <c r="G29">
        <v>755</v>
      </c>
      <c r="H29">
        <v>2880</v>
      </c>
      <c r="I29">
        <v>3190</v>
      </c>
      <c r="J29">
        <v>1110</v>
      </c>
      <c r="K29">
        <v>580</v>
      </c>
      <c r="L29">
        <v>6235</v>
      </c>
      <c r="M29">
        <v>8.8006107973586503E-2</v>
      </c>
      <c r="N29">
        <v>0.33570541849527041</v>
      </c>
      <c r="O29">
        <v>0.37184037673608078</v>
      </c>
      <c r="P29">
        <v>0.12938646337838547</v>
      </c>
      <c r="Q29">
        <v>6.7607341224741963E-2</v>
      </c>
      <c r="R29">
        <v>0.72677891816597606</v>
      </c>
    </row>
    <row r="30" spans="1:18" x14ac:dyDescent="0.25">
      <c r="A30" s="54">
        <v>2020</v>
      </c>
      <c r="B30">
        <v>3</v>
      </c>
      <c r="C30" t="s">
        <v>75</v>
      </c>
      <c r="D30" t="s">
        <v>42</v>
      </c>
      <c r="E30" t="s">
        <v>43</v>
      </c>
      <c r="F30">
        <v>135635</v>
      </c>
      <c r="G30">
        <v>8290</v>
      </c>
      <c r="H30">
        <v>26885</v>
      </c>
      <c r="I30">
        <v>30525</v>
      </c>
      <c r="J30">
        <v>13015</v>
      </c>
      <c r="K30">
        <v>6945</v>
      </c>
      <c r="L30">
        <v>49975</v>
      </c>
      <c r="M30">
        <v>0.96631872198812208</v>
      </c>
      <c r="N30">
        <v>3.1338333945296339</v>
      </c>
      <c r="O30">
        <v>3.5581277429056</v>
      </c>
      <c r="P30">
        <v>1.5170854242069252</v>
      </c>
      <c r="Q30">
        <v>0.80953962897557397</v>
      </c>
      <c r="R30">
        <v>5.8253049615628951</v>
      </c>
    </row>
    <row r="31" spans="1:18" x14ac:dyDescent="0.25">
      <c r="A31">
        <v>2020</v>
      </c>
      <c r="B31">
        <v>351</v>
      </c>
      <c r="C31" t="s">
        <v>76</v>
      </c>
      <c r="D31" t="s">
        <v>42</v>
      </c>
      <c r="E31" t="s">
        <v>43</v>
      </c>
      <c r="F31">
        <v>14300</v>
      </c>
      <c r="G31">
        <v>755</v>
      </c>
      <c r="H31">
        <v>2580</v>
      </c>
      <c r="I31">
        <v>3720</v>
      </c>
      <c r="J31">
        <v>1370</v>
      </c>
      <c r="K31">
        <v>675</v>
      </c>
      <c r="L31">
        <v>5195</v>
      </c>
      <c r="M31">
        <v>8.8006107973586503E-2</v>
      </c>
      <c r="N31">
        <v>0.30073610406867973</v>
      </c>
      <c r="O31">
        <v>0.43361949888972423</v>
      </c>
      <c r="P31">
        <v>0.15969320254809738</v>
      </c>
      <c r="Q31">
        <v>7.8680957459829004E-2</v>
      </c>
      <c r="R31">
        <v>0.60555196148712842</v>
      </c>
    </row>
    <row r="32" spans="1:18" x14ac:dyDescent="0.25">
      <c r="A32">
        <v>2020</v>
      </c>
      <c r="B32">
        <v>352</v>
      </c>
      <c r="C32" t="s">
        <v>77</v>
      </c>
      <c r="D32" t="s">
        <v>42</v>
      </c>
      <c r="E32" t="s">
        <v>43</v>
      </c>
      <c r="F32">
        <v>13410</v>
      </c>
      <c r="G32">
        <v>650</v>
      </c>
      <c r="H32">
        <v>2210</v>
      </c>
      <c r="I32">
        <v>2900</v>
      </c>
      <c r="J32">
        <v>1180</v>
      </c>
      <c r="K32">
        <v>650</v>
      </c>
      <c r="L32">
        <v>5825</v>
      </c>
      <c r="M32">
        <v>7.5766847924279776E-2</v>
      </c>
      <c r="N32">
        <v>0.25760728294255125</v>
      </c>
      <c r="O32">
        <v>0.33803670612370978</v>
      </c>
      <c r="P32">
        <v>0.1375459700779233</v>
      </c>
      <c r="Q32">
        <v>7.5766847924279776E-2</v>
      </c>
      <c r="R32">
        <v>0.67898752178296873</v>
      </c>
    </row>
    <row r="33" spans="1:18" x14ac:dyDescent="0.25">
      <c r="A33">
        <v>2020</v>
      </c>
      <c r="B33">
        <v>353</v>
      </c>
      <c r="C33" t="s">
        <v>78</v>
      </c>
      <c r="D33" t="s">
        <v>42</v>
      </c>
      <c r="E33" t="s">
        <v>43</v>
      </c>
      <c r="F33">
        <v>22685</v>
      </c>
      <c r="G33">
        <v>1565</v>
      </c>
      <c r="H33">
        <v>4625</v>
      </c>
      <c r="I33">
        <v>4110</v>
      </c>
      <c r="J33">
        <v>2100</v>
      </c>
      <c r="K33">
        <v>1085</v>
      </c>
      <c r="L33">
        <v>9200</v>
      </c>
      <c r="M33">
        <v>0.18242325692538133</v>
      </c>
      <c r="N33">
        <v>0.53911026407660612</v>
      </c>
      <c r="O33">
        <v>0.47907960764429214</v>
      </c>
      <c r="P33">
        <v>0.24478520098613465</v>
      </c>
      <c r="Q33">
        <v>0.12647235384283623</v>
      </c>
      <c r="R33">
        <v>1.0723923090821139</v>
      </c>
    </row>
    <row r="34" spans="1:18" x14ac:dyDescent="0.25">
      <c r="A34">
        <v>2020</v>
      </c>
      <c r="B34">
        <v>354</v>
      </c>
      <c r="C34" t="s">
        <v>79</v>
      </c>
      <c r="D34" t="s">
        <v>42</v>
      </c>
      <c r="E34" t="s">
        <v>43</v>
      </c>
      <c r="F34">
        <v>2900</v>
      </c>
      <c r="G34">
        <v>215</v>
      </c>
      <c r="H34">
        <v>655</v>
      </c>
      <c r="I34">
        <v>605</v>
      </c>
      <c r="J34">
        <v>370</v>
      </c>
      <c r="K34">
        <v>175</v>
      </c>
      <c r="L34">
        <v>885</v>
      </c>
      <c r="M34">
        <v>2.5061342005723308E-2</v>
      </c>
      <c r="N34">
        <v>7.6349669831389619E-2</v>
      </c>
      <c r="O34">
        <v>7.0521450760291177E-2</v>
      </c>
      <c r="P34">
        <v>4.3128821126128487E-2</v>
      </c>
      <c r="Q34">
        <v>2.0398766748844555E-2</v>
      </c>
      <c r="R34">
        <v>0.10315947755844246</v>
      </c>
    </row>
    <row r="35" spans="1:18" x14ac:dyDescent="0.25">
      <c r="A35">
        <v>2020</v>
      </c>
      <c r="B35">
        <v>355</v>
      </c>
      <c r="C35" t="s">
        <v>75</v>
      </c>
      <c r="D35" t="s">
        <v>42</v>
      </c>
      <c r="E35" t="s">
        <v>43</v>
      </c>
      <c r="F35">
        <v>13095</v>
      </c>
      <c r="G35">
        <v>735</v>
      </c>
      <c r="H35">
        <v>2500</v>
      </c>
      <c r="I35">
        <v>3540</v>
      </c>
      <c r="J35">
        <v>1395</v>
      </c>
      <c r="K35">
        <v>615</v>
      </c>
      <c r="L35">
        <v>4315</v>
      </c>
      <c r="M35">
        <v>8.5674820345147132E-2</v>
      </c>
      <c r="N35">
        <v>0.29141095355492225</v>
      </c>
      <c r="O35">
        <v>0.41263791023376983</v>
      </c>
      <c r="P35">
        <v>0.16260731208364659</v>
      </c>
      <c r="Q35">
        <v>7.1687094574510862E-2</v>
      </c>
      <c r="R35">
        <v>0.50297530583579575</v>
      </c>
    </row>
    <row r="36" spans="1:18" x14ac:dyDescent="0.25">
      <c r="A36">
        <v>2020</v>
      </c>
      <c r="B36">
        <v>356</v>
      </c>
      <c r="C36" t="s">
        <v>80</v>
      </c>
      <c r="D36" t="s">
        <v>42</v>
      </c>
      <c r="E36" t="s">
        <v>43</v>
      </c>
      <c r="F36">
        <v>6980</v>
      </c>
      <c r="G36">
        <v>290</v>
      </c>
      <c r="H36">
        <v>1105</v>
      </c>
      <c r="I36">
        <v>1530</v>
      </c>
      <c r="J36">
        <v>685</v>
      </c>
      <c r="K36">
        <v>385</v>
      </c>
      <c r="L36">
        <v>2990</v>
      </c>
      <c r="M36">
        <v>3.3803670612370981E-2</v>
      </c>
      <c r="N36">
        <v>0.12880364147127563</v>
      </c>
      <c r="O36">
        <v>0.17834350357561241</v>
      </c>
      <c r="P36">
        <v>7.984660127404869E-2</v>
      </c>
      <c r="Q36">
        <v>4.4877286847458023E-2</v>
      </c>
      <c r="R36">
        <v>0.34852750045168701</v>
      </c>
    </row>
    <row r="37" spans="1:18" x14ac:dyDescent="0.25">
      <c r="A37">
        <v>2020</v>
      </c>
      <c r="B37">
        <v>357</v>
      </c>
      <c r="C37" t="s">
        <v>81</v>
      </c>
      <c r="D37" t="s">
        <v>42</v>
      </c>
      <c r="E37" t="s">
        <v>43</v>
      </c>
      <c r="F37">
        <v>12055</v>
      </c>
      <c r="G37">
        <v>795</v>
      </c>
      <c r="H37">
        <v>2550</v>
      </c>
      <c r="I37">
        <v>2585</v>
      </c>
      <c r="J37">
        <v>1080</v>
      </c>
      <c r="K37">
        <v>580</v>
      </c>
      <c r="L37">
        <v>4460</v>
      </c>
      <c r="M37">
        <v>9.266868323046526E-2</v>
      </c>
      <c r="N37">
        <v>0.29723917262602068</v>
      </c>
      <c r="O37">
        <v>0.30131892597578958</v>
      </c>
      <c r="P37">
        <v>0.12588953193572641</v>
      </c>
      <c r="Q37">
        <v>6.7607341224741963E-2</v>
      </c>
      <c r="R37">
        <v>0.51987714114198125</v>
      </c>
    </row>
    <row r="38" spans="1:18" x14ac:dyDescent="0.25">
      <c r="A38">
        <v>2020</v>
      </c>
      <c r="B38">
        <v>358</v>
      </c>
      <c r="C38" t="s">
        <v>82</v>
      </c>
      <c r="D38" t="s">
        <v>42</v>
      </c>
      <c r="E38" t="s">
        <v>43</v>
      </c>
      <c r="F38">
        <v>12750</v>
      </c>
      <c r="G38">
        <v>1245</v>
      </c>
      <c r="H38">
        <v>2625</v>
      </c>
      <c r="I38">
        <v>2495</v>
      </c>
      <c r="J38">
        <v>1305</v>
      </c>
      <c r="K38">
        <v>750</v>
      </c>
      <c r="L38">
        <v>4330</v>
      </c>
      <c r="M38">
        <v>0.14512265487035125</v>
      </c>
      <c r="N38">
        <v>0.30598150123266837</v>
      </c>
      <c r="O38">
        <v>0.29082813164781235</v>
      </c>
      <c r="P38">
        <v>0.15211651775566939</v>
      </c>
      <c r="Q38">
        <v>8.742328606647666E-2</v>
      </c>
      <c r="R38">
        <v>0.50472377155712533</v>
      </c>
    </row>
    <row r="39" spans="1:18" x14ac:dyDescent="0.25">
      <c r="A39">
        <v>2020</v>
      </c>
      <c r="B39">
        <v>359</v>
      </c>
      <c r="C39" t="s">
        <v>83</v>
      </c>
      <c r="D39" t="s">
        <v>42</v>
      </c>
      <c r="E39" t="s">
        <v>43</v>
      </c>
      <c r="F39">
        <v>19980</v>
      </c>
      <c r="G39">
        <v>1115</v>
      </c>
      <c r="H39">
        <v>4645</v>
      </c>
      <c r="I39">
        <v>4925</v>
      </c>
      <c r="J39">
        <v>1950</v>
      </c>
      <c r="K39">
        <v>1200</v>
      </c>
      <c r="L39">
        <v>6140</v>
      </c>
      <c r="M39">
        <v>0.12996928528549531</v>
      </c>
      <c r="N39">
        <v>0.54144155170504549</v>
      </c>
      <c r="O39">
        <v>0.5740795785031968</v>
      </c>
      <c r="P39">
        <v>0.22730054377283931</v>
      </c>
      <c r="Q39">
        <v>0.13987725770636267</v>
      </c>
      <c r="R39">
        <v>0.71570530193088899</v>
      </c>
    </row>
    <row r="40" spans="1:18" x14ac:dyDescent="0.25">
      <c r="A40">
        <v>2020</v>
      </c>
      <c r="B40">
        <v>360</v>
      </c>
      <c r="C40" t="s">
        <v>84</v>
      </c>
      <c r="D40" t="s">
        <v>42</v>
      </c>
      <c r="E40" t="s">
        <v>43</v>
      </c>
      <c r="F40">
        <v>6015</v>
      </c>
      <c r="G40">
        <v>385</v>
      </c>
      <c r="H40">
        <v>1355</v>
      </c>
      <c r="I40">
        <v>1450</v>
      </c>
      <c r="J40">
        <v>670</v>
      </c>
      <c r="K40">
        <v>290</v>
      </c>
      <c r="L40">
        <v>1870</v>
      </c>
      <c r="M40">
        <v>4.4877286847458023E-2</v>
      </c>
      <c r="N40">
        <v>0.15794473682676785</v>
      </c>
      <c r="O40">
        <v>0.16901835306185489</v>
      </c>
      <c r="P40">
        <v>7.8098135552719161E-2</v>
      </c>
      <c r="Q40">
        <v>3.3803670612370981E-2</v>
      </c>
      <c r="R40">
        <v>0.21797539325908183</v>
      </c>
    </row>
    <row r="41" spans="1:18" x14ac:dyDescent="0.25">
      <c r="A41">
        <v>2020</v>
      </c>
      <c r="B41">
        <v>361</v>
      </c>
      <c r="C41" t="s">
        <v>85</v>
      </c>
      <c r="D41" t="s">
        <v>42</v>
      </c>
      <c r="E41" t="s">
        <v>43</v>
      </c>
      <c r="F41">
        <v>11465</v>
      </c>
      <c r="G41">
        <v>540</v>
      </c>
      <c r="H41">
        <v>2035</v>
      </c>
      <c r="I41">
        <v>2665</v>
      </c>
      <c r="J41">
        <v>915</v>
      </c>
      <c r="K41">
        <v>540</v>
      </c>
      <c r="L41">
        <v>4770</v>
      </c>
      <c r="M41">
        <v>6.2944765967863206E-2</v>
      </c>
      <c r="N41">
        <v>0.2372085161937067</v>
      </c>
      <c r="O41">
        <v>0.31064407648954712</v>
      </c>
      <c r="P41">
        <v>0.10665640900110153</v>
      </c>
      <c r="Q41">
        <v>6.2944765967863206E-2</v>
      </c>
      <c r="R41">
        <v>0.55601209938279161</v>
      </c>
    </row>
    <row r="42" spans="1:18" x14ac:dyDescent="0.25">
      <c r="A42">
        <v>2020</v>
      </c>
      <c r="B42">
        <v>4</v>
      </c>
      <c r="C42" t="s">
        <v>86</v>
      </c>
      <c r="D42" t="s">
        <v>42</v>
      </c>
      <c r="E42" t="s">
        <v>43</v>
      </c>
      <c r="F42">
        <v>277435</v>
      </c>
      <c r="G42">
        <v>18710</v>
      </c>
      <c r="H42">
        <v>61580</v>
      </c>
      <c r="I42">
        <v>60765</v>
      </c>
      <c r="J42">
        <v>27710</v>
      </c>
      <c r="K42">
        <v>16755</v>
      </c>
      <c r="L42">
        <v>91920</v>
      </c>
      <c r="M42">
        <v>2.1809195764050378</v>
      </c>
      <c r="N42">
        <v>7.1780346079648432</v>
      </c>
      <c r="O42">
        <v>7.0830346371059392</v>
      </c>
      <c r="P42">
        <v>3.229999009202758</v>
      </c>
      <c r="Q42">
        <v>1.9530362107250887</v>
      </c>
      <c r="R42">
        <v>10.71459794030738</v>
      </c>
    </row>
    <row r="43" spans="1:18" x14ac:dyDescent="0.25">
      <c r="A43">
        <v>2020</v>
      </c>
      <c r="B43">
        <v>401</v>
      </c>
      <c r="C43" t="s">
        <v>87</v>
      </c>
      <c r="D43" t="s">
        <v>42</v>
      </c>
      <c r="E43" t="s">
        <v>43</v>
      </c>
      <c r="F43">
        <v>13710</v>
      </c>
      <c r="G43">
        <v>575</v>
      </c>
      <c r="H43">
        <v>2800</v>
      </c>
      <c r="I43">
        <v>3480</v>
      </c>
      <c r="J43">
        <v>1335</v>
      </c>
      <c r="K43">
        <v>690</v>
      </c>
      <c r="L43">
        <v>4830</v>
      </c>
      <c r="M43">
        <v>6.702451931763212E-2</v>
      </c>
      <c r="N43">
        <v>0.32638026798151287</v>
      </c>
      <c r="O43">
        <v>0.40564404734845172</v>
      </c>
      <c r="P43">
        <v>0.15561344919832848</v>
      </c>
      <c r="Q43">
        <v>8.0429423181158533E-2</v>
      </c>
      <c r="R43">
        <v>0.56300596226810973</v>
      </c>
    </row>
    <row r="44" spans="1:18" x14ac:dyDescent="0.25">
      <c r="A44">
        <v>2020</v>
      </c>
      <c r="B44">
        <v>402</v>
      </c>
      <c r="C44" t="s">
        <v>88</v>
      </c>
      <c r="D44" t="s">
        <v>42</v>
      </c>
      <c r="E44" t="s">
        <v>43</v>
      </c>
      <c r="F44">
        <v>6040</v>
      </c>
      <c r="G44">
        <v>460</v>
      </c>
      <c r="H44">
        <v>1410</v>
      </c>
      <c r="I44">
        <v>1590</v>
      </c>
      <c r="J44">
        <v>805</v>
      </c>
      <c r="K44">
        <v>325</v>
      </c>
      <c r="L44">
        <v>1450</v>
      </c>
      <c r="M44">
        <v>5.3619615454105686E-2</v>
      </c>
      <c r="N44">
        <v>0.16435577780497612</v>
      </c>
      <c r="O44">
        <v>0.18533736646093052</v>
      </c>
      <c r="P44">
        <v>9.3834327044684959E-2</v>
      </c>
      <c r="Q44">
        <v>3.7883423962139888E-2</v>
      </c>
      <c r="R44">
        <v>0.16901835306185489</v>
      </c>
    </row>
    <row r="45" spans="1:18" x14ac:dyDescent="0.25">
      <c r="A45">
        <v>2020</v>
      </c>
      <c r="B45">
        <v>403</v>
      </c>
      <c r="C45" t="s">
        <v>89</v>
      </c>
      <c r="D45" t="s">
        <v>42</v>
      </c>
      <c r="E45" t="s">
        <v>43</v>
      </c>
      <c r="F45">
        <v>19145</v>
      </c>
      <c r="G45">
        <v>1355</v>
      </c>
      <c r="H45">
        <v>4170</v>
      </c>
      <c r="I45">
        <v>5025</v>
      </c>
      <c r="J45">
        <v>1845</v>
      </c>
      <c r="K45">
        <v>1045</v>
      </c>
      <c r="L45">
        <v>5705</v>
      </c>
      <c r="M45">
        <v>0.15794473682676785</v>
      </c>
      <c r="N45">
        <v>0.48607347052961031</v>
      </c>
      <c r="O45">
        <v>0.58573601664539365</v>
      </c>
      <c r="P45">
        <v>0.21506128372353259</v>
      </c>
      <c r="Q45">
        <v>0.12180977858595748</v>
      </c>
      <c r="R45">
        <v>0.6649997960123325</v>
      </c>
    </row>
    <row r="46" spans="1:18" x14ac:dyDescent="0.25">
      <c r="A46">
        <v>2020</v>
      </c>
      <c r="B46">
        <v>404</v>
      </c>
      <c r="C46" t="s">
        <v>90</v>
      </c>
      <c r="D46" t="s">
        <v>42</v>
      </c>
      <c r="E46" t="s">
        <v>43</v>
      </c>
      <c r="F46">
        <v>25420</v>
      </c>
      <c r="G46">
        <v>1340</v>
      </c>
      <c r="H46">
        <v>4985</v>
      </c>
      <c r="I46">
        <v>5415</v>
      </c>
      <c r="J46">
        <v>2545</v>
      </c>
      <c r="K46">
        <v>1310</v>
      </c>
      <c r="L46">
        <v>9820</v>
      </c>
      <c r="M46">
        <v>0.15619627110543832</v>
      </c>
      <c r="N46">
        <v>0.58107344138851491</v>
      </c>
      <c r="O46">
        <v>0.63119612539996151</v>
      </c>
      <c r="P46">
        <v>0.29665635071891083</v>
      </c>
      <c r="Q46">
        <v>0.15269933966277924</v>
      </c>
      <c r="R46">
        <v>1.1446622255637344</v>
      </c>
    </row>
    <row r="47" spans="1:18" x14ac:dyDescent="0.25">
      <c r="A47">
        <v>2020</v>
      </c>
      <c r="B47">
        <v>405</v>
      </c>
      <c r="C47" t="s">
        <v>91</v>
      </c>
      <c r="D47" t="s">
        <v>42</v>
      </c>
      <c r="E47" t="s">
        <v>43</v>
      </c>
      <c r="F47">
        <v>8800</v>
      </c>
      <c r="G47">
        <v>475</v>
      </c>
      <c r="H47">
        <v>1940</v>
      </c>
      <c r="I47">
        <v>2975</v>
      </c>
      <c r="J47">
        <v>815</v>
      </c>
      <c r="K47">
        <v>360</v>
      </c>
      <c r="L47">
        <v>2230</v>
      </c>
      <c r="M47">
        <v>5.5368081175435221E-2</v>
      </c>
      <c r="N47">
        <v>0.22613489995861966</v>
      </c>
      <c r="O47">
        <v>0.34677903473035743</v>
      </c>
      <c r="P47">
        <v>9.4999970858904645E-2</v>
      </c>
      <c r="Q47">
        <v>4.1963177311908802E-2</v>
      </c>
      <c r="R47">
        <v>0.25993857057099062</v>
      </c>
    </row>
    <row r="48" spans="1:18" x14ac:dyDescent="0.25">
      <c r="A48">
        <v>2020</v>
      </c>
      <c r="B48">
        <v>451</v>
      </c>
      <c r="C48" t="s">
        <v>92</v>
      </c>
      <c r="D48" t="s">
        <v>42</v>
      </c>
      <c r="E48" t="s">
        <v>43</v>
      </c>
      <c r="F48">
        <v>8735</v>
      </c>
      <c r="G48">
        <v>600</v>
      </c>
      <c r="H48">
        <v>1860</v>
      </c>
      <c r="I48">
        <v>2325</v>
      </c>
      <c r="J48">
        <v>830</v>
      </c>
      <c r="K48">
        <v>600</v>
      </c>
      <c r="L48">
        <v>2525</v>
      </c>
      <c r="M48">
        <v>6.9938628853181334E-2</v>
      </c>
      <c r="N48">
        <v>0.21680974944486212</v>
      </c>
      <c r="O48">
        <v>0.27101218680607769</v>
      </c>
      <c r="P48">
        <v>9.6748436580234173E-2</v>
      </c>
      <c r="Q48">
        <v>6.9938628853181334E-2</v>
      </c>
      <c r="R48">
        <v>0.29432506309047146</v>
      </c>
    </row>
    <row r="49" spans="1:18" x14ac:dyDescent="0.25">
      <c r="A49">
        <v>2020</v>
      </c>
      <c r="B49">
        <v>452</v>
      </c>
      <c r="C49" t="s">
        <v>93</v>
      </c>
      <c r="D49" t="s">
        <v>42</v>
      </c>
      <c r="E49" t="s">
        <v>43</v>
      </c>
      <c r="F49">
        <v>11465</v>
      </c>
      <c r="G49">
        <v>660</v>
      </c>
      <c r="H49">
        <v>2485</v>
      </c>
      <c r="I49">
        <v>2810</v>
      </c>
      <c r="J49">
        <v>1385</v>
      </c>
      <c r="K49">
        <v>600</v>
      </c>
      <c r="L49">
        <v>3525</v>
      </c>
      <c r="M49">
        <v>7.6932491738499462E-2</v>
      </c>
      <c r="N49">
        <v>0.28966248783359272</v>
      </c>
      <c r="O49">
        <v>0.32754591179573256</v>
      </c>
      <c r="P49">
        <v>0.16144166826942691</v>
      </c>
      <c r="Q49">
        <v>6.9938628853181334E-2</v>
      </c>
      <c r="R49">
        <v>0.41088944451244036</v>
      </c>
    </row>
    <row r="50" spans="1:18" x14ac:dyDescent="0.25">
      <c r="A50">
        <v>2020</v>
      </c>
      <c r="B50">
        <v>453</v>
      </c>
      <c r="C50" t="s">
        <v>94</v>
      </c>
      <c r="D50" t="s">
        <v>42</v>
      </c>
      <c r="E50" t="s">
        <v>43</v>
      </c>
      <c r="F50">
        <v>20565</v>
      </c>
      <c r="G50">
        <v>1215</v>
      </c>
      <c r="H50">
        <v>5320</v>
      </c>
      <c r="I50">
        <v>4690</v>
      </c>
      <c r="J50">
        <v>2465</v>
      </c>
      <c r="K50">
        <v>1530</v>
      </c>
      <c r="L50">
        <v>5345</v>
      </c>
      <c r="M50">
        <v>0.1416257234276922</v>
      </c>
      <c r="N50">
        <v>0.62012250916487444</v>
      </c>
      <c r="O50">
        <v>0.54668694886903413</v>
      </c>
      <c r="P50">
        <v>0.28733120020515335</v>
      </c>
      <c r="Q50">
        <v>0.17834350357561241</v>
      </c>
      <c r="R50">
        <v>0.62303661870042371</v>
      </c>
    </row>
    <row r="51" spans="1:18" x14ac:dyDescent="0.25">
      <c r="A51">
        <v>2020</v>
      </c>
      <c r="B51">
        <v>454</v>
      </c>
      <c r="C51" t="s">
        <v>95</v>
      </c>
      <c r="D51" t="s">
        <v>42</v>
      </c>
      <c r="E51" t="s">
        <v>43</v>
      </c>
      <c r="F51">
        <v>41090</v>
      </c>
      <c r="G51">
        <v>3545</v>
      </c>
      <c r="H51">
        <v>10710</v>
      </c>
      <c r="I51">
        <v>8320</v>
      </c>
      <c r="J51">
        <v>4040</v>
      </c>
      <c r="K51">
        <v>2785</v>
      </c>
      <c r="L51">
        <v>11690</v>
      </c>
      <c r="M51">
        <v>0.41322073214087968</v>
      </c>
      <c r="N51">
        <v>1.2484045250292868</v>
      </c>
      <c r="O51">
        <v>0.96981565343078113</v>
      </c>
      <c r="P51">
        <v>0.47092010094475434</v>
      </c>
      <c r="Q51">
        <v>0.32463180226018334</v>
      </c>
      <c r="R51">
        <v>1.3626376188228162</v>
      </c>
    </row>
    <row r="52" spans="1:18" x14ac:dyDescent="0.25">
      <c r="A52">
        <v>2020</v>
      </c>
      <c r="B52">
        <v>455</v>
      </c>
      <c r="C52" t="s">
        <v>96</v>
      </c>
      <c r="D52" t="s">
        <v>42</v>
      </c>
      <c r="E52" t="s">
        <v>43</v>
      </c>
      <c r="F52">
        <v>4905</v>
      </c>
      <c r="G52">
        <v>270</v>
      </c>
      <c r="H52">
        <v>775</v>
      </c>
      <c r="I52">
        <v>1450</v>
      </c>
      <c r="J52">
        <v>440</v>
      </c>
      <c r="K52">
        <v>240</v>
      </c>
      <c r="L52">
        <v>1730</v>
      </c>
      <c r="M52">
        <v>3.1472382983931603E-2</v>
      </c>
      <c r="N52">
        <v>9.0337395602025888E-2</v>
      </c>
      <c r="O52">
        <v>0.16901835306185489</v>
      </c>
      <c r="P52">
        <v>5.1288327825666315E-2</v>
      </c>
      <c r="Q52">
        <v>2.7975451541272532E-2</v>
      </c>
      <c r="R52">
        <v>0.20165637986000617</v>
      </c>
    </row>
    <row r="53" spans="1:18" x14ac:dyDescent="0.25">
      <c r="A53">
        <v>2020</v>
      </c>
      <c r="B53">
        <v>456</v>
      </c>
      <c r="C53" t="s">
        <v>97</v>
      </c>
      <c r="D53" t="s">
        <v>42</v>
      </c>
      <c r="E53" t="s">
        <v>43</v>
      </c>
      <c r="F53">
        <v>22410</v>
      </c>
      <c r="G53">
        <v>845</v>
      </c>
      <c r="H53">
        <v>3820</v>
      </c>
      <c r="I53">
        <v>3260</v>
      </c>
      <c r="J53">
        <v>1875</v>
      </c>
      <c r="K53">
        <v>1510</v>
      </c>
      <c r="L53">
        <v>11100</v>
      </c>
      <c r="M53">
        <v>9.8496902301563716E-2</v>
      </c>
      <c r="N53">
        <v>0.44527593703192114</v>
      </c>
      <c r="O53">
        <v>0.37999988343561858</v>
      </c>
      <c r="P53">
        <v>0.21855821516619167</v>
      </c>
      <c r="Q53">
        <v>0.17601221594717301</v>
      </c>
      <c r="R53">
        <v>1.2938646337838546</v>
      </c>
    </row>
    <row r="54" spans="1:18" x14ac:dyDescent="0.25">
      <c r="A54">
        <v>2020</v>
      </c>
      <c r="B54">
        <v>457</v>
      </c>
      <c r="C54" t="s">
        <v>98</v>
      </c>
      <c r="D54" t="s">
        <v>42</v>
      </c>
      <c r="E54" t="s">
        <v>43</v>
      </c>
      <c r="F54">
        <v>15200</v>
      </c>
      <c r="G54">
        <v>990</v>
      </c>
      <c r="H54">
        <v>3530</v>
      </c>
      <c r="I54">
        <v>3445</v>
      </c>
      <c r="J54">
        <v>1460</v>
      </c>
      <c r="K54">
        <v>845</v>
      </c>
      <c r="L54">
        <v>4930</v>
      </c>
      <c r="M54">
        <v>0.1153987376077492</v>
      </c>
      <c r="N54">
        <v>0.4114722664195502</v>
      </c>
      <c r="O54">
        <v>0.40156429399868288</v>
      </c>
      <c r="P54">
        <v>0.17018399687607458</v>
      </c>
      <c r="Q54">
        <v>9.8496902301563716E-2</v>
      </c>
      <c r="R54">
        <v>0.5746624004103067</v>
      </c>
    </row>
    <row r="55" spans="1:18" x14ac:dyDescent="0.25">
      <c r="A55">
        <v>2020</v>
      </c>
      <c r="B55">
        <v>458</v>
      </c>
      <c r="C55" t="s">
        <v>99</v>
      </c>
      <c r="D55" t="s">
        <v>42</v>
      </c>
      <c r="E55" t="s">
        <v>43</v>
      </c>
      <c r="F55">
        <v>12850</v>
      </c>
      <c r="G55">
        <v>1120</v>
      </c>
      <c r="H55">
        <v>3275</v>
      </c>
      <c r="I55">
        <v>2965</v>
      </c>
      <c r="J55">
        <v>1345</v>
      </c>
      <c r="K55">
        <v>805</v>
      </c>
      <c r="L55">
        <v>3335</v>
      </c>
      <c r="M55">
        <v>0.13055210719260515</v>
      </c>
      <c r="N55">
        <v>0.38174834915694811</v>
      </c>
      <c r="O55">
        <v>0.34561339091613774</v>
      </c>
      <c r="P55">
        <v>0.15677909301254817</v>
      </c>
      <c r="Q55">
        <v>9.3834327044684959E-2</v>
      </c>
      <c r="R55">
        <v>0.38874221204226622</v>
      </c>
    </row>
    <row r="56" spans="1:18" x14ac:dyDescent="0.25">
      <c r="A56">
        <v>2020</v>
      </c>
      <c r="B56">
        <v>459</v>
      </c>
      <c r="C56" t="s">
        <v>100</v>
      </c>
      <c r="D56" t="s">
        <v>42</v>
      </c>
      <c r="E56" t="s">
        <v>43</v>
      </c>
      <c r="F56">
        <v>34995</v>
      </c>
      <c r="G56">
        <v>3015</v>
      </c>
      <c r="H56">
        <v>7665</v>
      </c>
      <c r="I56">
        <v>5915</v>
      </c>
      <c r="J56">
        <v>3335</v>
      </c>
      <c r="K56">
        <v>2035</v>
      </c>
      <c r="L56">
        <v>13025</v>
      </c>
      <c r="M56">
        <v>0.35144160998723617</v>
      </c>
      <c r="N56">
        <v>0.89346598359939156</v>
      </c>
      <c r="O56">
        <v>0.68947831611094601</v>
      </c>
      <c r="P56">
        <v>0.38874221204226622</v>
      </c>
      <c r="Q56">
        <v>0.2372085161937067</v>
      </c>
      <c r="R56">
        <v>1.5182510680211447</v>
      </c>
    </row>
    <row r="57" spans="1:18" x14ac:dyDescent="0.25">
      <c r="A57">
        <v>2020</v>
      </c>
      <c r="B57">
        <v>460</v>
      </c>
      <c r="C57" t="s">
        <v>101</v>
      </c>
      <c r="D57" t="s">
        <v>42</v>
      </c>
      <c r="E57" t="s">
        <v>43</v>
      </c>
      <c r="F57">
        <v>21370</v>
      </c>
      <c r="G57">
        <v>1540</v>
      </c>
      <c r="H57">
        <v>4635</v>
      </c>
      <c r="I57">
        <v>4730</v>
      </c>
      <c r="J57">
        <v>2285</v>
      </c>
      <c r="K57">
        <v>1555</v>
      </c>
      <c r="L57">
        <v>6625</v>
      </c>
      <c r="M57">
        <v>0.17950914738983209</v>
      </c>
      <c r="N57">
        <v>0.5402759078908258</v>
      </c>
      <c r="O57">
        <v>0.55134952412591287</v>
      </c>
      <c r="P57">
        <v>0.26634961154919895</v>
      </c>
      <c r="Q57">
        <v>0.18125761311116162</v>
      </c>
      <c r="R57">
        <v>0.77223902692054391</v>
      </c>
    </row>
    <row r="58" spans="1:18" x14ac:dyDescent="0.25">
      <c r="A58">
        <v>2020</v>
      </c>
      <c r="B58">
        <v>461</v>
      </c>
      <c r="C58" t="s">
        <v>102</v>
      </c>
      <c r="D58" t="s">
        <v>42</v>
      </c>
      <c r="E58" t="s">
        <v>43</v>
      </c>
      <c r="F58">
        <v>7820</v>
      </c>
      <c r="G58">
        <v>470</v>
      </c>
      <c r="H58">
        <v>1465</v>
      </c>
      <c r="I58">
        <v>1735</v>
      </c>
      <c r="J58">
        <v>650</v>
      </c>
      <c r="K58">
        <v>345</v>
      </c>
      <c r="L58">
        <v>3155</v>
      </c>
      <c r="M58">
        <v>5.4785259268325379E-2</v>
      </c>
      <c r="N58">
        <v>0.17076681878318442</v>
      </c>
      <c r="O58">
        <v>0.20223920176711602</v>
      </c>
      <c r="P58">
        <v>7.5766847924279776E-2</v>
      </c>
      <c r="Q58">
        <v>4.0214711590579266E-2</v>
      </c>
      <c r="R58">
        <v>0.36776062338631182</v>
      </c>
    </row>
    <row r="59" spans="1:18" x14ac:dyDescent="0.25">
      <c r="A59">
        <v>2020</v>
      </c>
      <c r="B59">
        <v>462</v>
      </c>
      <c r="C59" t="s">
        <v>104</v>
      </c>
      <c r="D59" t="s">
        <v>42</v>
      </c>
      <c r="E59" t="s">
        <v>43</v>
      </c>
      <c r="F59">
        <v>2915</v>
      </c>
      <c r="G59">
        <v>235</v>
      </c>
      <c r="H59">
        <v>735</v>
      </c>
      <c r="I59">
        <v>630</v>
      </c>
      <c r="J59">
        <v>260</v>
      </c>
      <c r="K59">
        <v>165</v>
      </c>
      <c r="L59">
        <v>890</v>
      </c>
      <c r="M59">
        <v>2.7392629634162689E-2</v>
      </c>
      <c r="N59">
        <v>8.5674820345147132E-2</v>
      </c>
      <c r="O59">
        <v>7.3435560295840405E-2</v>
      </c>
      <c r="P59">
        <v>3.030673916971191E-2</v>
      </c>
      <c r="Q59">
        <v>1.9233122934624865E-2</v>
      </c>
      <c r="R59">
        <v>0.10374229946555232</v>
      </c>
    </row>
  </sheetData>
  <mergeCells count="11">
    <mergeCell ref="F7:L7"/>
    <mergeCell ref="M7:R7"/>
    <mergeCell ref="A4:A6"/>
    <mergeCell ref="B4:C6"/>
    <mergeCell ref="D4:D6"/>
    <mergeCell ref="E4:E6"/>
    <mergeCell ref="F4:L4"/>
    <mergeCell ref="M4:R4"/>
    <mergeCell ref="F5:F6"/>
    <mergeCell ref="G5:L5"/>
    <mergeCell ref="M5:R5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B7C0F-F942-4488-AA65-FAB7E84F3DAA}">
  <sheetPr codeName="Tabelle4"/>
  <dimension ref="A1:F323"/>
  <sheetViews>
    <sheetView topLeftCell="A275" workbookViewId="0">
      <selection sqref="A1:E313"/>
    </sheetView>
  </sheetViews>
  <sheetFormatPr baseColWidth="10" defaultRowHeight="15" x14ac:dyDescent="0.25"/>
  <cols>
    <col min="3" max="3" width="24.5703125" bestFit="1" customWidth="1"/>
    <col min="4" max="4" width="27.42578125" customWidth="1"/>
  </cols>
  <sheetData>
    <row r="1" spans="1:6" x14ac:dyDescent="0.25">
      <c r="A1" t="s">
        <v>13</v>
      </c>
      <c r="B1" t="s">
        <v>23</v>
      </c>
      <c r="C1" t="s">
        <v>24</v>
      </c>
      <c r="D1" t="s">
        <v>107</v>
      </c>
      <c r="E1" t="s">
        <v>27</v>
      </c>
      <c r="F1" t="s">
        <v>26</v>
      </c>
    </row>
    <row r="2" spans="1:6" x14ac:dyDescent="0.25">
      <c r="A2" s="55">
        <f>Tabelle4!B8</f>
        <v>0</v>
      </c>
      <c r="B2">
        <f>Tabelle4!A8</f>
        <v>2020</v>
      </c>
      <c r="C2" t="str">
        <f>VLOOKUP(A2,[2]Tabelle1!$A$1:$B$68,2,FALSE)</f>
        <v>Niedersachsen</v>
      </c>
      <c r="D2" s="54" t="s">
        <v>109</v>
      </c>
      <c r="E2" t="str">
        <f>VLOOKUP(A2,[3]Tabelle1!$A$2:$C$53,3,FALSE)</f>
        <v>K030</v>
      </c>
      <c r="F2">
        <f>Tabelle4!G8</f>
        <v>46045</v>
      </c>
    </row>
    <row r="3" spans="1:6" x14ac:dyDescent="0.25">
      <c r="A3" s="55">
        <f>Tabelle4!B9</f>
        <v>1</v>
      </c>
      <c r="B3">
        <f>Tabelle4!A9</f>
        <v>2020</v>
      </c>
      <c r="C3" t="str">
        <f>VLOOKUP(A3,[2]Tabelle1!$A$1:$B$68,2,FALSE)</f>
        <v>Stat. Region Braunschweig</v>
      </c>
      <c r="D3" s="54" t="s">
        <v>109</v>
      </c>
      <c r="E3" t="str">
        <f>VLOOKUP(A3,[3]Tabelle1!$A$2:$C$53,3,FALSE)</f>
        <v>K031</v>
      </c>
      <c r="F3">
        <f>Tabelle4!G9</f>
        <v>9000</v>
      </c>
    </row>
    <row r="4" spans="1:6" x14ac:dyDescent="0.25">
      <c r="A4" s="55">
        <f>Tabelle4!B10</f>
        <v>101</v>
      </c>
      <c r="B4">
        <f>Tabelle4!A10</f>
        <v>2020</v>
      </c>
      <c r="C4" t="str">
        <f>VLOOKUP(A4,[2]Tabelle1!$A$1:$B$68,2,FALSE)</f>
        <v>Braunschweig  Stadt</v>
      </c>
      <c r="D4" s="54" t="s">
        <v>109</v>
      </c>
      <c r="E4" t="str">
        <f>VLOOKUP(A4,[3]Tabelle1!$A$2:$C$53,3,FALSE)</f>
        <v>K03101</v>
      </c>
      <c r="F4">
        <f>Tabelle4!G10</f>
        <v>1550</v>
      </c>
    </row>
    <row r="5" spans="1:6" x14ac:dyDescent="0.25">
      <c r="A5" s="55">
        <f>Tabelle4!B11</f>
        <v>102</v>
      </c>
      <c r="B5">
        <f>Tabelle4!A11</f>
        <v>2020</v>
      </c>
      <c r="C5" t="str">
        <f>VLOOKUP(A5,[2]Tabelle1!$A$1:$B$68,2,FALSE)</f>
        <v>Salzgitter  Stadt</v>
      </c>
      <c r="D5" s="54" t="s">
        <v>109</v>
      </c>
      <c r="E5" t="str">
        <f>VLOOKUP(A5,[3]Tabelle1!$A$2:$C$53,3,FALSE)</f>
        <v>K03102</v>
      </c>
      <c r="F5">
        <f>Tabelle4!G11</f>
        <v>980</v>
      </c>
    </row>
    <row r="6" spans="1:6" x14ac:dyDescent="0.25">
      <c r="A6" s="55">
        <f>Tabelle4!B12</f>
        <v>103</v>
      </c>
      <c r="B6">
        <f>Tabelle4!A12</f>
        <v>2020</v>
      </c>
      <c r="C6" t="str">
        <f>VLOOKUP(A6,[2]Tabelle1!$A$1:$B$68,2,FALSE)</f>
        <v>Wolfsburg  Stadt</v>
      </c>
      <c r="D6" s="54" t="s">
        <v>109</v>
      </c>
      <c r="E6" t="str">
        <f>VLOOKUP(A6,[3]Tabelle1!$A$2:$C$53,3,FALSE)</f>
        <v>K03103</v>
      </c>
      <c r="F6">
        <f>Tabelle4!G12</f>
        <v>975</v>
      </c>
    </row>
    <row r="7" spans="1:6" x14ac:dyDescent="0.25">
      <c r="A7" s="55">
        <f>Tabelle4!B13</f>
        <v>151</v>
      </c>
      <c r="B7">
        <f>Tabelle4!A13</f>
        <v>2020</v>
      </c>
      <c r="C7" t="str">
        <f>VLOOKUP(A7,[2]Tabelle1!$A$1:$B$68,2,FALSE)</f>
        <v>Gifhorn</v>
      </c>
      <c r="D7" s="54" t="s">
        <v>109</v>
      </c>
      <c r="E7" t="str">
        <f>VLOOKUP(A7,[3]Tabelle1!$A$2:$C$53,3,FALSE)</f>
        <v>K03151</v>
      </c>
      <c r="F7">
        <f>Tabelle4!G13</f>
        <v>575</v>
      </c>
    </row>
    <row r="8" spans="1:6" x14ac:dyDescent="0.25">
      <c r="A8" s="55">
        <f>Tabelle4!B14</f>
        <v>153</v>
      </c>
      <c r="B8">
        <f>Tabelle4!A14</f>
        <v>2020</v>
      </c>
      <c r="C8" t="str">
        <f>VLOOKUP(A8,[2]Tabelle1!$A$1:$B$68,2,FALSE)</f>
        <v>Goslar</v>
      </c>
      <c r="D8" s="54" t="s">
        <v>109</v>
      </c>
      <c r="E8" t="str">
        <f>VLOOKUP(A8,[3]Tabelle1!$A$2:$C$53,3,FALSE)</f>
        <v>K03153</v>
      </c>
      <c r="F8">
        <f>Tabelle4!G14</f>
        <v>1005</v>
      </c>
    </row>
    <row r="9" spans="1:6" x14ac:dyDescent="0.25">
      <c r="A9" s="55">
        <f>Tabelle4!B15</f>
        <v>154</v>
      </c>
      <c r="B9">
        <f>Tabelle4!A15</f>
        <v>2020</v>
      </c>
      <c r="C9" t="str">
        <f>VLOOKUP(A9,[2]Tabelle1!$A$1:$B$68,2,FALSE)</f>
        <v>Helmstedt</v>
      </c>
      <c r="D9" s="54" t="s">
        <v>109</v>
      </c>
      <c r="E9" t="str">
        <f>VLOOKUP(A9,[3]Tabelle1!$A$2:$C$53,3,FALSE)</f>
        <v>K03154</v>
      </c>
      <c r="F9">
        <f>Tabelle4!G15</f>
        <v>375</v>
      </c>
    </row>
    <row r="10" spans="1:6" x14ac:dyDescent="0.25">
      <c r="A10" s="55">
        <f>Tabelle4!B16</f>
        <v>155</v>
      </c>
      <c r="B10">
        <f>Tabelle4!A16</f>
        <v>2020</v>
      </c>
      <c r="C10" t="str">
        <f>VLOOKUP(A10,[2]Tabelle1!$A$1:$B$68,2,FALSE)</f>
        <v>Northeim</v>
      </c>
      <c r="D10" s="54" t="s">
        <v>109</v>
      </c>
      <c r="E10" t="str">
        <f>VLOOKUP(A10,[3]Tabelle1!$A$2:$C$53,3,FALSE)</f>
        <v>K03155</v>
      </c>
      <c r="F10">
        <f>Tabelle4!G16</f>
        <v>460</v>
      </c>
    </row>
    <row r="11" spans="1:6" x14ac:dyDescent="0.25">
      <c r="A11" s="55">
        <f>Tabelle4!B17</f>
        <v>157</v>
      </c>
      <c r="B11">
        <f>Tabelle4!A17</f>
        <v>2020</v>
      </c>
      <c r="C11" t="str">
        <f>VLOOKUP(A11,[2]Tabelle1!$A$1:$B$68,2,FALSE)</f>
        <v>Peine</v>
      </c>
      <c r="D11" s="54" t="s">
        <v>109</v>
      </c>
      <c r="E11" t="str">
        <f>VLOOKUP(A11,[3]Tabelle1!$A$2:$C$53,3,FALSE)</f>
        <v>K03157</v>
      </c>
      <c r="F11">
        <f>Tabelle4!G17</f>
        <v>665</v>
      </c>
    </row>
    <row r="12" spans="1:6" x14ac:dyDescent="0.25">
      <c r="A12" s="55">
        <f>Tabelle4!B18</f>
        <v>158</v>
      </c>
      <c r="B12">
        <f>Tabelle4!A18</f>
        <v>2020</v>
      </c>
      <c r="C12" t="str">
        <f>VLOOKUP(A12,[2]Tabelle1!$A$1:$B$68,2,FALSE)</f>
        <v>Wolfenbüttel</v>
      </c>
      <c r="D12" s="54" t="s">
        <v>109</v>
      </c>
      <c r="E12" t="str">
        <f>VLOOKUP(A12,[3]Tabelle1!$A$2:$C$53,3,FALSE)</f>
        <v>K03158</v>
      </c>
      <c r="F12">
        <f>Tabelle4!G18</f>
        <v>330</v>
      </c>
    </row>
    <row r="13" spans="1:6" x14ac:dyDescent="0.25">
      <c r="A13" s="55">
        <f>Tabelle4!B19</f>
        <v>159</v>
      </c>
      <c r="B13">
        <f>Tabelle4!A19</f>
        <v>2020</v>
      </c>
      <c r="C13" t="str">
        <f>VLOOKUP(A13,[2]Tabelle1!$A$1:$B$68,2,FALSE)</f>
        <v>Göttingen</v>
      </c>
      <c r="D13" s="54" t="s">
        <v>109</v>
      </c>
      <c r="E13" t="str">
        <f>VLOOKUP(A13,[3]Tabelle1!$A$2:$C$53,3,FALSE)</f>
        <v>K03159</v>
      </c>
      <c r="F13">
        <f>Tabelle4!G19</f>
        <v>2080</v>
      </c>
    </row>
    <row r="14" spans="1:6" x14ac:dyDescent="0.25">
      <c r="A14" s="55">
        <f>Tabelle4!B20</f>
        <v>2</v>
      </c>
      <c r="B14">
        <f>Tabelle4!A20</f>
        <v>2020</v>
      </c>
      <c r="C14" t="str">
        <f>VLOOKUP(A14,[2]Tabelle1!$A$1:$B$68,2,FALSE)</f>
        <v>Stat. Region Hannover</v>
      </c>
      <c r="D14" s="54" t="s">
        <v>109</v>
      </c>
      <c r="E14" t="str">
        <f>VLOOKUP(A14,[3]Tabelle1!$A$2:$C$53,3,FALSE)</f>
        <v>K032</v>
      </c>
      <c r="F14">
        <f>Tabelle4!G20</f>
        <v>10050</v>
      </c>
    </row>
    <row r="15" spans="1:6" x14ac:dyDescent="0.25">
      <c r="A15" s="55">
        <f>Tabelle4!B21</f>
        <v>241</v>
      </c>
      <c r="B15">
        <f>Tabelle4!A21</f>
        <v>2020</v>
      </c>
      <c r="C15" t="str">
        <f>VLOOKUP(A15,[2]Tabelle1!$A$1:$B$68,2,FALSE)</f>
        <v>Hannover  Region</v>
      </c>
      <c r="D15" s="54" t="s">
        <v>109</v>
      </c>
      <c r="E15" t="str">
        <f>VLOOKUP(A15,[3]Tabelle1!$A$2:$C$53,3,FALSE)</f>
        <v>K03241</v>
      </c>
      <c r="F15">
        <f>Tabelle4!G21</f>
        <v>5340</v>
      </c>
    </row>
    <row r="16" spans="1:6" x14ac:dyDescent="0.25">
      <c r="A16" s="55">
        <f>Tabelle4!B22</f>
        <v>241001</v>
      </c>
      <c r="B16">
        <f>Tabelle4!A22</f>
        <v>2020</v>
      </c>
      <c r="C16" t="str">
        <f>VLOOKUP(A16,[2]Tabelle1!$A$1:$B$68,2,FALSE)</f>
        <v xml:space="preserve">   dav. Hannover  Lhst.</v>
      </c>
      <c r="D16" s="54" t="s">
        <v>109</v>
      </c>
      <c r="E16" t="str">
        <f>VLOOKUP(A16,[3]Tabelle1!$A$2:$C$53,3,FALSE)</f>
        <v>K03241001</v>
      </c>
      <c r="F16">
        <f>Tabelle4!G22</f>
        <v>2375</v>
      </c>
    </row>
    <row r="17" spans="1:6" x14ac:dyDescent="0.25">
      <c r="A17" s="55">
        <f>Tabelle4!B23</f>
        <v>241999</v>
      </c>
      <c r="B17">
        <f>Tabelle4!A23</f>
        <v>2020</v>
      </c>
      <c r="C17" t="str">
        <f>VLOOKUP(A17,[2]Tabelle1!$A$1:$B$68,2,FALSE)</f>
        <v xml:space="preserve">   dav. Hannover  Umland</v>
      </c>
      <c r="D17" s="54" t="s">
        <v>109</v>
      </c>
      <c r="E17" t="str">
        <f>VLOOKUP(A17,[3]Tabelle1!$A$2:$C$53,3,FALSE)</f>
        <v>K03241999</v>
      </c>
      <c r="F17">
        <f>Tabelle4!G23</f>
        <v>2965</v>
      </c>
    </row>
    <row r="18" spans="1:6" x14ac:dyDescent="0.25">
      <c r="A18" s="55">
        <f>Tabelle4!B24</f>
        <v>251</v>
      </c>
      <c r="B18">
        <f>Tabelle4!A24</f>
        <v>2020</v>
      </c>
      <c r="C18" t="str">
        <f>VLOOKUP(A18,[2]Tabelle1!$A$1:$B$68,2,FALSE)</f>
        <v>Diepholz</v>
      </c>
      <c r="D18" s="54" t="s">
        <v>109</v>
      </c>
      <c r="E18" t="str">
        <f>VLOOKUP(A18,[3]Tabelle1!$A$2:$C$53,3,FALSE)</f>
        <v>K03251</v>
      </c>
      <c r="F18">
        <f>Tabelle4!G24</f>
        <v>1180</v>
      </c>
    </row>
    <row r="19" spans="1:6" x14ac:dyDescent="0.25">
      <c r="A19" s="55">
        <f>Tabelle4!B25</f>
        <v>252</v>
      </c>
      <c r="B19">
        <f>Tabelle4!A25</f>
        <v>2020</v>
      </c>
      <c r="C19" t="str">
        <f>VLOOKUP(A19,[2]Tabelle1!$A$1:$B$68,2,FALSE)</f>
        <v>Hameln-Pyrmont</v>
      </c>
      <c r="D19" s="54" t="s">
        <v>109</v>
      </c>
      <c r="E19" t="str">
        <f>VLOOKUP(A19,[3]Tabelle1!$A$2:$C$53,3,FALSE)</f>
        <v>K03252</v>
      </c>
      <c r="F19">
        <f>Tabelle4!G25</f>
        <v>740</v>
      </c>
    </row>
    <row r="20" spans="1:6" x14ac:dyDescent="0.25">
      <c r="A20" s="55">
        <f>Tabelle4!B26</f>
        <v>254</v>
      </c>
      <c r="B20">
        <f>Tabelle4!A26</f>
        <v>2020</v>
      </c>
      <c r="C20" t="str">
        <f>VLOOKUP(A20,[2]Tabelle1!$A$1:$B$68,2,FALSE)</f>
        <v>Hildesheim</v>
      </c>
      <c r="D20" s="54" t="s">
        <v>109</v>
      </c>
      <c r="E20" t="str">
        <f>VLOOKUP(A20,[3]Tabelle1!$A$2:$C$53,3,FALSE)</f>
        <v>K03254</v>
      </c>
      <c r="F20">
        <f>Tabelle4!G26</f>
        <v>1315</v>
      </c>
    </row>
    <row r="21" spans="1:6" x14ac:dyDescent="0.25">
      <c r="A21" s="55">
        <f>Tabelle4!B27</f>
        <v>255</v>
      </c>
      <c r="B21">
        <f>Tabelle4!A27</f>
        <v>2020</v>
      </c>
      <c r="C21" t="str">
        <f>VLOOKUP(A21,[2]Tabelle1!$A$1:$B$68,2,FALSE)</f>
        <v>Holzminden</v>
      </c>
      <c r="D21" s="54" t="s">
        <v>109</v>
      </c>
      <c r="E21" t="str">
        <f>VLOOKUP(A21,[3]Tabelle1!$A$2:$C$53,3,FALSE)</f>
        <v>K03255</v>
      </c>
      <c r="F21">
        <f>Tabelle4!G27</f>
        <v>150</v>
      </c>
    </row>
    <row r="22" spans="1:6" x14ac:dyDescent="0.25">
      <c r="A22" s="55">
        <f>Tabelle4!B28</f>
        <v>256</v>
      </c>
      <c r="B22" t="str">
        <f>Tabelle4!A28</f>
        <v>2020</v>
      </c>
      <c r="C22" t="str">
        <f>VLOOKUP(A22,[2]Tabelle1!$A$1:$B$68,2,FALSE)</f>
        <v>Nienburg (Weser)</v>
      </c>
      <c r="D22" s="54" t="s">
        <v>109</v>
      </c>
      <c r="E22" t="str">
        <f>VLOOKUP(A22,[3]Tabelle1!$A$2:$C$53,3,FALSE)</f>
        <v>K03256</v>
      </c>
      <c r="F22">
        <f>Tabelle4!G28</f>
        <v>570</v>
      </c>
    </row>
    <row r="23" spans="1:6" x14ac:dyDescent="0.25">
      <c r="A23" s="55">
        <f>Tabelle4!B29</f>
        <v>257</v>
      </c>
      <c r="B23" t="str">
        <f>Tabelle4!A29</f>
        <v>2020</v>
      </c>
      <c r="C23" t="str">
        <f>VLOOKUP(A23,[2]Tabelle1!$A$1:$B$68,2,FALSE)</f>
        <v>Schaumburg</v>
      </c>
      <c r="D23" s="54" t="s">
        <v>109</v>
      </c>
      <c r="E23" t="str">
        <f>VLOOKUP(A23,[3]Tabelle1!$A$2:$C$53,3,FALSE)</f>
        <v>K03257</v>
      </c>
      <c r="F23">
        <f>Tabelle4!G29</f>
        <v>755</v>
      </c>
    </row>
    <row r="24" spans="1:6" x14ac:dyDescent="0.25">
      <c r="A24" s="55">
        <f>Tabelle4!B30</f>
        <v>3</v>
      </c>
      <c r="B24">
        <f>Tabelle4!A30</f>
        <v>2020</v>
      </c>
      <c r="C24" t="str">
        <f>VLOOKUP(A24,[2]Tabelle1!$A$1:$B$68,2,FALSE)</f>
        <v>Stat. Region Lüneburg</v>
      </c>
      <c r="D24" s="54" t="s">
        <v>109</v>
      </c>
      <c r="E24" t="str">
        <f>VLOOKUP(A24,[3]Tabelle1!$A$2:$C$53,3,FALSE)</f>
        <v>K033</v>
      </c>
      <c r="F24">
        <f>Tabelle4!G30</f>
        <v>8290</v>
      </c>
    </row>
    <row r="25" spans="1:6" x14ac:dyDescent="0.25">
      <c r="A25" s="55">
        <f>Tabelle4!B31</f>
        <v>351</v>
      </c>
      <c r="B25">
        <f>Tabelle4!A31</f>
        <v>2020</v>
      </c>
      <c r="C25" t="str">
        <f>VLOOKUP(A25,[2]Tabelle1!$A$1:$B$68,2,FALSE)</f>
        <v>Celle</v>
      </c>
      <c r="D25" s="54" t="s">
        <v>109</v>
      </c>
      <c r="E25" t="str">
        <f>VLOOKUP(A25,[3]Tabelle1!$A$2:$C$53,3,FALSE)</f>
        <v>K03351</v>
      </c>
      <c r="F25">
        <f>Tabelle4!G31</f>
        <v>755</v>
      </c>
    </row>
    <row r="26" spans="1:6" x14ac:dyDescent="0.25">
      <c r="A26" s="55">
        <f>Tabelle4!B32</f>
        <v>352</v>
      </c>
      <c r="B26">
        <f>Tabelle4!A32</f>
        <v>2020</v>
      </c>
      <c r="C26" t="str">
        <f>VLOOKUP(A26,[2]Tabelle1!$A$1:$B$68,2,FALSE)</f>
        <v>Cuxhaven</v>
      </c>
      <c r="D26" s="54" t="s">
        <v>109</v>
      </c>
      <c r="E26" t="str">
        <f>VLOOKUP(A26,[3]Tabelle1!$A$2:$C$53,3,FALSE)</f>
        <v>K03352</v>
      </c>
      <c r="F26">
        <f>Tabelle4!G32</f>
        <v>650</v>
      </c>
    </row>
    <row r="27" spans="1:6" x14ac:dyDescent="0.25">
      <c r="A27" s="55">
        <f>Tabelle4!B33</f>
        <v>353</v>
      </c>
      <c r="B27">
        <f>Tabelle4!A33</f>
        <v>2020</v>
      </c>
      <c r="C27" t="str">
        <f>VLOOKUP(A27,[2]Tabelle1!$A$1:$B$68,2,FALSE)</f>
        <v>Harburg</v>
      </c>
      <c r="D27" s="54" t="s">
        <v>109</v>
      </c>
      <c r="E27" t="str">
        <f>VLOOKUP(A27,[3]Tabelle1!$A$2:$C$53,3,FALSE)</f>
        <v>K03353</v>
      </c>
      <c r="F27">
        <f>Tabelle4!G33</f>
        <v>1565</v>
      </c>
    </row>
    <row r="28" spans="1:6" x14ac:dyDescent="0.25">
      <c r="A28" s="55">
        <f>Tabelle4!B34</f>
        <v>354</v>
      </c>
      <c r="B28">
        <f>Tabelle4!A34</f>
        <v>2020</v>
      </c>
      <c r="C28" t="str">
        <f>VLOOKUP(A28,[2]Tabelle1!$A$1:$B$68,2,FALSE)</f>
        <v>Lüchow-Dannenberg</v>
      </c>
      <c r="D28" s="54" t="s">
        <v>109</v>
      </c>
      <c r="E28" t="str">
        <f>VLOOKUP(A28,[3]Tabelle1!$A$2:$C$53,3,FALSE)</f>
        <v>K03354</v>
      </c>
      <c r="F28">
        <f>Tabelle4!G34</f>
        <v>215</v>
      </c>
    </row>
    <row r="29" spans="1:6" x14ac:dyDescent="0.25">
      <c r="A29" s="55">
        <f>Tabelle4!B35</f>
        <v>355</v>
      </c>
      <c r="B29">
        <f>Tabelle4!A35</f>
        <v>2020</v>
      </c>
      <c r="C29" t="str">
        <f>VLOOKUP(A29,[2]Tabelle1!$A$1:$B$68,2,FALSE)</f>
        <v>Lüneburg</v>
      </c>
      <c r="D29" s="54" t="s">
        <v>109</v>
      </c>
      <c r="E29" t="str">
        <f>VLOOKUP(A29,[3]Tabelle1!$A$2:$C$53,3,FALSE)</f>
        <v>K03355</v>
      </c>
      <c r="F29">
        <f>Tabelle4!G35</f>
        <v>735</v>
      </c>
    </row>
    <row r="30" spans="1:6" x14ac:dyDescent="0.25">
      <c r="A30" s="55">
        <f>Tabelle4!B36</f>
        <v>356</v>
      </c>
      <c r="B30">
        <f>Tabelle4!A36</f>
        <v>2020</v>
      </c>
      <c r="C30" t="str">
        <f>VLOOKUP(A30,[2]Tabelle1!$A$1:$B$68,2,FALSE)</f>
        <v>Osterholz</v>
      </c>
      <c r="D30" s="54" t="s">
        <v>109</v>
      </c>
      <c r="E30" t="str">
        <f>VLOOKUP(A30,[3]Tabelle1!$A$2:$C$53,3,FALSE)</f>
        <v>K03356</v>
      </c>
      <c r="F30">
        <f>Tabelle4!G36</f>
        <v>290</v>
      </c>
    </row>
    <row r="31" spans="1:6" x14ac:dyDescent="0.25">
      <c r="A31" s="55">
        <f>Tabelle4!B37</f>
        <v>357</v>
      </c>
      <c r="B31">
        <f>Tabelle4!A37</f>
        <v>2020</v>
      </c>
      <c r="C31" t="str">
        <f>VLOOKUP(A31,[2]Tabelle1!$A$1:$B$68,2,FALSE)</f>
        <v>Rotenburg (Wümme)</v>
      </c>
      <c r="D31" s="54" t="s">
        <v>109</v>
      </c>
      <c r="E31" t="str">
        <f>VLOOKUP(A31,[3]Tabelle1!$A$2:$C$53,3,FALSE)</f>
        <v>K03357</v>
      </c>
      <c r="F31">
        <f>Tabelle4!G37</f>
        <v>795</v>
      </c>
    </row>
    <row r="32" spans="1:6" x14ac:dyDescent="0.25">
      <c r="A32" s="55">
        <f>Tabelle4!B38</f>
        <v>358</v>
      </c>
      <c r="B32">
        <f>Tabelle4!A38</f>
        <v>2020</v>
      </c>
      <c r="C32" t="str">
        <f>VLOOKUP(A32,[2]Tabelle1!$A$1:$B$68,2,FALSE)</f>
        <v>Heidekreis</v>
      </c>
      <c r="D32" s="54" t="s">
        <v>109</v>
      </c>
      <c r="E32" t="str">
        <f>VLOOKUP(A32,[3]Tabelle1!$A$2:$C$53,3,FALSE)</f>
        <v>K03358</v>
      </c>
      <c r="F32">
        <f>Tabelle4!G38</f>
        <v>1245</v>
      </c>
    </row>
    <row r="33" spans="1:6" x14ac:dyDescent="0.25">
      <c r="A33" s="55">
        <f>Tabelle4!B39</f>
        <v>359</v>
      </c>
      <c r="B33">
        <f>Tabelle4!A39</f>
        <v>2020</v>
      </c>
      <c r="C33" t="str">
        <f>VLOOKUP(A33,[2]Tabelle1!$A$1:$B$68,2,FALSE)</f>
        <v>Stade</v>
      </c>
      <c r="D33" s="54" t="s">
        <v>109</v>
      </c>
      <c r="E33" t="str">
        <f>VLOOKUP(A33,[3]Tabelle1!$A$2:$C$53,3,FALSE)</f>
        <v>K03359</v>
      </c>
      <c r="F33">
        <f>Tabelle4!G39</f>
        <v>1115</v>
      </c>
    </row>
    <row r="34" spans="1:6" x14ac:dyDescent="0.25">
      <c r="A34" s="55">
        <f>Tabelle4!B40</f>
        <v>360</v>
      </c>
      <c r="B34">
        <f>Tabelle4!A40</f>
        <v>2020</v>
      </c>
      <c r="C34" t="str">
        <f>VLOOKUP(A34,[2]Tabelle1!$A$1:$B$68,2,FALSE)</f>
        <v>Uelzen</v>
      </c>
      <c r="D34" s="54" t="s">
        <v>109</v>
      </c>
      <c r="E34" t="str">
        <f>VLOOKUP(A34,[3]Tabelle1!$A$2:$C$53,3,FALSE)</f>
        <v>K03360</v>
      </c>
      <c r="F34">
        <f>Tabelle4!G40</f>
        <v>385</v>
      </c>
    </row>
    <row r="35" spans="1:6" x14ac:dyDescent="0.25">
      <c r="A35" s="55">
        <f>Tabelle4!B41</f>
        <v>361</v>
      </c>
      <c r="B35">
        <f>Tabelle4!A41</f>
        <v>2020</v>
      </c>
      <c r="C35" t="str">
        <f>VLOOKUP(A35,[2]Tabelle1!$A$1:$B$68,2,FALSE)</f>
        <v>Verden</v>
      </c>
      <c r="D35" s="54" t="s">
        <v>109</v>
      </c>
      <c r="E35" t="str">
        <f>VLOOKUP(A35,[3]Tabelle1!$A$2:$C$53,3,FALSE)</f>
        <v>K03361</v>
      </c>
      <c r="F35">
        <f>Tabelle4!G41</f>
        <v>540</v>
      </c>
    </row>
    <row r="36" spans="1:6" x14ac:dyDescent="0.25">
      <c r="A36" s="55">
        <f>Tabelle4!B42</f>
        <v>4</v>
      </c>
      <c r="B36">
        <f>Tabelle4!A42</f>
        <v>2020</v>
      </c>
      <c r="C36" t="str">
        <f>VLOOKUP(A36,[2]Tabelle1!$A$1:$B$68,2,FALSE)</f>
        <v>Stat. Region Weser-Ems</v>
      </c>
      <c r="D36" s="54" t="s">
        <v>109</v>
      </c>
      <c r="E36" t="str">
        <f>VLOOKUP(A36,[3]Tabelle1!$A$2:$C$53,3,FALSE)</f>
        <v>K034</v>
      </c>
      <c r="F36">
        <f>Tabelle4!G42</f>
        <v>18710</v>
      </c>
    </row>
    <row r="37" spans="1:6" x14ac:dyDescent="0.25">
      <c r="A37" s="55">
        <f>Tabelle4!B43</f>
        <v>401</v>
      </c>
      <c r="B37">
        <f>Tabelle4!A43</f>
        <v>2020</v>
      </c>
      <c r="C37" t="str">
        <f>VLOOKUP(A37,[2]Tabelle1!$A$1:$B$68,2,FALSE)</f>
        <v>Delmenhorst  Stadt</v>
      </c>
      <c r="D37" s="54" t="s">
        <v>109</v>
      </c>
      <c r="E37" t="str">
        <f>VLOOKUP(A37,[3]Tabelle1!$A$2:$C$53,3,FALSE)</f>
        <v>K03401</v>
      </c>
      <c r="F37">
        <f>Tabelle4!G43</f>
        <v>575</v>
      </c>
    </row>
    <row r="38" spans="1:6" x14ac:dyDescent="0.25">
      <c r="A38" s="55">
        <f>Tabelle4!B44</f>
        <v>402</v>
      </c>
      <c r="B38">
        <f>Tabelle4!A44</f>
        <v>2020</v>
      </c>
      <c r="C38" t="str">
        <f>VLOOKUP(A38,[2]Tabelle1!$A$1:$B$68,2,FALSE)</f>
        <v>Emden  Stadt</v>
      </c>
      <c r="D38" s="54" t="s">
        <v>109</v>
      </c>
      <c r="E38" t="str">
        <f>VLOOKUP(A38,[3]Tabelle1!$A$2:$C$53,3,FALSE)</f>
        <v>K03402</v>
      </c>
      <c r="F38">
        <f>Tabelle4!G44</f>
        <v>460</v>
      </c>
    </row>
    <row r="39" spans="1:6" x14ac:dyDescent="0.25">
      <c r="A39" s="55">
        <f>Tabelle4!B45</f>
        <v>403</v>
      </c>
      <c r="B39">
        <f>Tabelle4!A45</f>
        <v>2020</v>
      </c>
      <c r="C39" t="str">
        <f>VLOOKUP(A39,[2]Tabelle1!$A$1:$B$68,2,FALSE)</f>
        <v>Oldenburg(Oldb)  Stadt</v>
      </c>
      <c r="D39" s="54" t="s">
        <v>109</v>
      </c>
      <c r="E39" t="str">
        <f>VLOOKUP(A39,[3]Tabelle1!$A$2:$C$53,3,FALSE)</f>
        <v>K03403</v>
      </c>
      <c r="F39">
        <f>Tabelle4!G45</f>
        <v>1355</v>
      </c>
    </row>
    <row r="40" spans="1:6" x14ac:dyDescent="0.25">
      <c r="A40" s="55">
        <f>Tabelle4!B46</f>
        <v>404</v>
      </c>
      <c r="B40">
        <f>Tabelle4!A46</f>
        <v>2020</v>
      </c>
      <c r="C40" t="str">
        <f>VLOOKUP(A40,[2]Tabelle1!$A$1:$B$68,2,FALSE)</f>
        <v>Osnabrück  Stadt</v>
      </c>
      <c r="D40" s="54" t="s">
        <v>109</v>
      </c>
      <c r="E40" t="str">
        <f>VLOOKUP(A40,[3]Tabelle1!$A$2:$C$53,3,FALSE)</f>
        <v>K03404</v>
      </c>
      <c r="F40">
        <f>Tabelle4!G46</f>
        <v>1340</v>
      </c>
    </row>
    <row r="41" spans="1:6" x14ac:dyDescent="0.25">
      <c r="A41" s="55">
        <f>Tabelle4!B47</f>
        <v>405</v>
      </c>
      <c r="B41">
        <f>Tabelle4!A47</f>
        <v>2020</v>
      </c>
      <c r="C41" t="str">
        <f>VLOOKUP(A41,[2]Tabelle1!$A$1:$B$68,2,FALSE)</f>
        <v>Wilhelmshaven  Stadt</v>
      </c>
      <c r="D41" s="54" t="s">
        <v>109</v>
      </c>
      <c r="E41" t="str">
        <f>VLOOKUP(A41,[3]Tabelle1!$A$2:$C$53,3,FALSE)</f>
        <v>K03405</v>
      </c>
      <c r="F41">
        <f>Tabelle4!G47</f>
        <v>475</v>
      </c>
    </row>
    <row r="42" spans="1:6" x14ac:dyDescent="0.25">
      <c r="A42" s="55">
        <f>Tabelle4!B48</f>
        <v>451</v>
      </c>
      <c r="B42">
        <f>Tabelle4!A48</f>
        <v>2020</v>
      </c>
      <c r="C42" t="str">
        <f>VLOOKUP(A42,[2]Tabelle1!$A$1:$B$68,2,FALSE)</f>
        <v>Ammerland</v>
      </c>
      <c r="D42" s="54" t="s">
        <v>109</v>
      </c>
      <c r="E42" t="str">
        <f>VLOOKUP(A42,[3]Tabelle1!$A$2:$C$53,3,FALSE)</f>
        <v>K03451</v>
      </c>
      <c r="F42">
        <f>Tabelle4!G48</f>
        <v>600</v>
      </c>
    </row>
    <row r="43" spans="1:6" x14ac:dyDescent="0.25">
      <c r="A43" s="55">
        <f>Tabelle4!B49</f>
        <v>452</v>
      </c>
      <c r="B43">
        <f>Tabelle4!A49</f>
        <v>2020</v>
      </c>
      <c r="C43" t="str">
        <f>VLOOKUP(A43,[2]Tabelle1!$A$1:$B$68,2,FALSE)</f>
        <v>Aurich</v>
      </c>
      <c r="D43" s="54" t="s">
        <v>109</v>
      </c>
      <c r="E43" t="str">
        <f>VLOOKUP(A43,[3]Tabelle1!$A$2:$C$53,3,FALSE)</f>
        <v>K03452</v>
      </c>
      <c r="F43">
        <f>Tabelle4!G49</f>
        <v>660</v>
      </c>
    </row>
    <row r="44" spans="1:6" x14ac:dyDescent="0.25">
      <c r="A44" s="55">
        <f>Tabelle4!B50</f>
        <v>453</v>
      </c>
      <c r="B44">
        <f>Tabelle4!A50</f>
        <v>2020</v>
      </c>
      <c r="C44" t="str">
        <f>VLOOKUP(A44,[2]Tabelle1!$A$1:$B$68,2,FALSE)</f>
        <v>Cloppenburg</v>
      </c>
      <c r="D44" s="54" t="s">
        <v>109</v>
      </c>
      <c r="E44" t="str">
        <f>VLOOKUP(A44,[3]Tabelle1!$A$2:$C$53,3,FALSE)</f>
        <v>K03453</v>
      </c>
      <c r="F44">
        <f>Tabelle4!G50</f>
        <v>1215</v>
      </c>
    </row>
    <row r="45" spans="1:6" x14ac:dyDescent="0.25">
      <c r="A45" s="55">
        <f>Tabelle4!B51</f>
        <v>454</v>
      </c>
      <c r="B45">
        <f>Tabelle4!A51</f>
        <v>2020</v>
      </c>
      <c r="C45" t="str">
        <f>VLOOKUP(A45,[2]Tabelle1!$A$1:$B$68,2,FALSE)</f>
        <v>Emsland</v>
      </c>
      <c r="D45" s="54" t="s">
        <v>109</v>
      </c>
      <c r="E45" t="str">
        <f>VLOOKUP(A45,[3]Tabelle1!$A$2:$C$53,3,FALSE)</f>
        <v>K03454</v>
      </c>
      <c r="F45">
        <f>Tabelle4!G51</f>
        <v>3545</v>
      </c>
    </row>
    <row r="46" spans="1:6" x14ac:dyDescent="0.25">
      <c r="A46" s="55">
        <f>Tabelle4!B52</f>
        <v>455</v>
      </c>
      <c r="B46">
        <f>Tabelle4!A52</f>
        <v>2020</v>
      </c>
      <c r="C46" t="str">
        <f>VLOOKUP(A46,[2]Tabelle1!$A$1:$B$68,2,FALSE)</f>
        <v>Friesland</v>
      </c>
      <c r="D46" s="54" t="s">
        <v>109</v>
      </c>
      <c r="E46" t="str">
        <f>VLOOKUP(A46,[3]Tabelle1!$A$2:$C$53,3,FALSE)</f>
        <v>K03455</v>
      </c>
      <c r="F46">
        <f>Tabelle4!G52</f>
        <v>270</v>
      </c>
    </row>
    <row r="47" spans="1:6" x14ac:dyDescent="0.25">
      <c r="A47" s="55">
        <f>Tabelle4!B53</f>
        <v>456</v>
      </c>
      <c r="B47">
        <f>Tabelle4!A53</f>
        <v>2020</v>
      </c>
      <c r="C47" t="str">
        <f>VLOOKUP(A47,[2]Tabelle1!$A$1:$B$68,2,FALSE)</f>
        <v>Grafschaft Bentheim</v>
      </c>
      <c r="D47" s="54" t="s">
        <v>109</v>
      </c>
      <c r="E47" t="str">
        <f>VLOOKUP(A47,[3]Tabelle1!$A$2:$C$53,3,FALSE)</f>
        <v>K03456</v>
      </c>
      <c r="F47">
        <f>Tabelle4!G53</f>
        <v>845</v>
      </c>
    </row>
    <row r="48" spans="1:6" x14ac:dyDescent="0.25">
      <c r="A48" s="55">
        <f>Tabelle4!B54</f>
        <v>457</v>
      </c>
      <c r="B48">
        <f>Tabelle4!A54</f>
        <v>2020</v>
      </c>
      <c r="C48" t="str">
        <f>VLOOKUP(A48,[2]Tabelle1!$A$1:$B$68,2,FALSE)</f>
        <v>Leer</v>
      </c>
      <c r="D48" s="54" t="s">
        <v>109</v>
      </c>
      <c r="E48" t="str">
        <f>VLOOKUP(A48,[3]Tabelle1!$A$2:$C$53,3,FALSE)</f>
        <v>K03457</v>
      </c>
      <c r="F48">
        <f>Tabelle4!G54</f>
        <v>990</v>
      </c>
    </row>
    <row r="49" spans="1:6" x14ac:dyDescent="0.25">
      <c r="A49" s="55">
        <f>Tabelle4!B55</f>
        <v>458</v>
      </c>
      <c r="B49">
        <f>Tabelle4!A55</f>
        <v>2020</v>
      </c>
      <c r="C49" t="str">
        <f>VLOOKUP(A49,[2]Tabelle1!$A$1:$B$68,2,FALSE)</f>
        <v>Oldenburg</v>
      </c>
      <c r="D49" s="54" t="s">
        <v>109</v>
      </c>
      <c r="E49" t="str">
        <f>VLOOKUP(A49,[3]Tabelle1!$A$2:$C$53,3,FALSE)</f>
        <v>K03458</v>
      </c>
      <c r="F49">
        <f>Tabelle4!G55</f>
        <v>1120</v>
      </c>
    </row>
    <row r="50" spans="1:6" x14ac:dyDescent="0.25">
      <c r="A50" s="55">
        <f>Tabelle4!B56</f>
        <v>459</v>
      </c>
      <c r="B50">
        <f>Tabelle4!A56</f>
        <v>2020</v>
      </c>
      <c r="C50" t="str">
        <f>VLOOKUP(A50,[2]Tabelle1!$A$1:$B$68,2,FALSE)</f>
        <v>Osnabrück</v>
      </c>
      <c r="D50" s="54" t="s">
        <v>109</v>
      </c>
      <c r="E50" t="str">
        <f>VLOOKUP(A50,[3]Tabelle1!$A$2:$C$53,3,FALSE)</f>
        <v>K03459</v>
      </c>
      <c r="F50">
        <f>Tabelle4!G56</f>
        <v>3015</v>
      </c>
    </row>
    <row r="51" spans="1:6" x14ac:dyDescent="0.25">
      <c r="A51" s="55">
        <f>Tabelle4!B57</f>
        <v>460</v>
      </c>
      <c r="B51">
        <f>Tabelle4!A57</f>
        <v>2020</v>
      </c>
      <c r="C51" t="str">
        <f>VLOOKUP(A51,[2]Tabelle1!$A$1:$B$68,2,FALSE)</f>
        <v>Vechta</v>
      </c>
      <c r="D51" s="54" t="s">
        <v>109</v>
      </c>
      <c r="E51" t="str">
        <f>VLOOKUP(A51,[3]Tabelle1!$A$2:$C$53,3,FALSE)</f>
        <v>K03460</v>
      </c>
      <c r="F51">
        <f>Tabelle4!G57</f>
        <v>1540</v>
      </c>
    </row>
    <row r="52" spans="1:6" x14ac:dyDescent="0.25">
      <c r="A52" s="55">
        <f>Tabelle4!B58</f>
        <v>461</v>
      </c>
      <c r="B52">
        <f>Tabelle4!A58</f>
        <v>2020</v>
      </c>
      <c r="C52" t="str">
        <f>VLOOKUP(A52,[2]Tabelle1!$A$1:$B$68,2,FALSE)</f>
        <v>Wesermarsch</v>
      </c>
      <c r="D52" s="54" t="s">
        <v>109</v>
      </c>
      <c r="E52" t="str">
        <f>VLOOKUP(A52,[3]Tabelle1!$A$2:$C$53,3,FALSE)</f>
        <v>K03461</v>
      </c>
      <c r="F52">
        <f>Tabelle4!G58</f>
        <v>470</v>
      </c>
    </row>
    <row r="53" spans="1:6" x14ac:dyDescent="0.25">
      <c r="A53" s="55">
        <f>Tabelle4!B59</f>
        <v>462</v>
      </c>
      <c r="B53">
        <f>Tabelle4!A59</f>
        <v>2020</v>
      </c>
      <c r="C53" t="str">
        <f>VLOOKUP(A53,[2]Tabelle1!$A$1:$B$68,2,FALSE)</f>
        <v>Wittmund</v>
      </c>
      <c r="D53" s="54" t="s">
        <v>109</v>
      </c>
      <c r="E53" t="str">
        <f>VLOOKUP(A53,[3]Tabelle1!$A$2:$C$53,3,FALSE)</f>
        <v>K03462</v>
      </c>
      <c r="F53">
        <f>Tabelle4!G59</f>
        <v>235</v>
      </c>
    </row>
    <row r="54" spans="1:6" x14ac:dyDescent="0.25">
      <c r="A54" s="55">
        <f>Tabelle4!B8</f>
        <v>0</v>
      </c>
      <c r="B54">
        <f>Tabelle4!A8</f>
        <v>2020</v>
      </c>
      <c r="C54" t="str">
        <f>VLOOKUP(A54,[2]Tabelle1!$A$1:$B$68,2,FALSE)</f>
        <v>Niedersachsen</v>
      </c>
      <c r="D54" s="55" t="s">
        <v>110</v>
      </c>
      <c r="E54" t="str">
        <f>VLOOKUP(A54,[3]Tabelle1!$A$2:$C$53,3,FALSE)</f>
        <v>K030</v>
      </c>
      <c r="F54">
        <f>Tabelle4!H8</f>
        <v>172885</v>
      </c>
    </row>
    <row r="55" spans="1:6" x14ac:dyDescent="0.25">
      <c r="A55" s="55">
        <f>Tabelle4!B9</f>
        <v>1</v>
      </c>
      <c r="B55">
        <f>Tabelle4!A9</f>
        <v>2020</v>
      </c>
      <c r="C55" t="str">
        <f>VLOOKUP(A55,[2]Tabelle1!$A$1:$B$68,2,FALSE)</f>
        <v>Stat. Region Braunschweig</v>
      </c>
      <c r="D55" s="55" t="s">
        <v>110</v>
      </c>
      <c r="E55" t="str">
        <f>VLOOKUP(A55,[3]Tabelle1!$A$2:$C$53,3,FALSE)</f>
        <v>K031</v>
      </c>
      <c r="F55">
        <f>Tabelle4!H9</f>
        <v>34680</v>
      </c>
    </row>
    <row r="56" spans="1:6" x14ac:dyDescent="0.25">
      <c r="A56" s="55">
        <f>Tabelle4!B10</f>
        <v>101</v>
      </c>
      <c r="B56">
        <f>Tabelle4!A10</f>
        <v>2020</v>
      </c>
      <c r="C56" t="str">
        <f>VLOOKUP(A56,[2]Tabelle1!$A$1:$B$68,2,FALSE)</f>
        <v>Braunschweig  Stadt</v>
      </c>
      <c r="D56" s="55" t="s">
        <v>110</v>
      </c>
      <c r="E56" t="str">
        <f>VLOOKUP(A56,[3]Tabelle1!$A$2:$C$53,3,FALSE)</f>
        <v>K03101</v>
      </c>
      <c r="F56">
        <f>Tabelle4!H10</f>
        <v>6020</v>
      </c>
    </row>
    <row r="57" spans="1:6" x14ac:dyDescent="0.25">
      <c r="A57" s="55">
        <f>Tabelle4!B11</f>
        <v>102</v>
      </c>
      <c r="B57">
        <f>Tabelle4!A11</f>
        <v>2020</v>
      </c>
      <c r="C57" t="str">
        <f>VLOOKUP(A57,[2]Tabelle1!$A$1:$B$68,2,FALSE)</f>
        <v>Salzgitter  Stadt</v>
      </c>
      <c r="D57" s="55" t="s">
        <v>110</v>
      </c>
      <c r="E57" t="str">
        <f>VLOOKUP(A57,[3]Tabelle1!$A$2:$C$53,3,FALSE)</f>
        <v>K03102</v>
      </c>
      <c r="F57">
        <f>Tabelle4!H11</f>
        <v>4230</v>
      </c>
    </row>
    <row r="58" spans="1:6" x14ac:dyDescent="0.25">
      <c r="A58" s="55">
        <f>Tabelle4!B12</f>
        <v>103</v>
      </c>
      <c r="B58">
        <f>Tabelle4!A12</f>
        <v>2020</v>
      </c>
      <c r="C58" t="str">
        <f>VLOOKUP(A58,[2]Tabelle1!$A$1:$B$68,2,FALSE)</f>
        <v>Wolfsburg  Stadt</v>
      </c>
      <c r="D58" s="55" t="s">
        <v>110</v>
      </c>
      <c r="E58" t="str">
        <f>VLOOKUP(A58,[3]Tabelle1!$A$2:$C$53,3,FALSE)</f>
        <v>K03103</v>
      </c>
      <c r="F58">
        <f>Tabelle4!H12</f>
        <v>4000</v>
      </c>
    </row>
    <row r="59" spans="1:6" x14ac:dyDescent="0.25">
      <c r="A59" s="55">
        <f>Tabelle4!B13</f>
        <v>151</v>
      </c>
      <c r="B59">
        <f>Tabelle4!A13</f>
        <v>2020</v>
      </c>
      <c r="C59" t="str">
        <f>VLOOKUP(A59,[2]Tabelle1!$A$1:$B$68,2,FALSE)</f>
        <v>Gifhorn</v>
      </c>
      <c r="D59" s="55" t="s">
        <v>110</v>
      </c>
      <c r="E59" t="str">
        <f>VLOOKUP(A59,[3]Tabelle1!$A$2:$C$53,3,FALSE)</f>
        <v>K03151</v>
      </c>
      <c r="F59">
        <f>Tabelle4!H13</f>
        <v>2750</v>
      </c>
    </row>
    <row r="60" spans="1:6" x14ac:dyDescent="0.25">
      <c r="A60" s="55">
        <f>Tabelle4!B14</f>
        <v>153</v>
      </c>
      <c r="B60">
        <f>Tabelle4!A14</f>
        <v>2020</v>
      </c>
      <c r="C60" t="str">
        <f>VLOOKUP(A60,[2]Tabelle1!$A$1:$B$68,2,FALSE)</f>
        <v>Goslar</v>
      </c>
      <c r="D60" s="55" t="s">
        <v>110</v>
      </c>
      <c r="E60" t="str">
        <f>VLOOKUP(A60,[3]Tabelle1!$A$2:$C$53,3,FALSE)</f>
        <v>K03153</v>
      </c>
      <c r="F60">
        <f>Tabelle4!H14</f>
        <v>3485</v>
      </c>
    </row>
    <row r="61" spans="1:6" x14ac:dyDescent="0.25">
      <c r="A61" s="55">
        <f>Tabelle4!B15</f>
        <v>154</v>
      </c>
      <c r="B61">
        <f>Tabelle4!A15</f>
        <v>2020</v>
      </c>
      <c r="C61" t="str">
        <f>VLOOKUP(A61,[2]Tabelle1!$A$1:$B$68,2,FALSE)</f>
        <v>Helmstedt</v>
      </c>
      <c r="D61" s="55" t="s">
        <v>110</v>
      </c>
      <c r="E61" t="str">
        <f>VLOOKUP(A61,[3]Tabelle1!$A$2:$C$53,3,FALSE)</f>
        <v>K03154</v>
      </c>
      <c r="F61">
        <f>Tabelle4!H15</f>
        <v>1225</v>
      </c>
    </row>
    <row r="62" spans="1:6" x14ac:dyDescent="0.25">
      <c r="A62" s="55">
        <f>Tabelle4!B16</f>
        <v>155</v>
      </c>
      <c r="B62">
        <f>Tabelle4!A16</f>
        <v>2020</v>
      </c>
      <c r="C62" t="str">
        <f>VLOOKUP(A62,[2]Tabelle1!$A$1:$B$68,2,FALSE)</f>
        <v>Northeim</v>
      </c>
      <c r="D62" s="55" t="s">
        <v>110</v>
      </c>
      <c r="E62" t="str">
        <f>VLOOKUP(A62,[3]Tabelle1!$A$2:$C$53,3,FALSE)</f>
        <v>K03155</v>
      </c>
      <c r="F62">
        <f>Tabelle4!H16</f>
        <v>1835</v>
      </c>
    </row>
    <row r="63" spans="1:6" x14ac:dyDescent="0.25">
      <c r="A63" s="55">
        <f>Tabelle4!B17</f>
        <v>157</v>
      </c>
      <c r="B63">
        <f>Tabelle4!A17</f>
        <v>2020</v>
      </c>
      <c r="C63" t="str">
        <f>VLOOKUP(A63,[2]Tabelle1!$A$1:$B$68,2,FALSE)</f>
        <v>Peine</v>
      </c>
      <c r="D63" s="55" t="s">
        <v>110</v>
      </c>
      <c r="E63" t="str">
        <f>VLOOKUP(A63,[3]Tabelle1!$A$2:$C$53,3,FALSE)</f>
        <v>K03157</v>
      </c>
      <c r="F63">
        <f>Tabelle4!H17</f>
        <v>2290</v>
      </c>
    </row>
    <row r="64" spans="1:6" x14ac:dyDescent="0.25">
      <c r="A64" s="55">
        <f>Tabelle4!B18</f>
        <v>158</v>
      </c>
      <c r="B64">
        <f>Tabelle4!A18</f>
        <v>2020</v>
      </c>
      <c r="C64" t="str">
        <f>VLOOKUP(A64,[2]Tabelle1!$A$1:$B$68,2,FALSE)</f>
        <v>Wolfenbüttel</v>
      </c>
      <c r="D64" s="55" t="s">
        <v>110</v>
      </c>
      <c r="E64" t="str">
        <f>VLOOKUP(A64,[3]Tabelle1!$A$2:$C$53,3,FALSE)</f>
        <v>K03158</v>
      </c>
      <c r="F64">
        <f>Tabelle4!H18</f>
        <v>1465</v>
      </c>
    </row>
    <row r="65" spans="1:6" x14ac:dyDescent="0.25">
      <c r="A65" s="55">
        <f>Tabelle4!B19</f>
        <v>159</v>
      </c>
      <c r="B65">
        <f>Tabelle4!A19</f>
        <v>2020</v>
      </c>
      <c r="C65" t="str">
        <f>VLOOKUP(A65,[2]Tabelle1!$A$1:$B$68,2,FALSE)</f>
        <v>Göttingen</v>
      </c>
      <c r="D65" s="55" t="s">
        <v>110</v>
      </c>
      <c r="E65" t="str">
        <f>VLOOKUP(A65,[3]Tabelle1!$A$2:$C$53,3,FALSE)</f>
        <v>K03159</v>
      </c>
      <c r="F65">
        <f>Tabelle4!H19</f>
        <v>7375</v>
      </c>
    </row>
    <row r="66" spans="1:6" x14ac:dyDescent="0.25">
      <c r="A66" s="55">
        <f>Tabelle4!B20</f>
        <v>2</v>
      </c>
      <c r="B66">
        <f>Tabelle4!A20</f>
        <v>2020</v>
      </c>
      <c r="C66" t="str">
        <f>VLOOKUP(A66,[2]Tabelle1!$A$1:$B$68,2,FALSE)</f>
        <v>Stat. Region Hannover</v>
      </c>
      <c r="D66" s="55" t="s">
        <v>110</v>
      </c>
      <c r="E66" t="str">
        <f>VLOOKUP(A66,[3]Tabelle1!$A$2:$C$53,3,FALSE)</f>
        <v>K032</v>
      </c>
      <c r="F66">
        <f>Tabelle4!H20</f>
        <v>49740</v>
      </c>
    </row>
    <row r="67" spans="1:6" x14ac:dyDescent="0.25">
      <c r="A67" s="55">
        <f>Tabelle4!B21</f>
        <v>241</v>
      </c>
      <c r="B67">
        <f>Tabelle4!A21</f>
        <v>2020</v>
      </c>
      <c r="C67" t="str">
        <f>VLOOKUP(A67,[2]Tabelle1!$A$1:$B$68,2,FALSE)</f>
        <v>Hannover  Region</v>
      </c>
      <c r="D67" s="55" t="s">
        <v>110</v>
      </c>
      <c r="E67" t="str">
        <f>VLOOKUP(A67,[3]Tabelle1!$A$2:$C$53,3,FALSE)</f>
        <v>K03241</v>
      </c>
      <c r="F67">
        <f>Tabelle4!H21</f>
        <v>32050</v>
      </c>
    </row>
    <row r="68" spans="1:6" x14ac:dyDescent="0.25">
      <c r="A68" s="55">
        <f>Tabelle4!B22</f>
        <v>241001</v>
      </c>
      <c r="B68">
        <f>Tabelle4!A22</f>
        <v>2020</v>
      </c>
      <c r="C68" t="str">
        <f>VLOOKUP(A68,[2]Tabelle1!$A$1:$B$68,2,FALSE)</f>
        <v xml:space="preserve">   dav. Hannover  Lhst.</v>
      </c>
      <c r="D68" s="55" t="s">
        <v>110</v>
      </c>
      <c r="E68" t="str">
        <f>VLOOKUP(A68,[3]Tabelle1!$A$2:$C$53,3,FALSE)</f>
        <v>K03241001</v>
      </c>
      <c r="F68">
        <f>Tabelle4!H22</f>
        <v>19565</v>
      </c>
    </row>
    <row r="69" spans="1:6" x14ac:dyDescent="0.25">
      <c r="A69" s="55">
        <f>Tabelle4!B23</f>
        <v>241999</v>
      </c>
      <c r="B69">
        <f>Tabelle4!A23</f>
        <v>2020</v>
      </c>
      <c r="C69" t="str">
        <f>VLOOKUP(A69,[2]Tabelle1!$A$1:$B$68,2,FALSE)</f>
        <v xml:space="preserve">   dav. Hannover  Umland</v>
      </c>
      <c r="D69" s="55" t="s">
        <v>110</v>
      </c>
      <c r="E69" t="str">
        <f>VLOOKUP(A69,[3]Tabelle1!$A$2:$C$53,3,FALSE)</f>
        <v>K03241999</v>
      </c>
      <c r="F69">
        <f>Tabelle4!H23</f>
        <v>12485</v>
      </c>
    </row>
    <row r="70" spans="1:6" x14ac:dyDescent="0.25">
      <c r="A70" s="55">
        <f>Tabelle4!B24</f>
        <v>251</v>
      </c>
      <c r="B70">
        <f>Tabelle4!A24</f>
        <v>2020</v>
      </c>
      <c r="C70" t="str">
        <f>VLOOKUP(A70,[2]Tabelle1!$A$1:$B$68,2,FALSE)</f>
        <v>Diepholz</v>
      </c>
      <c r="D70" s="55" t="s">
        <v>110</v>
      </c>
      <c r="E70" t="str">
        <f>VLOOKUP(A70,[3]Tabelle1!$A$2:$C$53,3,FALSE)</f>
        <v>K03251</v>
      </c>
      <c r="F70">
        <f>Tabelle4!H24</f>
        <v>4030</v>
      </c>
    </row>
    <row r="71" spans="1:6" x14ac:dyDescent="0.25">
      <c r="A71" s="55">
        <f>Tabelle4!B25</f>
        <v>252</v>
      </c>
      <c r="B71">
        <f>Tabelle4!A25</f>
        <v>2020</v>
      </c>
      <c r="C71" t="str">
        <f>VLOOKUP(A71,[2]Tabelle1!$A$1:$B$68,2,FALSE)</f>
        <v>Hameln-Pyrmont</v>
      </c>
      <c r="D71" s="55" t="s">
        <v>110</v>
      </c>
      <c r="E71" t="str">
        <f>VLOOKUP(A71,[3]Tabelle1!$A$2:$C$53,3,FALSE)</f>
        <v>K03252</v>
      </c>
      <c r="F71">
        <f>Tabelle4!H25</f>
        <v>2950</v>
      </c>
    </row>
    <row r="72" spans="1:6" x14ac:dyDescent="0.25">
      <c r="A72" s="55">
        <f>Tabelle4!B26</f>
        <v>254</v>
      </c>
      <c r="B72">
        <f>Tabelle4!A26</f>
        <v>2020</v>
      </c>
      <c r="C72" t="str">
        <f>VLOOKUP(A72,[2]Tabelle1!$A$1:$B$68,2,FALSE)</f>
        <v>Hildesheim</v>
      </c>
      <c r="D72" s="55" t="s">
        <v>110</v>
      </c>
      <c r="E72" t="str">
        <f>VLOOKUP(A72,[3]Tabelle1!$A$2:$C$53,3,FALSE)</f>
        <v>K03254</v>
      </c>
      <c r="F72">
        <f>Tabelle4!H26</f>
        <v>4980</v>
      </c>
    </row>
    <row r="73" spans="1:6" x14ac:dyDescent="0.25">
      <c r="A73" s="55">
        <f>Tabelle4!B27</f>
        <v>255</v>
      </c>
      <c r="B73">
        <f>Tabelle4!A27</f>
        <v>2020</v>
      </c>
      <c r="C73" t="str">
        <f>VLOOKUP(A73,[2]Tabelle1!$A$1:$B$68,2,FALSE)</f>
        <v>Holzminden</v>
      </c>
      <c r="D73" s="55" t="s">
        <v>110</v>
      </c>
      <c r="E73" t="str">
        <f>VLOOKUP(A73,[3]Tabelle1!$A$2:$C$53,3,FALSE)</f>
        <v>K03255</v>
      </c>
      <c r="F73">
        <f>Tabelle4!H27</f>
        <v>835</v>
      </c>
    </row>
    <row r="74" spans="1:6" x14ac:dyDescent="0.25">
      <c r="A74" s="55">
        <f>Tabelle4!B28</f>
        <v>256</v>
      </c>
      <c r="B74" t="str">
        <f>Tabelle4!A28</f>
        <v>2020</v>
      </c>
      <c r="C74" t="str">
        <f>VLOOKUP(A74,[2]Tabelle1!$A$1:$B$68,2,FALSE)</f>
        <v>Nienburg (Weser)</v>
      </c>
      <c r="D74" s="55" t="s">
        <v>110</v>
      </c>
      <c r="E74" t="str">
        <f>VLOOKUP(A74,[3]Tabelle1!$A$2:$C$53,3,FALSE)</f>
        <v>K03256</v>
      </c>
      <c r="F74">
        <f>Tabelle4!H28</f>
        <v>2020</v>
      </c>
    </row>
    <row r="75" spans="1:6" x14ac:dyDescent="0.25">
      <c r="A75" s="55">
        <f>Tabelle4!B29</f>
        <v>257</v>
      </c>
      <c r="B75" t="str">
        <f>Tabelle4!A29</f>
        <v>2020</v>
      </c>
      <c r="C75" t="str">
        <f>VLOOKUP(A75,[2]Tabelle1!$A$1:$B$68,2,FALSE)</f>
        <v>Schaumburg</v>
      </c>
      <c r="D75" s="55" t="s">
        <v>110</v>
      </c>
      <c r="E75" t="str">
        <f>VLOOKUP(A75,[3]Tabelle1!$A$2:$C$53,3,FALSE)</f>
        <v>K03257</v>
      </c>
      <c r="F75">
        <f>Tabelle4!H29</f>
        <v>2880</v>
      </c>
    </row>
    <row r="76" spans="1:6" x14ac:dyDescent="0.25">
      <c r="A76" s="55">
        <f>Tabelle4!B30</f>
        <v>3</v>
      </c>
      <c r="B76">
        <f>Tabelle4!A30</f>
        <v>2020</v>
      </c>
      <c r="C76" t="str">
        <f>VLOOKUP(A76,[2]Tabelle1!$A$1:$B$68,2,FALSE)</f>
        <v>Stat. Region Lüneburg</v>
      </c>
      <c r="D76" s="55" t="s">
        <v>110</v>
      </c>
      <c r="E76" t="str">
        <f>VLOOKUP(A76,[3]Tabelle1!$A$2:$C$53,3,FALSE)</f>
        <v>K033</v>
      </c>
      <c r="F76">
        <f>Tabelle4!H30</f>
        <v>26885</v>
      </c>
    </row>
    <row r="77" spans="1:6" x14ac:dyDescent="0.25">
      <c r="A77" s="55">
        <f>Tabelle4!B31</f>
        <v>351</v>
      </c>
      <c r="B77">
        <f>Tabelle4!A31</f>
        <v>2020</v>
      </c>
      <c r="C77" t="str">
        <f>VLOOKUP(A77,[2]Tabelle1!$A$1:$B$68,2,FALSE)</f>
        <v>Celle</v>
      </c>
      <c r="D77" s="55" t="s">
        <v>110</v>
      </c>
      <c r="E77" t="str">
        <f>VLOOKUP(A77,[3]Tabelle1!$A$2:$C$53,3,FALSE)</f>
        <v>K03351</v>
      </c>
      <c r="F77">
        <f>Tabelle4!H31</f>
        <v>2580</v>
      </c>
    </row>
    <row r="78" spans="1:6" x14ac:dyDescent="0.25">
      <c r="A78" s="55">
        <f>Tabelle4!B32</f>
        <v>352</v>
      </c>
      <c r="B78">
        <f>Tabelle4!A32</f>
        <v>2020</v>
      </c>
      <c r="C78" t="str">
        <f>VLOOKUP(A78,[2]Tabelle1!$A$1:$B$68,2,FALSE)</f>
        <v>Cuxhaven</v>
      </c>
      <c r="D78" s="55" t="s">
        <v>110</v>
      </c>
      <c r="E78" t="str">
        <f>VLOOKUP(A78,[3]Tabelle1!$A$2:$C$53,3,FALSE)</f>
        <v>K03352</v>
      </c>
      <c r="F78">
        <f>Tabelle4!H32</f>
        <v>2210</v>
      </c>
    </row>
    <row r="79" spans="1:6" x14ac:dyDescent="0.25">
      <c r="A79" s="55">
        <f>Tabelle4!B33</f>
        <v>353</v>
      </c>
      <c r="B79">
        <f>Tabelle4!A33</f>
        <v>2020</v>
      </c>
      <c r="C79" t="str">
        <f>VLOOKUP(A79,[2]Tabelle1!$A$1:$B$68,2,FALSE)</f>
        <v>Harburg</v>
      </c>
      <c r="D79" s="55" t="s">
        <v>110</v>
      </c>
      <c r="E79" t="str">
        <f>VLOOKUP(A79,[3]Tabelle1!$A$2:$C$53,3,FALSE)</f>
        <v>K03353</v>
      </c>
      <c r="F79">
        <f>Tabelle4!H33</f>
        <v>4625</v>
      </c>
    </row>
    <row r="80" spans="1:6" x14ac:dyDescent="0.25">
      <c r="A80" s="55">
        <f>Tabelle4!B34</f>
        <v>354</v>
      </c>
      <c r="B80">
        <f>Tabelle4!A34</f>
        <v>2020</v>
      </c>
      <c r="C80" t="str">
        <f>VLOOKUP(A80,[2]Tabelle1!$A$1:$B$68,2,FALSE)</f>
        <v>Lüchow-Dannenberg</v>
      </c>
      <c r="D80" s="55" t="s">
        <v>110</v>
      </c>
      <c r="E80" t="str">
        <f>VLOOKUP(A80,[3]Tabelle1!$A$2:$C$53,3,FALSE)</f>
        <v>K03354</v>
      </c>
      <c r="F80">
        <f>Tabelle4!H34</f>
        <v>655</v>
      </c>
    </row>
    <row r="81" spans="1:6" x14ac:dyDescent="0.25">
      <c r="A81" s="55">
        <f>Tabelle4!B35</f>
        <v>355</v>
      </c>
      <c r="B81">
        <f>Tabelle4!A35</f>
        <v>2020</v>
      </c>
      <c r="C81" t="str">
        <f>VLOOKUP(A81,[2]Tabelle1!$A$1:$B$68,2,FALSE)</f>
        <v>Lüneburg</v>
      </c>
      <c r="D81" s="55" t="s">
        <v>110</v>
      </c>
      <c r="E81" t="str">
        <f>VLOOKUP(A81,[3]Tabelle1!$A$2:$C$53,3,FALSE)</f>
        <v>K03355</v>
      </c>
      <c r="F81">
        <f>Tabelle4!H35</f>
        <v>2500</v>
      </c>
    </row>
    <row r="82" spans="1:6" x14ac:dyDescent="0.25">
      <c r="A82" s="55">
        <f>Tabelle4!B36</f>
        <v>356</v>
      </c>
      <c r="B82">
        <f>Tabelle4!A36</f>
        <v>2020</v>
      </c>
      <c r="C82" t="str">
        <f>VLOOKUP(A82,[2]Tabelle1!$A$1:$B$68,2,FALSE)</f>
        <v>Osterholz</v>
      </c>
      <c r="D82" s="55" t="s">
        <v>110</v>
      </c>
      <c r="E82" t="str">
        <f>VLOOKUP(A82,[3]Tabelle1!$A$2:$C$53,3,FALSE)</f>
        <v>K03356</v>
      </c>
      <c r="F82">
        <f>Tabelle4!H36</f>
        <v>1105</v>
      </c>
    </row>
    <row r="83" spans="1:6" x14ac:dyDescent="0.25">
      <c r="A83" s="55">
        <f>Tabelle4!B37</f>
        <v>357</v>
      </c>
      <c r="B83">
        <f>Tabelle4!A37</f>
        <v>2020</v>
      </c>
      <c r="C83" t="str">
        <f>VLOOKUP(A83,[2]Tabelle1!$A$1:$B$68,2,FALSE)</f>
        <v>Rotenburg (Wümme)</v>
      </c>
      <c r="D83" s="55" t="s">
        <v>110</v>
      </c>
      <c r="E83" t="str">
        <f>VLOOKUP(A83,[3]Tabelle1!$A$2:$C$53,3,FALSE)</f>
        <v>K03357</v>
      </c>
      <c r="F83">
        <f>Tabelle4!H37</f>
        <v>2550</v>
      </c>
    </row>
    <row r="84" spans="1:6" x14ac:dyDescent="0.25">
      <c r="A84" s="55">
        <f>Tabelle4!B38</f>
        <v>358</v>
      </c>
      <c r="B84">
        <f>Tabelle4!A38</f>
        <v>2020</v>
      </c>
      <c r="C84" t="str">
        <f>VLOOKUP(A84,[2]Tabelle1!$A$1:$B$68,2,FALSE)</f>
        <v>Heidekreis</v>
      </c>
      <c r="D84" s="55" t="s">
        <v>110</v>
      </c>
      <c r="E84" t="str">
        <f>VLOOKUP(A84,[3]Tabelle1!$A$2:$C$53,3,FALSE)</f>
        <v>K03358</v>
      </c>
      <c r="F84">
        <f>Tabelle4!H38</f>
        <v>2625</v>
      </c>
    </row>
    <row r="85" spans="1:6" x14ac:dyDescent="0.25">
      <c r="A85" s="55">
        <f>Tabelle4!B39</f>
        <v>359</v>
      </c>
      <c r="B85">
        <f>Tabelle4!A39</f>
        <v>2020</v>
      </c>
      <c r="C85" t="str">
        <f>VLOOKUP(A85,[2]Tabelle1!$A$1:$B$68,2,FALSE)</f>
        <v>Stade</v>
      </c>
      <c r="D85" s="55" t="s">
        <v>110</v>
      </c>
      <c r="E85" t="str">
        <f>VLOOKUP(A85,[3]Tabelle1!$A$2:$C$53,3,FALSE)</f>
        <v>K03359</v>
      </c>
      <c r="F85">
        <f>Tabelle4!H39</f>
        <v>4645</v>
      </c>
    </row>
    <row r="86" spans="1:6" x14ac:dyDescent="0.25">
      <c r="A86" s="55">
        <f>Tabelle4!B40</f>
        <v>360</v>
      </c>
      <c r="B86">
        <f>Tabelle4!A40</f>
        <v>2020</v>
      </c>
      <c r="C86" t="str">
        <f>VLOOKUP(A86,[2]Tabelle1!$A$1:$B$68,2,FALSE)</f>
        <v>Uelzen</v>
      </c>
      <c r="D86" s="55" t="s">
        <v>110</v>
      </c>
      <c r="E86" t="str">
        <f>VLOOKUP(A86,[3]Tabelle1!$A$2:$C$53,3,FALSE)</f>
        <v>K03360</v>
      </c>
      <c r="F86">
        <f>Tabelle4!H40</f>
        <v>1355</v>
      </c>
    </row>
    <row r="87" spans="1:6" x14ac:dyDescent="0.25">
      <c r="A87" s="55">
        <f>Tabelle4!B41</f>
        <v>361</v>
      </c>
      <c r="B87">
        <f>Tabelle4!A41</f>
        <v>2020</v>
      </c>
      <c r="C87" t="str">
        <f>VLOOKUP(A87,[2]Tabelle1!$A$1:$B$68,2,FALSE)</f>
        <v>Verden</v>
      </c>
      <c r="D87" s="55" t="s">
        <v>110</v>
      </c>
      <c r="E87" t="str">
        <f>VLOOKUP(A87,[3]Tabelle1!$A$2:$C$53,3,FALSE)</f>
        <v>K03361</v>
      </c>
      <c r="F87">
        <f>Tabelle4!H41</f>
        <v>2035</v>
      </c>
    </row>
    <row r="88" spans="1:6" x14ac:dyDescent="0.25">
      <c r="A88" s="55">
        <f>Tabelle4!B42</f>
        <v>4</v>
      </c>
      <c r="B88">
        <f>Tabelle4!A42</f>
        <v>2020</v>
      </c>
      <c r="C88" t="str">
        <f>VLOOKUP(A88,[2]Tabelle1!$A$1:$B$68,2,FALSE)</f>
        <v>Stat. Region Weser-Ems</v>
      </c>
      <c r="D88" s="55" t="s">
        <v>110</v>
      </c>
      <c r="E88" t="str">
        <f>VLOOKUP(A88,[3]Tabelle1!$A$2:$C$53,3,FALSE)</f>
        <v>K034</v>
      </c>
      <c r="F88">
        <f>Tabelle4!H42</f>
        <v>61580</v>
      </c>
    </row>
    <row r="89" spans="1:6" x14ac:dyDescent="0.25">
      <c r="A89" s="55">
        <f>Tabelle4!B43</f>
        <v>401</v>
      </c>
      <c r="B89">
        <f>Tabelle4!A43</f>
        <v>2020</v>
      </c>
      <c r="C89" t="str">
        <f>VLOOKUP(A89,[2]Tabelle1!$A$1:$B$68,2,FALSE)</f>
        <v>Delmenhorst  Stadt</v>
      </c>
      <c r="D89" s="55" t="s">
        <v>110</v>
      </c>
      <c r="E89" t="str">
        <f>VLOOKUP(A89,[3]Tabelle1!$A$2:$C$53,3,FALSE)</f>
        <v>K03401</v>
      </c>
      <c r="F89">
        <f>Tabelle4!H43</f>
        <v>2800</v>
      </c>
    </row>
    <row r="90" spans="1:6" x14ac:dyDescent="0.25">
      <c r="A90" s="55">
        <f>Tabelle4!B44</f>
        <v>402</v>
      </c>
      <c r="B90">
        <f>Tabelle4!A44</f>
        <v>2020</v>
      </c>
      <c r="C90" t="str">
        <f>VLOOKUP(A90,[2]Tabelle1!$A$1:$B$68,2,FALSE)</f>
        <v>Emden  Stadt</v>
      </c>
      <c r="D90" s="55" t="s">
        <v>110</v>
      </c>
      <c r="E90" t="str">
        <f>VLOOKUP(A90,[3]Tabelle1!$A$2:$C$53,3,FALSE)</f>
        <v>K03402</v>
      </c>
      <c r="F90">
        <f>Tabelle4!H44</f>
        <v>1410</v>
      </c>
    </row>
    <row r="91" spans="1:6" x14ac:dyDescent="0.25">
      <c r="A91" s="55">
        <f>Tabelle4!B45</f>
        <v>403</v>
      </c>
      <c r="B91">
        <f>Tabelle4!A45</f>
        <v>2020</v>
      </c>
      <c r="C91" t="str">
        <f>VLOOKUP(A91,[2]Tabelle1!$A$1:$B$68,2,FALSE)</f>
        <v>Oldenburg(Oldb)  Stadt</v>
      </c>
      <c r="D91" s="55" t="s">
        <v>110</v>
      </c>
      <c r="E91" t="str">
        <f>VLOOKUP(A91,[3]Tabelle1!$A$2:$C$53,3,FALSE)</f>
        <v>K03403</v>
      </c>
      <c r="F91">
        <f>Tabelle4!H45</f>
        <v>4170</v>
      </c>
    </row>
    <row r="92" spans="1:6" x14ac:dyDescent="0.25">
      <c r="A92" s="55">
        <f>Tabelle4!B46</f>
        <v>404</v>
      </c>
      <c r="B92">
        <f>Tabelle4!A46</f>
        <v>2020</v>
      </c>
      <c r="C92" t="str">
        <f>VLOOKUP(A92,[2]Tabelle1!$A$1:$B$68,2,FALSE)</f>
        <v>Osnabrück  Stadt</v>
      </c>
      <c r="D92" s="55" t="s">
        <v>110</v>
      </c>
      <c r="E92" t="str">
        <f>VLOOKUP(A92,[3]Tabelle1!$A$2:$C$53,3,FALSE)</f>
        <v>K03404</v>
      </c>
      <c r="F92">
        <f>Tabelle4!H46</f>
        <v>4985</v>
      </c>
    </row>
    <row r="93" spans="1:6" x14ac:dyDescent="0.25">
      <c r="A93" s="55">
        <f>Tabelle4!B47</f>
        <v>405</v>
      </c>
      <c r="B93">
        <f>Tabelle4!A47</f>
        <v>2020</v>
      </c>
      <c r="C93" t="str">
        <f>VLOOKUP(A93,[2]Tabelle1!$A$1:$B$68,2,FALSE)</f>
        <v>Wilhelmshaven  Stadt</v>
      </c>
      <c r="D93" s="55" t="s">
        <v>110</v>
      </c>
      <c r="E93" t="str">
        <f>VLOOKUP(A93,[3]Tabelle1!$A$2:$C$53,3,FALSE)</f>
        <v>K03405</v>
      </c>
      <c r="F93">
        <f>Tabelle4!H47</f>
        <v>1940</v>
      </c>
    </row>
    <row r="94" spans="1:6" x14ac:dyDescent="0.25">
      <c r="A94" s="55">
        <f>Tabelle4!B48</f>
        <v>451</v>
      </c>
      <c r="B94">
        <f>Tabelle4!A48</f>
        <v>2020</v>
      </c>
      <c r="C94" t="str">
        <f>VLOOKUP(A94,[2]Tabelle1!$A$1:$B$68,2,FALSE)</f>
        <v>Ammerland</v>
      </c>
      <c r="D94" s="55" t="s">
        <v>110</v>
      </c>
      <c r="E94" t="str">
        <f>VLOOKUP(A94,[3]Tabelle1!$A$2:$C$53,3,FALSE)</f>
        <v>K03451</v>
      </c>
      <c r="F94">
        <f>Tabelle4!H48</f>
        <v>1860</v>
      </c>
    </row>
    <row r="95" spans="1:6" x14ac:dyDescent="0.25">
      <c r="A95" s="55">
        <f>Tabelle4!B49</f>
        <v>452</v>
      </c>
      <c r="B95">
        <f>Tabelle4!A49</f>
        <v>2020</v>
      </c>
      <c r="C95" t="str">
        <f>VLOOKUP(A95,[2]Tabelle1!$A$1:$B$68,2,FALSE)</f>
        <v>Aurich</v>
      </c>
      <c r="D95" s="55" t="s">
        <v>110</v>
      </c>
      <c r="E95" t="str">
        <f>VLOOKUP(A95,[3]Tabelle1!$A$2:$C$53,3,FALSE)</f>
        <v>K03452</v>
      </c>
      <c r="F95">
        <f>Tabelle4!H49</f>
        <v>2485</v>
      </c>
    </row>
    <row r="96" spans="1:6" x14ac:dyDescent="0.25">
      <c r="A96" s="55">
        <f>Tabelle4!B50</f>
        <v>453</v>
      </c>
      <c r="B96">
        <f>Tabelle4!A50</f>
        <v>2020</v>
      </c>
      <c r="C96" t="str">
        <f>VLOOKUP(A96,[2]Tabelle1!$A$1:$B$68,2,FALSE)</f>
        <v>Cloppenburg</v>
      </c>
      <c r="D96" s="55" t="s">
        <v>110</v>
      </c>
      <c r="E96" t="str">
        <f>VLOOKUP(A96,[3]Tabelle1!$A$2:$C$53,3,FALSE)</f>
        <v>K03453</v>
      </c>
      <c r="F96">
        <f>Tabelle4!H50</f>
        <v>5320</v>
      </c>
    </row>
    <row r="97" spans="1:6" x14ac:dyDescent="0.25">
      <c r="A97" s="55">
        <f>Tabelle4!B51</f>
        <v>454</v>
      </c>
      <c r="B97">
        <f>Tabelle4!A51</f>
        <v>2020</v>
      </c>
      <c r="C97" t="str">
        <f>VLOOKUP(A97,[2]Tabelle1!$A$1:$B$68,2,FALSE)</f>
        <v>Emsland</v>
      </c>
      <c r="D97" s="55" t="s">
        <v>110</v>
      </c>
      <c r="E97" t="str">
        <f>VLOOKUP(A97,[3]Tabelle1!$A$2:$C$53,3,FALSE)</f>
        <v>K03454</v>
      </c>
      <c r="F97">
        <f>Tabelle4!H51</f>
        <v>10710</v>
      </c>
    </row>
    <row r="98" spans="1:6" x14ac:dyDescent="0.25">
      <c r="A98" s="55">
        <f>Tabelle4!B52</f>
        <v>455</v>
      </c>
      <c r="B98">
        <f>Tabelle4!A52</f>
        <v>2020</v>
      </c>
      <c r="C98" t="str">
        <f>VLOOKUP(A98,[2]Tabelle1!$A$1:$B$68,2,FALSE)</f>
        <v>Friesland</v>
      </c>
      <c r="D98" s="55" t="s">
        <v>110</v>
      </c>
      <c r="E98" t="str">
        <f>VLOOKUP(A98,[3]Tabelle1!$A$2:$C$53,3,FALSE)</f>
        <v>K03455</v>
      </c>
      <c r="F98">
        <f>Tabelle4!H52</f>
        <v>775</v>
      </c>
    </row>
    <row r="99" spans="1:6" x14ac:dyDescent="0.25">
      <c r="A99" s="55">
        <f>Tabelle4!B53</f>
        <v>456</v>
      </c>
      <c r="B99">
        <f>Tabelle4!A53</f>
        <v>2020</v>
      </c>
      <c r="C99" t="str">
        <f>VLOOKUP(A99,[2]Tabelle1!$A$1:$B$68,2,FALSE)</f>
        <v>Grafschaft Bentheim</v>
      </c>
      <c r="D99" s="55" t="s">
        <v>110</v>
      </c>
      <c r="E99" t="str">
        <f>VLOOKUP(A99,[3]Tabelle1!$A$2:$C$53,3,FALSE)</f>
        <v>K03456</v>
      </c>
      <c r="F99">
        <f>Tabelle4!H53</f>
        <v>3820</v>
      </c>
    </row>
    <row r="100" spans="1:6" x14ac:dyDescent="0.25">
      <c r="A100" s="55">
        <f>Tabelle4!B54</f>
        <v>457</v>
      </c>
      <c r="B100">
        <f>Tabelle4!A54</f>
        <v>2020</v>
      </c>
      <c r="C100" t="str">
        <f>VLOOKUP(A100,[2]Tabelle1!$A$1:$B$68,2,FALSE)</f>
        <v>Leer</v>
      </c>
      <c r="D100" s="55" t="s">
        <v>110</v>
      </c>
      <c r="E100" t="str">
        <f>VLOOKUP(A100,[3]Tabelle1!$A$2:$C$53,3,FALSE)</f>
        <v>K03457</v>
      </c>
      <c r="F100">
        <f>Tabelle4!H54</f>
        <v>3530</v>
      </c>
    </row>
    <row r="101" spans="1:6" x14ac:dyDescent="0.25">
      <c r="A101" s="55">
        <f>Tabelle4!B55</f>
        <v>458</v>
      </c>
      <c r="B101">
        <f>Tabelle4!A55</f>
        <v>2020</v>
      </c>
      <c r="C101" t="str">
        <f>VLOOKUP(A101,[2]Tabelle1!$A$1:$B$68,2,FALSE)</f>
        <v>Oldenburg</v>
      </c>
      <c r="D101" s="55" t="s">
        <v>110</v>
      </c>
      <c r="E101" t="str">
        <f>VLOOKUP(A101,[3]Tabelle1!$A$2:$C$53,3,FALSE)</f>
        <v>K03458</v>
      </c>
      <c r="F101">
        <f>Tabelle4!H55</f>
        <v>3275</v>
      </c>
    </row>
    <row r="102" spans="1:6" x14ac:dyDescent="0.25">
      <c r="A102" s="55">
        <f>Tabelle4!B56</f>
        <v>459</v>
      </c>
      <c r="B102">
        <f>Tabelle4!A56</f>
        <v>2020</v>
      </c>
      <c r="C102" t="str">
        <f>VLOOKUP(A102,[2]Tabelle1!$A$1:$B$68,2,FALSE)</f>
        <v>Osnabrück</v>
      </c>
      <c r="D102" s="55" t="s">
        <v>110</v>
      </c>
      <c r="E102" t="str">
        <f>VLOOKUP(A102,[3]Tabelle1!$A$2:$C$53,3,FALSE)</f>
        <v>K03459</v>
      </c>
      <c r="F102">
        <f>Tabelle4!H56</f>
        <v>7665</v>
      </c>
    </row>
    <row r="103" spans="1:6" x14ac:dyDescent="0.25">
      <c r="A103" s="55">
        <f>Tabelle4!B57</f>
        <v>460</v>
      </c>
      <c r="B103">
        <f>Tabelle4!A57</f>
        <v>2020</v>
      </c>
      <c r="C103" t="str">
        <f>VLOOKUP(A103,[2]Tabelle1!$A$1:$B$68,2,FALSE)</f>
        <v>Vechta</v>
      </c>
      <c r="D103" s="55" t="s">
        <v>110</v>
      </c>
      <c r="E103" t="str">
        <f>VLOOKUP(A103,[3]Tabelle1!$A$2:$C$53,3,FALSE)</f>
        <v>K03460</v>
      </c>
      <c r="F103">
        <f>Tabelle4!H57</f>
        <v>4635</v>
      </c>
    </row>
    <row r="104" spans="1:6" x14ac:dyDescent="0.25">
      <c r="A104" s="55">
        <f>Tabelle4!B58</f>
        <v>461</v>
      </c>
      <c r="B104">
        <f>Tabelle4!A58</f>
        <v>2020</v>
      </c>
      <c r="C104" t="str">
        <f>VLOOKUP(A104,[2]Tabelle1!$A$1:$B$68,2,FALSE)</f>
        <v>Wesermarsch</v>
      </c>
      <c r="D104" s="55" t="s">
        <v>110</v>
      </c>
      <c r="E104" t="str">
        <f>VLOOKUP(A104,[3]Tabelle1!$A$2:$C$53,3,FALSE)</f>
        <v>K03461</v>
      </c>
      <c r="F104">
        <f>Tabelle4!H58</f>
        <v>1465</v>
      </c>
    </row>
    <row r="105" spans="1:6" x14ac:dyDescent="0.25">
      <c r="A105" s="55">
        <f>Tabelle4!B59</f>
        <v>462</v>
      </c>
      <c r="B105">
        <f>Tabelle4!A59</f>
        <v>2020</v>
      </c>
      <c r="C105" t="str">
        <f>VLOOKUP(A105,[2]Tabelle1!$A$1:$B$68,2,FALSE)</f>
        <v>Wittmund</v>
      </c>
      <c r="D105" s="55" t="s">
        <v>110</v>
      </c>
      <c r="E105" t="str">
        <f>VLOOKUP(A105,[3]Tabelle1!$A$2:$C$53,3,FALSE)</f>
        <v>K03462</v>
      </c>
      <c r="F105">
        <f>Tabelle4!H59</f>
        <v>735</v>
      </c>
    </row>
    <row r="106" spans="1:6" x14ac:dyDescent="0.25">
      <c r="A106" s="55">
        <f>Tabelle4!B8</f>
        <v>0</v>
      </c>
      <c r="B106">
        <f>Tabelle4!A8</f>
        <v>2020</v>
      </c>
      <c r="C106" t="str">
        <f>VLOOKUP(A106,[2]Tabelle1!$A$1:$B$68,2,FALSE)</f>
        <v>Niedersachsen</v>
      </c>
      <c r="D106" s="55" t="s">
        <v>111</v>
      </c>
      <c r="E106" t="str">
        <f>VLOOKUP(A106,[3]Tabelle1!$A$2:$C$53,3,FALSE)</f>
        <v>K030</v>
      </c>
      <c r="F106">
        <f>Tabelle4!I8</f>
        <v>181085</v>
      </c>
    </row>
    <row r="107" spans="1:6" x14ac:dyDescent="0.25">
      <c r="A107" s="55">
        <f>Tabelle4!B9</f>
        <v>1</v>
      </c>
      <c r="B107">
        <f>Tabelle4!A9</f>
        <v>2020</v>
      </c>
      <c r="C107" t="str">
        <f>VLOOKUP(A107,[2]Tabelle1!$A$1:$B$68,2,FALSE)</f>
        <v>Stat. Region Braunschweig</v>
      </c>
      <c r="D107" s="55" t="s">
        <v>111</v>
      </c>
      <c r="E107" t="str">
        <f>VLOOKUP(A107,[3]Tabelle1!$A$2:$C$53,3,FALSE)</f>
        <v>K031</v>
      </c>
      <c r="F107">
        <f>Tabelle4!I9</f>
        <v>34445</v>
      </c>
    </row>
    <row r="108" spans="1:6" x14ac:dyDescent="0.25">
      <c r="A108" s="55">
        <f>Tabelle4!B10</f>
        <v>101</v>
      </c>
      <c r="B108">
        <f>Tabelle4!A10</f>
        <v>2020</v>
      </c>
      <c r="C108" t="str">
        <f>VLOOKUP(A108,[2]Tabelle1!$A$1:$B$68,2,FALSE)</f>
        <v>Braunschweig  Stadt</v>
      </c>
      <c r="D108" s="55" t="s">
        <v>111</v>
      </c>
      <c r="E108" t="str">
        <f>VLOOKUP(A108,[3]Tabelle1!$A$2:$C$53,3,FALSE)</f>
        <v>K03101</v>
      </c>
      <c r="F108">
        <f>Tabelle4!I10</f>
        <v>5345</v>
      </c>
    </row>
    <row r="109" spans="1:6" x14ac:dyDescent="0.25">
      <c r="A109" s="55">
        <f>Tabelle4!B11</f>
        <v>102</v>
      </c>
      <c r="B109">
        <f>Tabelle4!A11</f>
        <v>2020</v>
      </c>
      <c r="C109" t="str">
        <f>VLOOKUP(A109,[2]Tabelle1!$A$1:$B$68,2,FALSE)</f>
        <v>Salzgitter  Stadt</v>
      </c>
      <c r="D109" s="55" t="s">
        <v>111</v>
      </c>
      <c r="E109" t="str">
        <f>VLOOKUP(A109,[3]Tabelle1!$A$2:$C$53,3,FALSE)</f>
        <v>K03102</v>
      </c>
      <c r="F109">
        <f>Tabelle4!I11</f>
        <v>5400</v>
      </c>
    </row>
    <row r="110" spans="1:6" x14ac:dyDescent="0.25">
      <c r="A110" s="55">
        <f>Tabelle4!B12</f>
        <v>103</v>
      </c>
      <c r="B110">
        <f>Tabelle4!A12</f>
        <v>2020</v>
      </c>
      <c r="C110" t="str">
        <f>VLOOKUP(A110,[2]Tabelle1!$A$1:$B$68,2,FALSE)</f>
        <v>Wolfsburg  Stadt</v>
      </c>
      <c r="D110" s="55" t="s">
        <v>111</v>
      </c>
      <c r="E110" t="str">
        <f>VLOOKUP(A110,[3]Tabelle1!$A$2:$C$53,3,FALSE)</f>
        <v>K03103</v>
      </c>
      <c r="F110">
        <f>Tabelle4!I12</f>
        <v>3410</v>
      </c>
    </row>
    <row r="111" spans="1:6" x14ac:dyDescent="0.25">
      <c r="A111" s="55">
        <f>Tabelle4!B13</f>
        <v>151</v>
      </c>
      <c r="B111">
        <f>Tabelle4!A13</f>
        <v>2020</v>
      </c>
      <c r="C111" t="str">
        <f>VLOOKUP(A111,[2]Tabelle1!$A$1:$B$68,2,FALSE)</f>
        <v>Gifhorn</v>
      </c>
      <c r="D111" s="55" t="s">
        <v>111</v>
      </c>
      <c r="E111" t="str">
        <f>VLOOKUP(A111,[3]Tabelle1!$A$2:$C$53,3,FALSE)</f>
        <v>K03151</v>
      </c>
      <c r="F111">
        <f>Tabelle4!I13</f>
        <v>2420</v>
      </c>
    </row>
    <row r="112" spans="1:6" x14ac:dyDescent="0.25">
      <c r="A112" s="55">
        <f>Tabelle4!B14</f>
        <v>153</v>
      </c>
      <c r="B112">
        <f>Tabelle4!A14</f>
        <v>2020</v>
      </c>
      <c r="C112" t="str">
        <f>VLOOKUP(A112,[2]Tabelle1!$A$1:$B$68,2,FALSE)</f>
        <v>Goslar</v>
      </c>
      <c r="D112" s="55" t="s">
        <v>111</v>
      </c>
      <c r="E112" t="str">
        <f>VLOOKUP(A112,[3]Tabelle1!$A$2:$C$53,3,FALSE)</f>
        <v>K03153</v>
      </c>
      <c r="F112">
        <f>Tabelle4!I14</f>
        <v>3265</v>
      </c>
    </row>
    <row r="113" spans="1:6" x14ac:dyDescent="0.25">
      <c r="A113" s="55">
        <f>Tabelle4!B15</f>
        <v>154</v>
      </c>
      <c r="B113">
        <f>Tabelle4!A15</f>
        <v>2020</v>
      </c>
      <c r="C113" t="str">
        <f>VLOOKUP(A113,[2]Tabelle1!$A$1:$B$68,2,FALSE)</f>
        <v>Helmstedt</v>
      </c>
      <c r="D113" s="55" t="s">
        <v>111</v>
      </c>
      <c r="E113" t="str">
        <f>VLOOKUP(A113,[3]Tabelle1!$A$2:$C$53,3,FALSE)</f>
        <v>K03154</v>
      </c>
      <c r="F113">
        <f>Tabelle4!I15</f>
        <v>1445</v>
      </c>
    </row>
    <row r="114" spans="1:6" x14ac:dyDescent="0.25">
      <c r="A114" s="55">
        <f>Tabelle4!B16</f>
        <v>155</v>
      </c>
      <c r="B114">
        <f>Tabelle4!A16</f>
        <v>2020</v>
      </c>
      <c r="C114" t="str">
        <f>VLOOKUP(A114,[2]Tabelle1!$A$1:$B$68,2,FALSE)</f>
        <v>Northeim</v>
      </c>
      <c r="D114" s="55" t="s">
        <v>111</v>
      </c>
      <c r="E114" t="str">
        <f>VLOOKUP(A114,[3]Tabelle1!$A$2:$C$53,3,FALSE)</f>
        <v>K03155</v>
      </c>
      <c r="F114">
        <f>Tabelle4!I16</f>
        <v>2130</v>
      </c>
    </row>
    <row r="115" spans="1:6" x14ac:dyDescent="0.25">
      <c r="A115" s="55">
        <f>Tabelle4!B17</f>
        <v>157</v>
      </c>
      <c r="B115">
        <f>Tabelle4!A17</f>
        <v>2020</v>
      </c>
      <c r="C115" t="str">
        <f>VLOOKUP(A115,[2]Tabelle1!$A$1:$B$68,2,FALSE)</f>
        <v>Peine</v>
      </c>
      <c r="D115" s="55" t="s">
        <v>111</v>
      </c>
      <c r="E115" t="str">
        <f>VLOOKUP(A115,[3]Tabelle1!$A$2:$C$53,3,FALSE)</f>
        <v>K03157</v>
      </c>
      <c r="F115">
        <f>Tabelle4!I17</f>
        <v>2655</v>
      </c>
    </row>
    <row r="116" spans="1:6" x14ac:dyDescent="0.25">
      <c r="A116" s="55">
        <f>Tabelle4!B18</f>
        <v>158</v>
      </c>
      <c r="B116">
        <f>Tabelle4!A18</f>
        <v>2020</v>
      </c>
      <c r="C116" t="str">
        <f>VLOOKUP(A116,[2]Tabelle1!$A$1:$B$68,2,FALSE)</f>
        <v>Wolfenbüttel</v>
      </c>
      <c r="D116" s="55" t="s">
        <v>111</v>
      </c>
      <c r="E116" t="str">
        <f>VLOOKUP(A116,[3]Tabelle1!$A$2:$C$53,3,FALSE)</f>
        <v>K03158</v>
      </c>
      <c r="F116">
        <f>Tabelle4!I18</f>
        <v>1910</v>
      </c>
    </row>
    <row r="117" spans="1:6" x14ac:dyDescent="0.25">
      <c r="A117" s="55">
        <f>Tabelle4!B19</f>
        <v>159</v>
      </c>
      <c r="B117">
        <f>Tabelle4!A19</f>
        <v>2020</v>
      </c>
      <c r="C117" t="str">
        <f>VLOOKUP(A117,[2]Tabelle1!$A$1:$B$68,2,FALSE)</f>
        <v>Göttingen</v>
      </c>
      <c r="D117" s="55" t="s">
        <v>111</v>
      </c>
      <c r="E117" t="str">
        <f>VLOOKUP(A117,[3]Tabelle1!$A$2:$C$53,3,FALSE)</f>
        <v>K03159</v>
      </c>
      <c r="F117">
        <f>Tabelle4!I19</f>
        <v>6460</v>
      </c>
    </row>
    <row r="118" spans="1:6" x14ac:dyDescent="0.25">
      <c r="A118" s="55">
        <f>Tabelle4!B20</f>
        <v>2</v>
      </c>
      <c r="B118">
        <f>Tabelle4!A20</f>
        <v>2020</v>
      </c>
      <c r="C118" t="str">
        <f>VLOOKUP(A118,[2]Tabelle1!$A$1:$B$68,2,FALSE)</f>
        <v>Stat. Region Hannover</v>
      </c>
      <c r="D118" s="55" t="s">
        <v>111</v>
      </c>
      <c r="E118" t="str">
        <f>VLOOKUP(A118,[3]Tabelle1!$A$2:$C$53,3,FALSE)</f>
        <v>K032</v>
      </c>
      <c r="F118">
        <f>Tabelle4!I20</f>
        <v>55350</v>
      </c>
    </row>
    <row r="119" spans="1:6" x14ac:dyDescent="0.25">
      <c r="A119" s="55">
        <f>Tabelle4!B21</f>
        <v>241</v>
      </c>
      <c r="B119">
        <f>Tabelle4!A21</f>
        <v>2020</v>
      </c>
      <c r="C119" t="str">
        <f>VLOOKUP(A119,[2]Tabelle1!$A$1:$B$68,2,FALSE)</f>
        <v>Hannover  Region</v>
      </c>
      <c r="D119" s="55" t="s">
        <v>111</v>
      </c>
      <c r="E119" t="str">
        <f>VLOOKUP(A119,[3]Tabelle1!$A$2:$C$53,3,FALSE)</f>
        <v>K03241</v>
      </c>
      <c r="F119">
        <f>Tabelle4!I21</f>
        <v>34440</v>
      </c>
    </row>
    <row r="120" spans="1:6" x14ac:dyDescent="0.25">
      <c r="A120" s="55">
        <f>Tabelle4!B22</f>
        <v>241001</v>
      </c>
      <c r="B120">
        <f>Tabelle4!A22</f>
        <v>2020</v>
      </c>
      <c r="C120" t="str">
        <f>VLOOKUP(A120,[2]Tabelle1!$A$1:$B$68,2,FALSE)</f>
        <v xml:space="preserve">   dav. Hannover  Lhst.</v>
      </c>
      <c r="D120" s="55" t="s">
        <v>111</v>
      </c>
      <c r="E120" t="str">
        <f>VLOOKUP(A120,[3]Tabelle1!$A$2:$C$53,3,FALSE)</f>
        <v>K03241001</v>
      </c>
      <c r="F120">
        <f>Tabelle4!I22</f>
        <v>18815</v>
      </c>
    </row>
    <row r="121" spans="1:6" x14ac:dyDescent="0.25">
      <c r="A121" s="55">
        <f>Tabelle4!B23</f>
        <v>241999</v>
      </c>
      <c r="B121">
        <f>Tabelle4!A23</f>
        <v>2020</v>
      </c>
      <c r="C121" t="str">
        <f>VLOOKUP(A121,[2]Tabelle1!$A$1:$B$68,2,FALSE)</f>
        <v xml:space="preserve">   dav. Hannover  Umland</v>
      </c>
      <c r="D121" s="55" t="s">
        <v>111</v>
      </c>
      <c r="E121" t="str">
        <f>VLOOKUP(A121,[3]Tabelle1!$A$2:$C$53,3,FALSE)</f>
        <v>K03241999</v>
      </c>
      <c r="F121">
        <f>Tabelle4!I23</f>
        <v>15625</v>
      </c>
    </row>
    <row r="122" spans="1:6" x14ac:dyDescent="0.25">
      <c r="A122" s="55">
        <f>Tabelle4!B24</f>
        <v>251</v>
      </c>
      <c r="B122">
        <f>Tabelle4!A24</f>
        <v>2020</v>
      </c>
      <c r="C122" t="str">
        <f>VLOOKUP(A122,[2]Tabelle1!$A$1:$B$68,2,FALSE)</f>
        <v>Diepholz</v>
      </c>
      <c r="D122" s="55" t="s">
        <v>111</v>
      </c>
      <c r="E122" t="str">
        <f>VLOOKUP(A122,[3]Tabelle1!$A$2:$C$53,3,FALSE)</f>
        <v>K03251</v>
      </c>
      <c r="F122">
        <f>Tabelle4!I24</f>
        <v>4370</v>
      </c>
    </row>
    <row r="123" spans="1:6" x14ac:dyDescent="0.25">
      <c r="A123" s="55">
        <f>Tabelle4!B25</f>
        <v>252</v>
      </c>
      <c r="B123">
        <f>Tabelle4!A25</f>
        <v>2020</v>
      </c>
      <c r="C123" t="str">
        <f>VLOOKUP(A123,[2]Tabelle1!$A$1:$B$68,2,FALSE)</f>
        <v>Hameln-Pyrmont</v>
      </c>
      <c r="D123" s="55" t="s">
        <v>111</v>
      </c>
      <c r="E123" t="str">
        <f>VLOOKUP(A123,[3]Tabelle1!$A$2:$C$53,3,FALSE)</f>
        <v>K03252</v>
      </c>
      <c r="F123">
        <f>Tabelle4!I25</f>
        <v>3995</v>
      </c>
    </row>
    <row r="124" spans="1:6" x14ac:dyDescent="0.25">
      <c r="A124" s="55">
        <f>Tabelle4!B26</f>
        <v>254</v>
      </c>
      <c r="B124">
        <f>Tabelle4!A26</f>
        <v>2020</v>
      </c>
      <c r="C124" t="str">
        <f>VLOOKUP(A124,[2]Tabelle1!$A$1:$B$68,2,FALSE)</f>
        <v>Hildesheim</v>
      </c>
      <c r="D124" s="55" t="s">
        <v>111</v>
      </c>
      <c r="E124" t="str">
        <f>VLOOKUP(A124,[3]Tabelle1!$A$2:$C$53,3,FALSE)</f>
        <v>K03254</v>
      </c>
      <c r="F124">
        <f>Tabelle4!I26</f>
        <v>5460</v>
      </c>
    </row>
    <row r="125" spans="1:6" x14ac:dyDescent="0.25">
      <c r="A125" s="55">
        <f>Tabelle4!B27</f>
        <v>255</v>
      </c>
      <c r="B125">
        <f>Tabelle4!A27</f>
        <v>2020</v>
      </c>
      <c r="C125" t="str">
        <f>VLOOKUP(A125,[2]Tabelle1!$A$1:$B$68,2,FALSE)</f>
        <v>Holzminden</v>
      </c>
      <c r="D125" s="55" t="s">
        <v>111</v>
      </c>
      <c r="E125" t="str">
        <f>VLOOKUP(A125,[3]Tabelle1!$A$2:$C$53,3,FALSE)</f>
        <v>K03255</v>
      </c>
      <c r="F125">
        <f>Tabelle4!I27</f>
        <v>955</v>
      </c>
    </row>
    <row r="126" spans="1:6" x14ac:dyDescent="0.25">
      <c r="A126" s="55">
        <f>Tabelle4!B28</f>
        <v>256</v>
      </c>
      <c r="B126" t="str">
        <f>Tabelle4!A28</f>
        <v>2020</v>
      </c>
      <c r="C126" t="str">
        <f>VLOOKUP(A126,[2]Tabelle1!$A$1:$B$68,2,FALSE)</f>
        <v>Nienburg (Weser)</v>
      </c>
      <c r="D126" s="55" t="s">
        <v>111</v>
      </c>
      <c r="E126" t="str">
        <f>VLOOKUP(A126,[3]Tabelle1!$A$2:$C$53,3,FALSE)</f>
        <v>K03256</v>
      </c>
      <c r="F126">
        <f>Tabelle4!I28</f>
        <v>2935</v>
      </c>
    </row>
    <row r="127" spans="1:6" x14ac:dyDescent="0.25">
      <c r="A127" s="55">
        <f>Tabelle4!B29</f>
        <v>257</v>
      </c>
      <c r="B127" t="str">
        <f>Tabelle4!A29</f>
        <v>2020</v>
      </c>
      <c r="C127" t="str">
        <f>VLOOKUP(A127,[2]Tabelle1!$A$1:$B$68,2,FALSE)</f>
        <v>Schaumburg</v>
      </c>
      <c r="D127" s="55" t="s">
        <v>111</v>
      </c>
      <c r="E127" t="str">
        <f>VLOOKUP(A127,[3]Tabelle1!$A$2:$C$53,3,FALSE)</f>
        <v>K03257</v>
      </c>
      <c r="F127">
        <f>Tabelle4!I29</f>
        <v>3190</v>
      </c>
    </row>
    <row r="128" spans="1:6" x14ac:dyDescent="0.25">
      <c r="A128" s="55">
        <f>Tabelle4!B30</f>
        <v>3</v>
      </c>
      <c r="B128">
        <f>Tabelle4!A30</f>
        <v>2020</v>
      </c>
      <c r="C128" t="str">
        <f>VLOOKUP(A128,[2]Tabelle1!$A$1:$B$68,2,FALSE)</f>
        <v>Stat. Region Lüneburg</v>
      </c>
      <c r="D128" s="55" t="s">
        <v>111</v>
      </c>
      <c r="E128" t="str">
        <f>VLOOKUP(A128,[3]Tabelle1!$A$2:$C$53,3,FALSE)</f>
        <v>K033</v>
      </c>
      <c r="F128">
        <f>Tabelle4!I30</f>
        <v>30525</v>
      </c>
    </row>
    <row r="129" spans="1:6" x14ac:dyDescent="0.25">
      <c r="A129" s="55">
        <f>Tabelle4!B31</f>
        <v>351</v>
      </c>
      <c r="B129">
        <f>Tabelle4!A31</f>
        <v>2020</v>
      </c>
      <c r="C129" t="str">
        <f>VLOOKUP(A129,[2]Tabelle1!$A$1:$B$68,2,FALSE)</f>
        <v>Celle</v>
      </c>
      <c r="D129" s="55" t="s">
        <v>111</v>
      </c>
      <c r="E129" t="str">
        <f>VLOOKUP(A129,[3]Tabelle1!$A$2:$C$53,3,FALSE)</f>
        <v>K03351</v>
      </c>
      <c r="F129">
        <f>Tabelle4!I31</f>
        <v>3720</v>
      </c>
    </row>
    <row r="130" spans="1:6" x14ac:dyDescent="0.25">
      <c r="A130" s="55">
        <f>Tabelle4!B32</f>
        <v>352</v>
      </c>
      <c r="B130">
        <f>Tabelle4!A32</f>
        <v>2020</v>
      </c>
      <c r="C130" t="str">
        <f>VLOOKUP(A130,[2]Tabelle1!$A$1:$B$68,2,FALSE)</f>
        <v>Cuxhaven</v>
      </c>
      <c r="D130" s="55" t="s">
        <v>111</v>
      </c>
      <c r="E130" t="str">
        <f>VLOOKUP(A130,[3]Tabelle1!$A$2:$C$53,3,FALSE)</f>
        <v>K03352</v>
      </c>
      <c r="F130">
        <f>Tabelle4!I32</f>
        <v>2900</v>
      </c>
    </row>
    <row r="131" spans="1:6" x14ac:dyDescent="0.25">
      <c r="A131" s="55">
        <f>Tabelle4!B33</f>
        <v>353</v>
      </c>
      <c r="B131">
        <f>Tabelle4!A33</f>
        <v>2020</v>
      </c>
      <c r="C131" t="str">
        <f>VLOOKUP(A131,[2]Tabelle1!$A$1:$B$68,2,FALSE)</f>
        <v>Harburg</v>
      </c>
      <c r="D131" s="55" t="s">
        <v>111</v>
      </c>
      <c r="E131" t="str">
        <f>VLOOKUP(A131,[3]Tabelle1!$A$2:$C$53,3,FALSE)</f>
        <v>K03353</v>
      </c>
      <c r="F131">
        <f>Tabelle4!I33</f>
        <v>4110</v>
      </c>
    </row>
    <row r="132" spans="1:6" x14ac:dyDescent="0.25">
      <c r="A132" s="55">
        <f>Tabelle4!B34</f>
        <v>354</v>
      </c>
      <c r="B132">
        <f>Tabelle4!A34</f>
        <v>2020</v>
      </c>
      <c r="C132" t="str">
        <f>VLOOKUP(A132,[2]Tabelle1!$A$1:$B$68,2,FALSE)</f>
        <v>Lüchow-Dannenberg</v>
      </c>
      <c r="D132" s="55" t="s">
        <v>111</v>
      </c>
      <c r="E132" t="str">
        <f>VLOOKUP(A132,[3]Tabelle1!$A$2:$C$53,3,FALSE)</f>
        <v>K03354</v>
      </c>
      <c r="F132">
        <f>Tabelle4!I34</f>
        <v>605</v>
      </c>
    </row>
    <row r="133" spans="1:6" x14ac:dyDescent="0.25">
      <c r="A133" s="55">
        <f>Tabelle4!B35</f>
        <v>355</v>
      </c>
      <c r="B133">
        <f>Tabelle4!A35</f>
        <v>2020</v>
      </c>
      <c r="C133" t="str">
        <f>VLOOKUP(A133,[2]Tabelle1!$A$1:$B$68,2,FALSE)</f>
        <v>Lüneburg</v>
      </c>
      <c r="D133" s="55" t="s">
        <v>111</v>
      </c>
      <c r="E133" t="str">
        <f>VLOOKUP(A133,[3]Tabelle1!$A$2:$C$53,3,FALSE)</f>
        <v>K03355</v>
      </c>
      <c r="F133">
        <f>Tabelle4!I35</f>
        <v>3540</v>
      </c>
    </row>
    <row r="134" spans="1:6" x14ac:dyDescent="0.25">
      <c r="A134" s="55">
        <f>Tabelle4!B36</f>
        <v>356</v>
      </c>
      <c r="B134">
        <f>Tabelle4!A36</f>
        <v>2020</v>
      </c>
      <c r="C134" t="str">
        <f>VLOOKUP(A134,[2]Tabelle1!$A$1:$B$68,2,FALSE)</f>
        <v>Osterholz</v>
      </c>
      <c r="D134" s="55" t="s">
        <v>111</v>
      </c>
      <c r="E134" t="str">
        <f>VLOOKUP(A134,[3]Tabelle1!$A$2:$C$53,3,FALSE)</f>
        <v>K03356</v>
      </c>
      <c r="F134">
        <f>Tabelle4!I36</f>
        <v>1530</v>
      </c>
    </row>
    <row r="135" spans="1:6" x14ac:dyDescent="0.25">
      <c r="A135" s="55">
        <f>Tabelle4!B37</f>
        <v>357</v>
      </c>
      <c r="B135">
        <f>Tabelle4!A37</f>
        <v>2020</v>
      </c>
      <c r="C135" t="str">
        <f>VLOOKUP(A135,[2]Tabelle1!$A$1:$B$68,2,FALSE)</f>
        <v>Rotenburg (Wümme)</v>
      </c>
      <c r="D135" s="55" t="s">
        <v>111</v>
      </c>
      <c r="E135" t="str">
        <f>VLOOKUP(A135,[3]Tabelle1!$A$2:$C$53,3,FALSE)</f>
        <v>K03357</v>
      </c>
      <c r="F135">
        <f>Tabelle4!I37</f>
        <v>2585</v>
      </c>
    </row>
    <row r="136" spans="1:6" x14ac:dyDescent="0.25">
      <c r="A136" s="55">
        <f>Tabelle4!B38</f>
        <v>358</v>
      </c>
      <c r="B136">
        <f>Tabelle4!A38</f>
        <v>2020</v>
      </c>
      <c r="C136" t="str">
        <f>VLOOKUP(A136,[2]Tabelle1!$A$1:$B$68,2,FALSE)</f>
        <v>Heidekreis</v>
      </c>
      <c r="D136" s="55" t="s">
        <v>111</v>
      </c>
      <c r="E136" t="str">
        <f>VLOOKUP(A136,[3]Tabelle1!$A$2:$C$53,3,FALSE)</f>
        <v>K03358</v>
      </c>
      <c r="F136">
        <f>Tabelle4!I38</f>
        <v>2495</v>
      </c>
    </row>
    <row r="137" spans="1:6" x14ac:dyDescent="0.25">
      <c r="A137" s="55">
        <f>Tabelle4!B39</f>
        <v>359</v>
      </c>
      <c r="B137">
        <f>Tabelle4!A39</f>
        <v>2020</v>
      </c>
      <c r="C137" t="str">
        <f>VLOOKUP(A137,[2]Tabelle1!$A$1:$B$68,2,FALSE)</f>
        <v>Stade</v>
      </c>
      <c r="D137" s="55" t="s">
        <v>111</v>
      </c>
      <c r="E137" t="str">
        <f>VLOOKUP(A137,[3]Tabelle1!$A$2:$C$53,3,FALSE)</f>
        <v>K03359</v>
      </c>
      <c r="F137">
        <f>Tabelle4!I39</f>
        <v>4925</v>
      </c>
    </row>
    <row r="138" spans="1:6" x14ac:dyDescent="0.25">
      <c r="A138" s="55">
        <f>Tabelle4!B40</f>
        <v>360</v>
      </c>
      <c r="B138">
        <f>Tabelle4!A40</f>
        <v>2020</v>
      </c>
      <c r="C138" t="str">
        <f>VLOOKUP(A138,[2]Tabelle1!$A$1:$B$68,2,FALSE)</f>
        <v>Uelzen</v>
      </c>
      <c r="D138" s="55" t="s">
        <v>111</v>
      </c>
      <c r="E138" t="str">
        <f>VLOOKUP(A138,[3]Tabelle1!$A$2:$C$53,3,FALSE)</f>
        <v>K03360</v>
      </c>
      <c r="F138">
        <f>Tabelle4!I40</f>
        <v>1450</v>
      </c>
    </row>
    <row r="139" spans="1:6" x14ac:dyDescent="0.25">
      <c r="A139" s="55">
        <f>Tabelle4!B41</f>
        <v>361</v>
      </c>
      <c r="B139">
        <f>Tabelle4!A41</f>
        <v>2020</v>
      </c>
      <c r="C139" t="str">
        <f>VLOOKUP(A139,[2]Tabelle1!$A$1:$B$68,2,FALSE)</f>
        <v>Verden</v>
      </c>
      <c r="D139" s="55" t="s">
        <v>111</v>
      </c>
      <c r="E139" t="str">
        <f>VLOOKUP(A139,[3]Tabelle1!$A$2:$C$53,3,FALSE)</f>
        <v>K03361</v>
      </c>
      <c r="F139">
        <f>Tabelle4!I41</f>
        <v>2665</v>
      </c>
    </row>
    <row r="140" spans="1:6" x14ac:dyDescent="0.25">
      <c r="A140" s="55">
        <f>Tabelle4!B42</f>
        <v>4</v>
      </c>
      <c r="B140">
        <f>Tabelle4!A42</f>
        <v>2020</v>
      </c>
      <c r="C140" t="str">
        <f>VLOOKUP(A140,[2]Tabelle1!$A$1:$B$68,2,FALSE)</f>
        <v>Stat. Region Weser-Ems</v>
      </c>
      <c r="D140" s="55" t="s">
        <v>111</v>
      </c>
      <c r="E140" t="str">
        <f>VLOOKUP(A140,[3]Tabelle1!$A$2:$C$53,3,FALSE)</f>
        <v>K034</v>
      </c>
      <c r="F140">
        <f>Tabelle4!I42</f>
        <v>60765</v>
      </c>
    </row>
    <row r="141" spans="1:6" x14ac:dyDescent="0.25">
      <c r="A141" s="55">
        <f>Tabelle4!B43</f>
        <v>401</v>
      </c>
      <c r="B141">
        <f>Tabelle4!A43</f>
        <v>2020</v>
      </c>
      <c r="C141" t="str">
        <f>VLOOKUP(A141,[2]Tabelle1!$A$1:$B$68,2,FALSE)</f>
        <v>Delmenhorst  Stadt</v>
      </c>
      <c r="D141" s="55" t="s">
        <v>111</v>
      </c>
      <c r="E141" t="str">
        <f>VLOOKUP(A141,[3]Tabelle1!$A$2:$C$53,3,FALSE)</f>
        <v>K03401</v>
      </c>
      <c r="F141">
        <f>Tabelle4!I43</f>
        <v>3480</v>
      </c>
    </row>
    <row r="142" spans="1:6" x14ac:dyDescent="0.25">
      <c r="A142" s="55">
        <f>Tabelle4!B44</f>
        <v>402</v>
      </c>
      <c r="B142">
        <f>Tabelle4!A44</f>
        <v>2020</v>
      </c>
      <c r="C142" t="str">
        <f>VLOOKUP(A142,[2]Tabelle1!$A$1:$B$68,2,FALSE)</f>
        <v>Emden  Stadt</v>
      </c>
      <c r="D142" s="55" t="s">
        <v>111</v>
      </c>
      <c r="E142" t="str">
        <f>VLOOKUP(A142,[3]Tabelle1!$A$2:$C$53,3,FALSE)</f>
        <v>K03402</v>
      </c>
      <c r="F142">
        <f>Tabelle4!I44</f>
        <v>1590</v>
      </c>
    </row>
    <row r="143" spans="1:6" x14ac:dyDescent="0.25">
      <c r="A143" s="55">
        <f>Tabelle4!B45</f>
        <v>403</v>
      </c>
      <c r="B143">
        <f>Tabelle4!A45</f>
        <v>2020</v>
      </c>
      <c r="C143" t="str">
        <f>VLOOKUP(A143,[2]Tabelle1!$A$1:$B$68,2,FALSE)</f>
        <v>Oldenburg(Oldb)  Stadt</v>
      </c>
      <c r="D143" s="55" t="s">
        <v>111</v>
      </c>
      <c r="E143" t="str">
        <f>VLOOKUP(A143,[3]Tabelle1!$A$2:$C$53,3,FALSE)</f>
        <v>K03403</v>
      </c>
      <c r="F143">
        <f>Tabelle4!I45</f>
        <v>5025</v>
      </c>
    </row>
    <row r="144" spans="1:6" x14ac:dyDescent="0.25">
      <c r="A144" s="55">
        <f>Tabelle4!B46</f>
        <v>404</v>
      </c>
      <c r="B144">
        <f>Tabelle4!A46</f>
        <v>2020</v>
      </c>
      <c r="C144" t="str">
        <f>VLOOKUP(A144,[2]Tabelle1!$A$1:$B$68,2,FALSE)</f>
        <v>Osnabrück  Stadt</v>
      </c>
      <c r="D144" s="55" t="s">
        <v>111</v>
      </c>
      <c r="E144" t="str">
        <f>VLOOKUP(A144,[3]Tabelle1!$A$2:$C$53,3,FALSE)</f>
        <v>K03404</v>
      </c>
      <c r="F144">
        <f>Tabelle4!I46</f>
        <v>5415</v>
      </c>
    </row>
    <row r="145" spans="1:6" x14ac:dyDescent="0.25">
      <c r="A145" s="55">
        <f>Tabelle4!B47</f>
        <v>405</v>
      </c>
      <c r="B145">
        <f>Tabelle4!A47</f>
        <v>2020</v>
      </c>
      <c r="C145" t="str">
        <f>VLOOKUP(A145,[2]Tabelle1!$A$1:$B$68,2,FALSE)</f>
        <v>Wilhelmshaven  Stadt</v>
      </c>
      <c r="D145" s="55" t="s">
        <v>111</v>
      </c>
      <c r="E145" t="str">
        <f>VLOOKUP(A145,[3]Tabelle1!$A$2:$C$53,3,FALSE)</f>
        <v>K03405</v>
      </c>
      <c r="F145">
        <f>Tabelle4!I47</f>
        <v>2975</v>
      </c>
    </row>
    <row r="146" spans="1:6" x14ac:dyDescent="0.25">
      <c r="A146" s="55">
        <f>Tabelle4!B48</f>
        <v>451</v>
      </c>
      <c r="B146">
        <f>Tabelle4!A48</f>
        <v>2020</v>
      </c>
      <c r="C146" t="str">
        <f>VLOOKUP(A146,[2]Tabelle1!$A$1:$B$68,2,FALSE)</f>
        <v>Ammerland</v>
      </c>
      <c r="D146" s="55" t="s">
        <v>111</v>
      </c>
      <c r="E146" t="str">
        <f>VLOOKUP(A146,[3]Tabelle1!$A$2:$C$53,3,FALSE)</f>
        <v>K03451</v>
      </c>
      <c r="F146">
        <f>Tabelle4!I48</f>
        <v>2325</v>
      </c>
    </row>
    <row r="147" spans="1:6" x14ac:dyDescent="0.25">
      <c r="A147" s="55">
        <f>Tabelle4!B49</f>
        <v>452</v>
      </c>
      <c r="B147">
        <f>Tabelle4!A49</f>
        <v>2020</v>
      </c>
      <c r="C147" t="str">
        <f>VLOOKUP(A147,[2]Tabelle1!$A$1:$B$68,2,FALSE)</f>
        <v>Aurich</v>
      </c>
      <c r="D147" s="55" t="s">
        <v>111</v>
      </c>
      <c r="E147" t="str">
        <f>VLOOKUP(A147,[3]Tabelle1!$A$2:$C$53,3,FALSE)</f>
        <v>K03452</v>
      </c>
      <c r="F147">
        <f>Tabelle4!I49</f>
        <v>2810</v>
      </c>
    </row>
    <row r="148" spans="1:6" x14ac:dyDescent="0.25">
      <c r="A148" s="55">
        <f>Tabelle4!B50</f>
        <v>453</v>
      </c>
      <c r="B148">
        <f>Tabelle4!A50</f>
        <v>2020</v>
      </c>
      <c r="C148" t="str">
        <f>VLOOKUP(A148,[2]Tabelle1!$A$1:$B$68,2,FALSE)</f>
        <v>Cloppenburg</v>
      </c>
      <c r="D148" s="55" t="s">
        <v>111</v>
      </c>
      <c r="E148" t="str">
        <f>VLOOKUP(A148,[3]Tabelle1!$A$2:$C$53,3,FALSE)</f>
        <v>K03453</v>
      </c>
      <c r="F148">
        <f>Tabelle4!I50</f>
        <v>4690</v>
      </c>
    </row>
    <row r="149" spans="1:6" x14ac:dyDescent="0.25">
      <c r="A149" s="55">
        <f>Tabelle4!B51</f>
        <v>454</v>
      </c>
      <c r="B149">
        <f>Tabelle4!A51</f>
        <v>2020</v>
      </c>
      <c r="C149" t="str">
        <f>VLOOKUP(A149,[2]Tabelle1!$A$1:$B$68,2,FALSE)</f>
        <v>Emsland</v>
      </c>
      <c r="D149" s="55" t="s">
        <v>111</v>
      </c>
      <c r="E149" t="str">
        <f>VLOOKUP(A149,[3]Tabelle1!$A$2:$C$53,3,FALSE)</f>
        <v>K03454</v>
      </c>
      <c r="F149">
        <f>Tabelle4!I51</f>
        <v>8320</v>
      </c>
    </row>
    <row r="150" spans="1:6" x14ac:dyDescent="0.25">
      <c r="A150" s="55">
        <f>Tabelle4!B52</f>
        <v>455</v>
      </c>
      <c r="B150">
        <f>Tabelle4!A52</f>
        <v>2020</v>
      </c>
      <c r="C150" t="str">
        <f>VLOOKUP(A150,[2]Tabelle1!$A$1:$B$68,2,FALSE)</f>
        <v>Friesland</v>
      </c>
      <c r="D150" s="55" t="s">
        <v>111</v>
      </c>
      <c r="E150" t="str">
        <f>VLOOKUP(A150,[3]Tabelle1!$A$2:$C$53,3,FALSE)</f>
        <v>K03455</v>
      </c>
      <c r="F150">
        <f>Tabelle4!I52</f>
        <v>1450</v>
      </c>
    </row>
    <row r="151" spans="1:6" x14ac:dyDescent="0.25">
      <c r="A151" s="55">
        <f>Tabelle4!B53</f>
        <v>456</v>
      </c>
      <c r="B151">
        <f>Tabelle4!A53</f>
        <v>2020</v>
      </c>
      <c r="C151" t="str">
        <f>VLOOKUP(A151,[2]Tabelle1!$A$1:$B$68,2,FALSE)</f>
        <v>Grafschaft Bentheim</v>
      </c>
      <c r="D151" s="55" t="s">
        <v>111</v>
      </c>
      <c r="E151" t="str">
        <f>VLOOKUP(A151,[3]Tabelle1!$A$2:$C$53,3,FALSE)</f>
        <v>K03456</v>
      </c>
      <c r="F151">
        <f>Tabelle4!I53</f>
        <v>3260</v>
      </c>
    </row>
    <row r="152" spans="1:6" x14ac:dyDescent="0.25">
      <c r="A152" s="55">
        <f>Tabelle4!B54</f>
        <v>457</v>
      </c>
      <c r="B152">
        <f>Tabelle4!A54</f>
        <v>2020</v>
      </c>
      <c r="C152" t="str">
        <f>VLOOKUP(A152,[2]Tabelle1!$A$1:$B$68,2,FALSE)</f>
        <v>Leer</v>
      </c>
      <c r="D152" s="55" t="s">
        <v>111</v>
      </c>
      <c r="E152" t="str">
        <f>VLOOKUP(A152,[3]Tabelle1!$A$2:$C$53,3,FALSE)</f>
        <v>K03457</v>
      </c>
      <c r="F152">
        <f>Tabelle4!I54</f>
        <v>3445</v>
      </c>
    </row>
    <row r="153" spans="1:6" x14ac:dyDescent="0.25">
      <c r="A153" s="55">
        <f>Tabelle4!B55</f>
        <v>458</v>
      </c>
      <c r="B153">
        <f>Tabelle4!A55</f>
        <v>2020</v>
      </c>
      <c r="C153" t="str">
        <f>VLOOKUP(A153,[2]Tabelle1!$A$1:$B$68,2,FALSE)</f>
        <v>Oldenburg</v>
      </c>
      <c r="D153" s="55" t="s">
        <v>111</v>
      </c>
      <c r="E153" t="str">
        <f>VLOOKUP(A153,[3]Tabelle1!$A$2:$C$53,3,FALSE)</f>
        <v>K03458</v>
      </c>
      <c r="F153">
        <f>Tabelle4!I55</f>
        <v>2965</v>
      </c>
    </row>
    <row r="154" spans="1:6" x14ac:dyDescent="0.25">
      <c r="A154" s="55">
        <f>Tabelle4!B56</f>
        <v>459</v>
      </c>
      <c r="B154">
        <f>Tabelle4!A56</f>
        <v>2020</v>
      </c>
      <c r="C154" t="str">
        <f>VLOOKUP(A154,[2]Tabelle1!$A$1:$B$68,2,FALSE)</f>
        <v>Osnabrück</v>
      </c>
      <c r="D154" s="55" t="s">
        <v>111</v>
      </c>
      <c r="E154" t="str">
        <f>VLOOKUP(A154,[3]Tabelle1!$A$2:$C$53,3,FALSE)</f>
        <v>K03459</v>
      </c>
      <c r="F154">
        <f>Tabelle4!I56</f>
        <v>5915</v>
      </c>
    </row>
    <row r="155" spans="1:6" x14ac:dyDescent="0.25">
      <c r="A155" s="55">
        <f>Tabelle4!B57</f>
        <v>460</v>
      </c>
      <c r="B155">
        <f>Tabelle4!A57</f>
        <v>2020</v>
      </c>
      <c r="C155" t="str">
        <f>VLOOKUP(A155,[2]Tabelle1!$A$1:$B$68,2,FALSE)</f>
        <v>Vechta</v>
      </c>
      <c r="D155" s="55" t="s">
        <v>111</v>
      </c>
      <c r="E155" t="str">
        <f>VLOOKUP(A155,[3]Tabelle1!$A$2:$C$53,3,FALSE)</f>
        <v>K03460</v>
      </c>
      <c r="F155">
        <f>Tabelle4!I57</f>
        <v>4730</v>
      </c>
    </row>
    <row r="156" spans="1:6" x14ac:dyDescent="0.25">
      <c r="A156" s="55">
        <f>Tabelle4!B58</f>
        <v>461</v>
      </c>
      <c r="B156">
        <f>Tabelle4!A58</f>
        <v>2020</v>
      </c>
      <c r="C156" t="str">
        <f>VLOOKUP(A156,[2]Tabelle1!$A$1:$B$68,2,FALSE)</f>
        <v>Wesermarsch</v>
      </c>
      <c r="D156" s="55" t="s">
        <v>111</v>
      </c>
      <c r="E156" t="str">
        <f>VLOOKUP(A156,[3]Tabelle1!$A$2:$C$53,3,FALSE)</f>
        <v>K03461</v>
      </c>
      <c r="F156">
        <f>Tabelle4!I58</f>
        <v>1735</v>
      </c>
    </row>
    <row r="157" spans="1:6" x14ac:dyDescent="0.25">
      <c r="A157" s="55">
        <f>Tabelle4!B59</f>
        <v>462</v>
      </c>
      <c r="B157">
        <f>Tabelle4!A59</f>
        <v>2020</v>
      </c>
      <c r="C157" t="str">
        <f>VLOOKUP(A157,[2]Tabelle1!$A$1:$B$68,2,FALSE)</f>
        <v>Wittmund</v>
      </c>
      <c r="D157" s="55" t="s">
        <v>111</v>
      </c>
      <c r="E157" t="str">
        <f>VLOOKUP(A157,[3]Tabelle1!$A$2:$C$53,3,FALSE)</f>
        <v>K03462</v>
      </c>
      <c r="F157">
        <f>Tabelle4!I59</f>
        <v>630</v>
      </c>
    </row>
    <row r="158" spans="1:6" x14ac:dyDescent="0.25">
      <c r="A158" s="55">
        <f>Tabelle4!B8</f>
        <v>0</v>
      </c>
      <c r="B158">
        <f>Tabelle4!A8</f>
        <v>2020</v>
      </c>
      <c r="C158" t="str">
        <f>VLOOKUP(A158,[2]Tabelle1!$A$1:$B$68,2,FALSE)</f>
        <v>Niedersachsen</v>
      </c>
      <c r="D158" s="55" t="s">
        <v>112</v>
      </c>
      <c r="E158" t="str">
        <f>VLOOKUP(A158,[3]Tabelle1!$A$2:$C$53,3,FALSE)</f>
        <v>K030</v>
      </c>
      <c r="F158">
        <f>Tabelle4!J8</f>
        <v>82685</v>
      </c>
    </row>
    <row r="159" spans="1:6" x14ac:dyDescent="0.25">
      <c r="A159" s="55">
        <f>Tabelle4!B9</f>
        <v>1</v>
      </c>
      <c r="B159">
        <f>Tabelle4!A9</f>
        <v>2020</v>
      </c>
      <c r="C159" t="str">
        <f>VLOOKUP(A159,[2]Tabelle1!$A$1:$B$68,2,FALSE)</f>
        <v>Stat. Region Braunschweig</v>
      </c>
      <c r="D159" s="55" t="s">
        <v>112</v>
      </c>
      <c r="E159" t="str">
        <f>VLOOKUP(A159,[3]Tabelle1!$A$2:$C$53,3,FALSE)</f>
        <v>K031</v>
      </c>
      <c r="F159">
        <f>Tabelle4!J9</f>
        <v>15050</v>
      </c>
    </row>
    <row r="160" spans="1:6" x14ac:dyDescent="0.25">
      <c r="A160" s="55">
        <f>Tabelle4!B10</f>
        <v>101</v>
      </c>
      <c r="B160">
        <f>Tabelle4!A10</f>
        <v>2020</v>
      </c>
      <c r="C160" t="str">
        <f>VLOOKUP(A160,[2]Tabelle1!$A$1:$B$68,2,FALSE)</f>
        <v>Braunschweig  Stadt</v>
      </c>
      <c r="D160" s="55" t="s">
        <v>112</v>
      </c>
      <c r="E160" t="str">
        <f>VLOOKUP(A160,[3]Tabelle1!$A$2:$C$53,3,FALSE)</f>
        <v>K03101</v>
      </c>
      <c r="F160">
        <f>Tabelle4!J10</f>
        <v>3020</v>
      </c>
    </row>
    <row r="161" spans="1:6" x14ac:dyDescent="0.25">
      <c r="A161" s="55">
        <f>Tabelle4!B11</f>
        <v>102</v>
      </c>
      <c r="B161">
        <f>Tabelle4!A11</f>
        <v>2020</v>
      </c>
      <c r="C161" t="str">
        <f>VLOOKUP(A161,[2]Tabelle1!$A$1:$B$68,2,FALSE)</f>
        <v>Salzgitter  Stadt</v>
      </c>
      <c r="D161" s="55" t="s">
        <v>112</v>
      </c>
      <c r="E161" t="str">
        <f>VLOOKUP(A161,[3]Tabelle1!$A$2:$C$53,3,FALSE)</f>
        <v>K03102</v>
      </c>
      <c r="F161">
        <f>Tabelle4!J11</f>
        <v>1640</v>
      </c>
    </row>
    <row r="162" spans="1:6" x14ac:dyDescent="0.25">
      <c r="A162" s="55">
        <f>Tabelle4!B12</f>
        <v>103</v>
      </c>
      <c r="B162">
        <f>Tabelle4!A12</f>
        <v>2020</v>
      </c>
      <c r="C162" t="str">
        <f>VLOOKUP(A162,[2]Tabelle1!$A$1:$B$68,2,FALSE)</f>
        <v>Wolfsburg  Stadt</v>
      </c>
      <c r="D162" s="55" t="s">
        <v>112</v>
      </c>
      <c r="E162" t="str">
        <f>VLOOKUP(A162,[3]Tabelle1!$A$2:$C$53,3,FALSE)</f>
        <v>K03103</v>
      </c>
      <c r="F162">
        <f>Tabelle4!J12</f>
        <v>2135</v>
      </c>
    </row>
    <row r="163" spans="1:6" x14ac:dyDescent="0.25">
      <c r="A163" s="55">
        <f>Tabelle4!B13</f>
        <v>151</v>
      </c>
      <c r="B163">
        <f>Tabelle4!A13</f>
        <v>2020</v>
      </c>
      <c r="C163" t="str">
        <f>VLOOKUP(A163,[2]Tabelle1!$A$1:$B$68,2,FALSE)</f>
        <v>Gifhorn</v>
      </c>
      <c r="D163" s="55" t="s">
        <v>112</v>
      </c>
      <c r="E163" t="str">
        <f>VLOOKUP(A163,[3]Tabelle1!$A$2:$C$53,3,FALSE)</f>
        <v>K03151</v>
      </c>
      <c r="F163">
        <f>Tabelle4!J13</f>
        <v>1010</v>
      </c>
    </row>
    <row r="164" spans="1:6" x14ac:dyDescent="0.25">
      <c r="A164" s="55">
        <f>Tabelle4!B14</f>
        <v>153</v>
      </c>
      <c r="B164">
        <f>Tabelle4!A14</f>
        <v>2020</v>
      </c>
      <c r="C164" t="str">
        <f>VLOOKUP(A164,[2]Tabelle1!$A$1:$B$68,2,FALSE)</f>
        <v>Goslar</v>
      </c>
      <c r="D164" s="55" t="s">
        <v>112</v>
      </c>
      <c r="E164" t="str">
        <f>VLOOKUP(A164,[3]Tabelle1!$A$2:$C$53,3,FALSE)</f>
        <v>K03153</v>
      </c>
      <c r="F164">
        <f>Tabelle4!J14</f>
        <v>1070</v>
      </c>
    </row>
    <row r="165" spans="1:6" x14ac:dyDescent="0.25">
      <c r="A165" s="55">
        <f>Tabelle4!B15</f>
        <v>154</v>
      </c>
      <c r="B165">
        <f>Tabelle4!A15</f>
        <v>2020</v>
      </c>
      <c r="C165" t="str">
        <f>VLOOKUP(A165,[2]Tabelle1!$A$1:$B$68,2,FALSE)</f>
        <v>Helmstedt</v>
      </c>
      <c r="D165" s="55" t="s">
        <v>112</v>
      </c>
      <c r="E165" t="str">
        <f>VLOOKUP(A165,[3]Tabelle1!$A$2:$C$53,3,FALSE)</f>
        <v>K03154</v>
      </c>
      <c r="F165">
        <f>Tabelle4!J15</f>
        <v>695</v>
      </c>
    </row>
    <row r="166" spans="1:6" x14ac:dyDescent="0.25">
      <c r="A166" s="55">
        <f>Tabelle4!B16</f>
        <v>155</v>
      </c>
      <c r="B166">
        <f>Tabelle4!A16</f>
        <v>2020</v>
      </c>
      <c r="C166" t="str">
        <f>VLOOKUP(A166,[2]Tabelle1!$A$1:$B$68,2,FALSE)</f>
        <v>Northeim</v>
      </c>
      <c r="D166" s="55" t="s">
        <v>112</v>
      </c>
      <c r="E166" t="str">
        <f>VLOOKUP(A166,[3]Tabelle1!$A$2:$C$53,3,FALSE)</f>
        <v>K03155</v>
      </c>
      <c r="F166">
        <f>Tabelle4!J16</f>
        <v>805</v>
      </c>
    </row>
    <row r="167" spans="1:6" x14ac:dyDescent="0.25">
      <c r="A167" s="55">
        <f>Tabelle4!B17</f>
        <v>157</v>
      </c>
      <c r="B167">
        <f>Tabelle4!A17</f>
        <v>2020</v>
      </c>
      <c r="C167" t="str">
        <f>VLOOKUP(A167,[2]Tabelle1!$A$1:$B$68,2,FALSE)</f>
        <v>Peine</v>
      </c>
      <c r="D167" s="55" t="s">
        <v>112</v>
      </c>
      <c r="E167" t="str">
        <f>VLOOKUP(A167,[3]Tabelle1!$A$2:$C$53,3,FALSE)</f>
        <v>K03157</v>
      </c>
      <c r="F167">
        <f>Tabelle4!J17</f>
        <v>995</v>
      </c>
    </row>
    <row r="168" spans="1:6" x14ac:dyDescent="0.25">
      <c r="A168" s="55">
        <f>Tabelle4!B18</f>
        <v>158</v>
      </c>
      <c r="B168">
        <f>Tabelle4!A18</f>
        <v>2020</v>
      </c>
      <c r="C168" t="str">
        <f>VLOOKUP(A168,[2]Tabelle1!$A$1:$B$68,2,FALSE)</f>
        <v>Wolfenbüttel</v>
      </c>
      <c r="D168" s="55" t="s">
        <v>112</v>
      </c>
      <c r="E168" t="str">
        <f>VLOOKUP(A168,[3]Tabelle1!$A$2:$C$53,3,FALSE)</f>
        <v>K03158</v>
      </c>
      <c r="F168">
        <f>Tabelle4!J18</f>
        <v>730</v>
      </c>
    </row>
    <row r="169" spans="1:6" x14ac:dyDescent="0.25">
      <c r="A169" s="55">
        <f>Tabelle4!B19</f>
        <v>159</v>
      </c>
      <c r="B169">
        <f>Tabelle4!A19</f>
        <v>2020</v>
      </c>
      <c r="C169" t="str">
        <f>VLOOKUP(A169,[2]Tabelle1!$A$1:$B$68,2,FALSE)</f>
        <v>Göttingen</v>
      </c>
      <c r="D169" s="55" t="s">
        <v>112</v>
      </c>
      <c r="E169" t="str">
        <f>VLOOKUP(A169,[3]Tabelle1!$A$2:$C$53,3,FALSE)</f>
        <v>K03159</v>
      </c>
      <c r="F169">
        <f>Tabelle4!J19</f>
        <v>2940</v>
      </c>
    </row>
    <row r="170" spans="1:6" x14ac:dyDescent="0.25">
      <c r="A170" s="55">
        <f>Tabelle4!B20</f>
        <v>2</v>
      </c>
      <c r="B170">
        <f>Tabelle4!A20</f>
        <v>2020</v>
      </c>
      <c r="C170" t="str">
        <f>VLOOKUP(A170,[2]Tabelle1!$A$1:$B$68,2,FALSE)</f>
        <v>Stat. Region Hannover</v>
      </c>
      <c r="D170" s="55" t="s">
        <v>112</v>
      </c>
      <c r="E170" t="str">
        <f>VLOOKUP(A170,[3]Tabelle1!$A$2:$C$53,3,FALSE)</f>
        <v>K032</v>
      </c>
      <c r="F170">
        <f>Tabelle4!J20</f>
        <v>26910</v>
      </c>
    </row>
    <row r="171" spans="1:6" x14ac:dyDescent="0.25">
      <c r="A171" s="55">
        <f>Tabelle4!B21</f>
        <v>241</v>
      </c>
      <c r="B171">
        <f>Tabelle4!A21</f>
        <v>2020</v>
      </c>
      <c r="C171" t="str">
        <f>VLOOKUP(A171,[2]Tabelle1!$A$1:$B$68,2,FALSE)</f>
        <v>Hannover  Region</v>
      </c>
      <c r="D171" s="55" t="s">
        <v>112</v>
      </c>
      <c r="E171" t="str">
        <f>VLOOKUP(A171,[3]Tabelle1!$A$2:$C$53,3,FALSE)</f>
        <v>K03241</v>
      </c>
      <c r="F171">
        <f>Tabelle4!J21</f>
        <v>18570</v>
      </c>
    </row>
    <row r="172" spans="1:6" x14ac:dyDescent="0.25">
      <c r="A172" s="55">
        <f>Tabelle4!B22</f>
        <v>241001</v>
      </c>
      <c r="B172">
        <f>Tabelle4!A22</f>
        <v>2020</v>
      </c>
      <c r="C172" t="str">
        <f>VLOOKUP(A172,[2]Tabelle1!$A$1:$B$68,2,FALSE)</f>
        <v xml:space="preserve">   dav. Hannover  Lhst.</v>
      </c>
      <c r="D172" s="55" t="s">
        <v>112</v>
      </c>
      <c r="E172" t="str">
        <f>VLOOKUP(A172,[3]Tabelle1!$A$2:$C$53,3,FALSE)</f>
        <v>K03241001</v>
      </c>
      <c r="F172">
        <f>Tabelle4!J22</f>
        <v>11805</v>
      </c>
    </row>
    <row r="173" spans="1:6" x14ac:dyDescent="0.25">
      <c r="A173" s="55">
        <f>Tabelle4!B23</f>
        <v>241999</v>
      </c>
      <c r="B173">
        <f>Tabelle4!A23</f>
        <v>2020</v>
      </c>
      <c r="C173" t="str">
        <f>VLOOKUP(A173,[2]Tabelle1!$A$1:$B$68,2,FALSE)</f>
        <v xml:space="preserve">   dav. Hannover  Umland</v>
      </c>
      <c r="D173" s="55" t="s">
        <v>112</v>
      </c>
      <c r="E173" t="str">
        <f>VLOOKUP(A173,[3]Tabelle1!$A$2:$C$53,3,FALSE)</f>
        <v>K03241999</v>
      </c>
      <c r="F173">
        <f>Tabelle4!J23</f>
        <v>6765</v>
      </c>
    </row>
    <row r="174" spans="1:6" x14ac:dyDescent="0.25">
      <c r="A174" s="55">
        <f>Tabelle4!B24</f>
        <v>251</v>
      </c>
      <c r="B174">
        <f>Tabelle4!A24</f>
        <v>2020</v>
      </c>
      <c r="C174" t="str">
        <f>VLOOKUP(A174,[2]Tabelle1!$A$1:$B$68,2,FALSE)</f>
        <v>Diepholz</v>
      </c>
      <c r="D174" s="55" t="s">
        <v>112</v>
      </c>
      <c r="E174" t="str">
        <f>VLOOKUP(A174,[3]Tabelle1!$A$2:$C$53,3,FALSE)</f>
        <v>K03251</v>
      </c>
      <c r="F174">
        <f>Tabelle4!J24</f>
        <v>2335</v>
      </c>
    </row>
    <row r="175" spans="1:6" x14ac:dyDescent="0.25">
      <c r="A175" s="55">
        <f>Tabelle4!B25</f>
        <v>252</v>
      </c>
      <c r="B175">
        <f>Tabelle4!A25</f>
        <v>2020</v>
      </c>
      <c r="C175" t="str">
        <f>VLOOKUP(A175,[2]Tabelle1!$A$1:$B$68,2,FALSE)</f>
        <v>Hameln-Pyrmont</v>
      </c>
      <c r="D175" s="55" t="s">
        <v>112</v>
      </c>
      <c r="E175" t="str">
        <f>VLOOKUP(A175,[3]Tabelle1!$A$2:$C$53,3,FALSE)</f>
        <v>K03252</v>
      </c>
      <c r="F175">
        <f>Tabelle4!J25</f>
        <v>1450</v>
      </c>
    </row>
    <row r="176" spans="1:6" x14ac:dyDescent="0.25">
      <c r="A176" s="55">
        <f>Tabelle4!B26</f>
        <v>254</v>
      </c>
      <c r="B176">
        <f>Tabelle4!A26</f>
        <v>2020</v>
      </c>
      <c r="C176" t="str">
        <f>VLOOKUP(A176,[2]Tabelle1!$A$1:$B$68,2,FALSE)</f>
        <v>Hildesheim</v>
      </c>
      <c r="D176" s="55" t="s">
        <v>112</v>
      </c>
      <c r="E176" t="str">
        <f>VLOOKUP(A176,[3]Tabelle1!$A$2:$C$53,3,FALSE)</f>
        <v>K03254</v>
      </c>
      <c r="F176">
        <f>Tabelle4!J26</f>
        <v>2335</v>
      </c>
    </row>
    <row r="177" spans="1:6" x14ac:dyDescent="0.25">
      <c r="A177" s="55">
        <f>Tabelle4!B27</f>
        <v>255</v>
      </c>
      <c r="B177">
        <f>Tabelle4!A27</f>
        <v>2020</v>
      </c>
      <c r="C177" t="str">
        <f>VLOOKUP(A177,[2]Tabelle1!$A$1:$B$68,2,FALSE)</f>
        <v>Holzminden</v>
      </c>
      <c r="D177" s="55" t="s">
        <v>112</v>
      </c>
      <c r="E177" t="str">
        <f>VLOOKUP(A177,[3]Tabelle1!$A$2:$C$53,3,FALSE)</f>
        <v>K03255</v>
      </c>
      <c r="F177">
        <f>Tabelle4!J27</f>
        <v>225</v>
      </c>
    </row>
    <row r="178" spans="1:6" x14ac:dyDescent="0.25">
      <c r="A178" s="55">
        <f>Tabelle4!B28</f>
        <v>256</v>
      </c>
      <c r="B178" t="str">
        <f>Tabelle4!A28</f>
        <v>2020</v>
      </c>
      <c r="C178" t="str">
        <f>VLOOKUP(A178,[2]Tabelle1!$A$1:$B$68,2,FALSE)</f>
        <v>Nienburg (Weser)</v>
      </c>
      <c r="D178" s="55" t="s">
        <v>112</v>
      </c>
      <c r="E178" t="str">
        <f>VLOOKUP(A178,[3]Tabelle1!$A$2:$C$53,3,FALSE)</f>
        <v>K03256</v>
      </c>
      <c r="F178">
        <f>Tabelle4!J28</f>
        <v>890</v>
      </c>
    </row>
    <row r="179" spans="1:6" x14ac:dyDescent="0.25">
      <c r="A179" s="55">
        <f>Tabelle4!B29</f>
        <v>257</v>
      </c>
      <c r="B179" t="str">
        <f>Tabelle4!A29</f>
        <v>2020</v>
      </c>
      <c r="C179" t="str">
        <f>VLOOKUP(A179,[2]Tabelle1!$A$1:$B$68,2,FALSE)</f>
        <v>Schaumburg</v>
      </c>
      <c r="D179" s="55" t="s">
        <v>112</v>
      </c>
      <c r="E179" t="str">
        <f>VLOOKUP(A179,[3]Tabelle1!$A$2:$C$53,3,FALSE)</f>
        <v>K03257</v>
      </c>
      <c r="F179">
        <f>Tabelle4!J29</f>
        <v>1110</v>
      </c>
    </row>
    <row r="180" spans="1:6" x14ac:dyDescent="0.25">
      <c r="A180" s="55">
        <f>Tabelle4!B30</f>
        <v>3</v>
      </c>
      <c r="B180">
        <f>Tabelle4!A30</f>
        <v>2020</v>
      </c>
      <c r="C180" t="str">
        <f>VLOOKUP(A180,[2]Tabelle1!$A$1:$B$68,2,FALSE)</f>
        <v>Stat. Region Lüneburg</v>
      </c>
      <c r="D180" s="55" t="s">
        <v>112</v>
      </c>
      <c r="E180" t="str">
        <f>VLOOKUP(A180,[3]Tabelle1!$A$2:$C$53,3,FALSE)</f>
        <v>K033</v>
      </c>
      <c r="F180">
        <f>Tabelle4!J30</f>
        <v>13015</v>
      </c>
    </row>
    <row r="181" spans="1:6" x14ac:dyDescent="0.25">
      <c r="A181" s="55">
        <f>Tabelle4!B31</f>
        <v>351</v>
      </c>
      <c r="B181">
        <f>Tabelle4!A31</f>
        <v>2020</v>
      </c>
      <c r="C181" t="str">
        <f>VLOOKUP(A181,[2]Tabelle1!$A$1:$B$68,2,FALSE)</f>
        <v>Celle</v>
      </c>
      <c r="D181" s="55" t="s">
        <v>112</v>
      </c>
      <c r="E181" t="str">
        <f>VLOOKUP(A181,[3]Tabelle1!$A$2:$C$53,3,FALSE)</f>
        <v>K03351</v>
      </c>
      <c r="F181">
        <f>Tabelle4!J31</f>
        <v>1370</v>
      </c>
    </row>
    <row r="182" spans="1:6" x14ac:dyDescent="0.25">
      <c r="A182" s="55">
        <f>Tabelle4!B32</f>
        <v>352</v>
      </c>
      <c r="B182">
        <f>Tabelle4!A32</f>
        <v>2020</v>
      </c>
      <c r="C182" t="str">
        <f>VLOOKUP(A182,[2]Tabelle1!$A$1:$B$68,2,FALSE)</f>
        <v>Cuxhaven</v>
      </c>
      <c r="D182" s="55" t="s">
        <v>112</v>
      </c>
      <c r="E182" t="str">
        <f>VLOOKUP(A182,[3]Tabelle1!$A$2:$C$53,3,FALSE)</f>
        <v>K03352</v>
      </c>
      <c r="F182">
        <f>Tabelle4!J32</f>
        <v>1180</v>
      </c>
    </row>
    <row r="183" spans="1:6" x14ac:dyDescent="0.25">
      <c r="A183" s="55">
        <f>Tabelle4!B33</f>
        <v>353</v>
      </c>
      <c r="B183">
        <f>Tabelle4!A33</f>
        <v>2020</v>
      </c>
      <c r="C183" t="str">
        <f>VLOOKUP(A183,[2]Tabelle1!$A$1:$B$68,2,FALSE)</f>
        <v>Harburg</v>
      </c>
      <c r="D183" s="55" t="s">
        <v>112</v>
      </c>
      <c r="E183" t="str">
        <f>VLOOKUP(A183,[3]Tabelle1!$A$2:$C$53,3,FALSE)</f>
        <v>K03353</v>
      </c>
      <c r="F183">
        <f>Tabelle4!J33</f>
        <v>2100</v>
      </c>
    </row>
    <row r="184" spans="1:6" x14ac:dyDescent="0.25">
      <c r="A184" s="55">
        <f>Tabelle4!B34</f>
        <v>354</v>
      </c>
      <c r="B184">
        <f>Tabelle4!A34</f>
        <v>2020</v>
      </c>
      <c r="C184" t="str">
        <f>VLOOKUP(A184,[2]Tabelle1!$A$1:$B$68,2,FALSE)</f>
        <v>Lüchow-Dannenberg</v>
      </c>
      <c r="D184" s="55" t="s">
        <v>112</v>
      </c>
      <c r="E184" t="str">
        <f>VLOOKUP(A184,[3]Tabelle1!$A$2:$C$53,3,FALSE)</f>
        <v>K03354</v>
      </c>
      <c r="F184">
        <f>Tabelle4!J34</f>
        <v>370</v>
      </c>
    </row>
    <row r="185" spans="1:6" x14ac:dyDescent="0.25">
      <c r="A185" s="55">
        <f>Tabelle4!B35</f>
        <v>355</v>
      </c>
      <c r="B185">
        <f>Tabelle4!A35</f>
        <v>2020</v>
      </c>
      <c r="C185" t="str">
        <f>VLOOKUP(A185,[2]Tabelle1!$A$1:$B$68,2,FALSE)</f>
        <v>Lüneburg</v>
      </c>
      <c r="D185" s="55" t="s">
        <v>112</v>
      </c>
      <c r="E185" t="str">
        <f>VLOOKUP(A185,[3]Tabelle1!$A$2:$C$53,3,FALSE)</f>
        <v>K03355</v>
      </c>
      <c r="F185">
        <f>Tabelle4!J35</f>
        <v>1395</v>
      </c>
    </row>
    <row r="186" spans="1:6" x14ac:dyDescent="0.25">
      <c r="A186" s="55">
        <f>Tabelle4!B36</f>
        <v>356</v>
      </c>
      <c r="B186">
        <f>Tabelle4!A36</f>
        <v>2020</v>
      </c>
      <c r="C186" t="str">
        <f>VLOOKUP(A186,[2]Tabelle1!$A$1:$B$68,2,FALSE)</f>
        <v>Osterholz</v>
      </c>
      <c r="D186" s="55" t="s">
        <v>112</v>
      </c>
      <c r="E186" t="str">
        <f>VLOOKUP(A186,[3]Tabelle1!$A$2:$C$53,3,FALSE)</f>
        <v>K03356</v>
      </c>
      <c r="F186">
        <f>Tabelle4!J36</f>
        <v>685</v>
      </c>
    </row>
    <row r="187" spans="1:6" x14ac:dyDescent="0.25">
      <c r="A187" s="55">
        <f>Tabelle4!B37</f>
        <v>357</v>
      </c>
      <c r="B187">
        <f>Tabelle4!A37</f>
        <v>2020</v>
      </c>
      <c r="C187" t="str">
        <f>VLOOKUP(A187,[2]Tabelle1!$A$1:$B$68,2,FALSE)</f>
        <v>Rotenburg (Wümme)</v>
      </c>
      <c r="D187" s="55" t="s">
        <v>112</v>
      </c>
      <c r="E187" t="str">
        <f>VLOOKUP(A187,[3]Tabelle1!$A$2:$C$53,3,FALSE)</f>
        <v>K03357</v>
      </c>
      <c r="F187">
        <f>Tabelle4!J37</f>
        <v>1080</v>
      </c>
    </row>
    <row r="188" spans="1:6" x14ac:dyDescent="0.25">
      <c r="A188" s="55">
        <f>Tabelle4!B38</f>
        <v>358</v>
      </c>
      <c r="B188">
        <f>Tabelle4!A38</f>
        <v>2020</v>
      </c>
      <c r="C188" t="str">
        <f>VLOOKUP(A188,[2]Tabelle1!$A$1:$B$68,2,FALSE)</f>
        <v>Heidekreis</v>
      </c>
      <c r="D188" s="55" t="s">
        <v>112</v>
      </c>
      <c r="E188" t="str">
        <f>VLOOKUP(A188,[3]Tabelle1!$A$2:$C$53,3,FALSE)</f>
        <v>K03358</v>
      </c>
      <c r="F188">
        <f>Tabelle4!J38</f>
        <v>1305</v>
      </c>
    </row>
    <row r="189" spans="1:6" x14ac:dyDescent="0.25">
      <c r="A189" s="55">
        <f>Tabelle4!B39</f>
        <v>359</v>
      </c>
      <c r="B189">
        <f>Tabelle4!A39</f>
        <v>2020</v>
      </c>
      <c r="C189" t="str">
        <f>VLOOKUP(A189,[2]Tabelle1!$A$1:$B$68,2,FALSE)</f>
        <v>Stade</v>
      </c>
      <c r="D189" s="55" t="s">
        <v>112</v>
      </c>
      <c r="E189" t="str">
        <f>VLOOKUP(A189,[3]Tabelle1!$A$2:$C$53,3,FALSE)</f>
        <v>K03359</v>
      </c>
      <c r="F189">
        <f>Tabelle4!J39</f>
        <v>1950</v>
      </c>
    </row>
    <row r="190" spans="1:6" x14ac:dyDescent="0.25">
      <c r="A190" s="55">
        <f>Tabelle4!B40</f>
        <v>360</v>
      </c>
      <c r="B190">
        <f>Tabelle4!A40</f>
        <v>2020</v>
      </c>
      <c r="C190" t="str">
        <f>VLOOKUP(A190,[2]Tabelle1!$A$1:$B$68,2,FALSE)</f>
        <v>Uelzen</v>
      </c>
      <c r="D190" s="55" t="s">
        <v>112</v>
      </c>
      <c r="E190" t="str">
        <f>VLOOKUP(A190,[3]Tabelle1!$A$2:$C$53,3,FALSE)</f>
        <v>K03360</v>
      </c>
      <c r="F190">
        <f>Tabelle4!J40</f>
        <v>670</v>
      </c>
    </row>
    <row r="191" spans="1:6" x14ac:dyDescent="0.25">
      <c r="A191" s="55">
        <f>Tabelle4!B41</f>
        <v>361</v>
      </c>
      <c r="B191">
        <f>Tabelle4!A41</f>
        <v>2020</v>
      </c>
      <c r="C191" t="str">
        <f>VLOOKUP(A191,[2]Tabelle1!$A$1:$B$68,2,FALSE)</f>
        <v>Verden</v>
      </c>
      <c r="D191" s="55" t="s">
        <v>112</v>
      </c>
      <c r="E191" t="str">
        <f>VLOOKUP(A191,[3]Tabelle1!$A$2:$C$53,3,FALSE)</f>
        <v>K03361</v>
      </c>
      <c r="F191">
        <f>Tabelle4!J41</f>
        <v>915</v>
      </c>
    </row>
    <row r="192" spans="1:6" x14ac:dyDescent="0.25">
      <c r="A192" s="55">
        <f>Tabelle4!B42</f>
        <v>4</v>
      </c>
      <c r="B192">
        <f>Tabelle4!A42</f>
        <v>2020</v>
      </c>
      <c r="C192" t="str">
        <f>VLOOKUP(A192,[2]Tabelle1!$A$1:$B$68,2,FALSE)</f>
        <v>Stat. Region Weser-Ems</v>
      </c>
      <c r="D192" s="55" t="s">
        <v>112</v>
      </c>
      <c r="E192" t="str">
        <f>VLOOKUP(A192,[3]Tabelle1!$A$2:$C$53,3,FALSE)</f>
        <v>K034</v>
      </c>
      <c r="F192">
        <f>Tabelle4!J42</f>
        <v>27710</v>
      </c>
    </row>
    <row r="193" spans="1:6" x14ac:dyDescent="0.25">
      <c r="A193" s="55">
        <f>Tabelle4!B43</f>
        <v>401</v>
      </c>
      <c r="B193">
        <f>Tabelle4!A43</f>
        <v>2020</v>
      </c>
      <c r="C193" t="str">
        <f>VLOOKUP(A193,[2]Tabelle1!$A$1:$B$68,2,FALSE)</f>
        <v>Delmenhorst  Stadt</v>
      </c>
      <c r="D193" s="55" t="s">
        <v>112</v>
      </c>
      <c r="E193" t="str">
        <f>VLOOKUP(A193,[3]Tabelle1!$A$2:$C$53,3,FALSE)</f>
        <v>K03401</v>
      </c>
      <c r="F193">
        <f>Tabelle4!J43</f>
        <v>1335</v>
      </c>
    </row>
    <row r="194" spans="1:6" x14ac:dyDescent="0.25">
      <c r="A194" s="55">
        <f>Tabelle4!B44</f>
        <v>402</v>
      </c>
      <c r="B194">
        <f>Tabelle4!A44</f>
        <v>2020</v>
      </c>
      <c r="C194" t="str">
        <f>VLOOKUP(A194,[2]Tabelle1!$A$1:$B$68,2,FALSE)</f>
        <v>Emden  Stadt</v>
      </c>
      <c r="D194" s="55" t="s">
        <v>112</v>
      </c>
      <c r="E194" t="str">
        <f>VLOOKUP(A194,[3]Tabelle1!$A$2:$C$53,3,FALSE)</f>
        <v>K03402</v>
      </c>
      <c r="F194">
        <f>Tabelle4!J44</f>
        <v>805</v>
      </c>
    </row>
    <row r="195" spans="1:6" x14ac:dyDescent="0.25">
      <c r="A195" s="55">
        <f>Tabelle4!B45</f>
        <v>403</v>
      </c>
      <c r="B195">
        <f>Tabelle4!A45</f>
        <v>2020</v>
      </c>
      <c r="C195" t="str">
        <f>VLOOKUP(A195,[2]Tabelle1!$A$1:$B$68,2,FALSE)</f>
        <v>Oldenburg(Oldb)  Stadt</v>
      </c>
      <c r="D195" s="55" t="s">
        <v>112</v>
      </c>
      <c r="E195" t="str">
        <f>VLOOKUP(A195,[3]Tabelle1!$A$2:$C$53,3,FALSE)</f>
        <v>K03403</v>
      </c>
      <c r="F195">
        <f>Tabelle4!J45</f>
        <v>1845</v>
      </c>
    </row>
    <row r="196" spans="1:6" x14ac:dyDescent="0.25">
      <c r="A196" s="55">
        <f>Tabelle4!B46</f>
        <v>404</v>
      </c>
      <c r="B196">
        <f>Tabelle4!A46</f>
        <v>2020</v>
      </c>
      <c r="C196" t="str">
        <f>VLOOKUP(A196,[2]Tabelle1!$A$1:$B$68,2,FALSE)</f>
        <v>Osnabrück  Stadt</v>
      </c>
      <c r="D196" s="55" t="s">
        <v>112</v>
      </c>
      <c r="E196" t="str">
        <f>VLOOKUP(A196,[3]Tabelle1!$A$2:$C$53,3,FALSE)</f>
        <v>K03404</v>
      </c>
      <c r="F196">
        <f>Tabelle4!J46</f>
        <v>2545</v>
      </c>
    </row>
    <row r="197" spans="1:6" x14ac:dyDescent="0.25">
      <c r="A197" s="55">
        <f>Tabelle4!B47</f>
        <v>405</v>
      </c>
      <c r="B197">
        <f>Tabelle4!A47</f>
        <v>2020</v>
      </c>
      <c r="C197" t="str">
        <f>VLOOKUP(A197,[2]Tabelle1!$A$1:$B$68,2,FALSE)</f>
        <v>Wilhelmshaven  Stadt</v>
      </c>
      <c r="D197" s="55" t="s">
        <v>112</v>
      </c>
      <c r="E197" t="str">
        <f>VLOOKUP(A197,[3]Tabelle1!$A$2:$C$53,3,FALSE)</f>
        <v>K03405</v>
      </c>
      <c r="F197">
        <f>Tabelle4!J47</f>
        <v>815</v>
      </c>
    </row>
    <row r="198" spans="1:6" x14ac:dyDescent="0.25">
      <c r="A198" s="55">
        <f>Tabelle4!B48</f>
        <v>451</v>
      </c>
      <c r="B198">
        <f>Tabelle4!A48</f>
        <v>2020</v>
      </c>
      <c r="C198" t="str">
        <f>VLOOKUP(A198,[2]Tabelle1!$A$1:$B$68,2,FALSE)</f>
        <v>Ammerland</v>
      </c>
      <c r="D198" s="55" t="s">
        <v>112</v>
      </c>
      <c r="E198" t="str">
        <f>VLOOKUP(A198,[3]Tabelle1!$A$2:$C$53,3,FALSE)</f>
        <v>K03451</v>
      </c>
      <c r="F198">
        <f>Tabelle4!J48</f>
        <v>830</v>
      </c>
    </row>
    <row r="199" spans="1:6" x14ac:dyDescent="0.25">
      <c r="A199" s="55">
        <f>Tabelle4!B49</f>
        <v>452</v>
      </c>
      <c r="B199">
        <f>Tabelle4!A49</f>
        <v>2020</v>
      </c>
      <c r="C199" t="str">
        <f>VLOOKUP(A199,[2]Tabelle1!$A$1:$B$68,2,FALSE)</f>
        <v>Aurich</v>
      </c>
      <c r="D199" s="55" t="s">
        <v>112</v>
      </c>
      <c r="E199" t="str">
        <f>VLOOKUP(A199,[3]Tabelle1!$A$2:$C$53,3,FALSE)</f>
        <v>K03452</v>
      </c>
      <c r="F199">
        <f>Tabelle4!J49</f>
        <v>1385</v>
      </c>
    </row>
    <row r="200" spans="1:6" x14ac:dyDescent="0.25">
      <c r="A200" s="55">
        <f>Tabelle4!B50</f>
        <v>453</v>
      </c>
      <c r="B200">
        <f>Tabelle4!A50</f>
        <v>2020</v>
      </c>
      <c r="C200" t="str">
        <f>VLOOKUP(A200,[2]Tabelle1!$A$1:$B$68,2,FALSE)</f>
        <v>Cloppenburg</v>
      </c>
      <c r="D200" s="55" t="s">
        <v>112</v>
      </c>
      <c r="E200" t="str">
        <f>VLOOKUP(A200,[3]Tabelle1!$A$2:$C$53,3,FALSE)</f>
        <v>K03453</v>
      </c>
      <c r="F200">
        <f>Tabelle4!J50</f>
        <v>2465</v>
      </c>
    </row>
    <row r="201" spans="1:6" x14ac:dyDescent="0.25">
      <c r="A201" s="55">
        <f>Tabelle4!B51</f>
        <v>454</v>
      </c>
      <c r="B201">
        <f>Tabelle4!A51</f>
        <v>2020</v>
      </c>
      <c r="C201" t="str">
        <f>VLOOKUP(A201,[2]Tabelle1!$A$1:$B$68,2,FALSE)</f>
        <v>Emsland</v>
      </c>
      <c r="D201" s="55" t="s">
        <v>112</v>
      </c>
      <c r="E201" t="str">
        <f>VLOOKUP(A201,[3]Tabelle1!$A$2:$C$53,3,FALSE)</f>
        <v>K03454</v>
      </c>
      <c r="F201">
        <f>Tabelle4!J51</f>
        <v>4040</v>
      </c>
    </row>
    <row r="202" spans="1:6" x14ac:dyDescent="0.25">
      <c r="A202" s="55">
        <f>Tabelle4!B52</f>
        <v>455</v>
      </c>
      <c r="B202">
        <f>Tabelle4!A52</f>
        <v>2020</v>
      </c>
      <c r="C202" t="str">
        <f>VLOOKUP(A202,[2]Tabelle1!$A$1:$B$68,2,FALSE)</f>
        <v>Friesland</v>
      </c>
      <c r="D202" s="55" t="s">
        <v>112</v>
      </c>
      <c r="E202" t="str">
        <f>VLOOKUP(A202,[3]Tabelle1!$A$2:$C$53,3,FALSE)</f>
        <v>K03455</v>
      </c>
      <c r="F202">
        <f>Tabelle4!J52</f>
        <v>440</v>
      </c>
    </row>
    <row r="203" spans="1:6" x14ac:dyDescent="0.25">
      <c r="A203" s="55">
        <f>Tabelle4!B53</f>
        <v>456</v>
      </c>
      <c r="B203">
        <f>Tabelle4!A53</f>
        <v>2020</v>
      </c>
      <c r="C203" t="str">
        <f>VLOOKUP(A203,[2]Tabelle1!$A$1:$B$68,2,FALSE)</f>
        <v>Grafschaft Bentheim</v>
      </c>
      <c r="D203" s="55" t="s">
        <v>112</v>
      </c>
      <c r="E203" t="str">
        <f>VLOOKUP(A203,[3]Tabelle1!$A$2:$C$53,3,FALSE)</f>
        <v>K03456</v>
      </c>
      <c r="F203">
        <f>Tabelle4!J53</f>
        <v>1875</v>
      </c>
    </row>
    <row r="204" spans="1:6" x14ac:dyDescent="0.25">
      <c r="A204" s="55">
        <f>Tabelle4!B54</f>
        <v>457</v>
      </c>
      <c r="B204">
        <f>Tabelle4!A54</f>
        <v>2020</v>
      </c>
      <c r="C204" t="str">
        <f>VLOOKUP(A204,[2]Tabelle1!$A$1:$B$68,2,FALSE)</f>
        <v>Leer</v>
      </c>
      <c r="D204" s="55" t="s">
        <v>112</v>
      </c>
      <c r="E204" t="str">
        <f>VLOOKUP(A204,[3]Tabelle1!$A$2:$C$53,3,FALSE)</f>
        <v>K03457</v>
      </c>
      <c r="F204">
        <f>Tabelle4!J54</f>
        <v>1460</v>
      </c>
    </row>
    <row r="205" spans="1:6" x14ac:dyDescent="0.25">
      <c r="A205" s="55">
        <f>Tabelle4!B55</f>
        <v>458</v>
      </c>
      <c r="B205">
        <f>Tabelle4!A55</f>
        <v>2020</v>
      </c>
      <c r="C205" t="str">
        <f>VLOOKUP(A205,[2]Tabelle1!$A$1:$B$68,2,FALSE)</f>
        <v>Oldenburg</v>
      </c>
      <c r="D205" s="55" t="s">
        <v>112</v>
      </c>
      <c r="E205" t="str">
        <f>VLOOKUP(A205,[3]Tabelle1!$A$2:$C$53,3,FALSE)</f>
        <v>K03458</v>
      </c>
      <c r="F205">
        <f>Tabelle4!J55</f>
        <v>1345</v>
      </c>
    </row>
    <row r="206" spans="1:6" x14ac:dyDescent="0.25">
      <c r="A206" s="55">
        <f>Tabelle4!B56</f>
        <v>459</v>
      </c>
      <c r="B206">
        <f>Tabelle4!A56</f>
        <v>2020</v>
      </c>
      <c r="C206" t="str">
        <f>VLOOKUP(A206,[2]Tabelle1!$A$1:$B$68,2,FALSE)</f>
        <v>Osnabrück</v>
      </c>
      <c r="D206" s="55" t="s">
        <v>112</v>
      </c>
      <c r="E206" t="str">
        <f>VLOOKUP(A206,[3]Tabelle1!$A$2:$C$53,3,FALSE)</f>
        <v>K03459</v>
      </c>
      <c r="F206">
        <f>Tabelle4!J56</f>
        <v>3335</v>
      </c>
    </row>
    <row r="207" spans="1:6" x14ac:dyDescent="0.25">
      <c r="A207" s="55">
        <f>Tabelle4!B57</f>
        <v>460</v>
      </c>
      <c r="B207">
        <f>Tabelle4!A57</f>
        <v>2020</v>
      </c>
      <c r="C207" t="str">
        <f>VLOOKUP(A207,[2]Tabelle1!$A$1:$B$68,2,FALSE)</f>
        <v>Vechta</v>
      </c>
      <c r="D207" s="55" t="s">
        <v>112</v>
      </c>
      <c r="E207" t="str">
        <f>VLOOKUP(A207,[3]Tabelle1!$A$2:$C$53,3,FALSE)</f>
        <v>K03460</v>
      </c>
      <c r="F207">
        <f>Tabelle4!J57</f>
        <v>2285</v>
      </c>
    </row>
    <row r="208" spans="1:6" x14ac:dyDescent="0.25">
      <c r="A208" s="55">
        <f>Tabelle4!B58</f>
        <v>461</v>
      </c>
      <c r="B208">
        <f>Tabelle4!A58</f>
        <v>2020</v>
      </c>
      <c r="C208" t="str">
        <f>VLOOKUP(A208,[2]Tabelle1!$A$1:$B$68,2,FALSE)</f>
        <v>Wesermarsch</v>
      </c>
      <c r="D208" s="55" t="s">
        <v>112</v>
      </c>
      <c r="E208" t="str">
        <f>VLOOKUP(A208,[3]Tabelle1!$A$2:$C$53,3,FALSE)</f>
        <v>K03461</v>
      </c>
      <c r="F208">
        <f>Tabelle4!J58</f>
        <v>650</v>
      </c>
    </row>
    <row r="209" spans="1:6" x14ac:dyDescent="0.25">
      <c r="A209" s="55">
        <f>Tabelle4!B59</f>
        <v>462</v>
      </c>
      <c r="B209">
        <f>Tabelle4!A59</f>
        <v>2020</v>
      </c>
      <c r="C209" t="str">
        <f>VLOOKUP(A209,[2]Tabelle1!$A$1:$B$68,2,FALSE)</f>
        <v>Wittmund</v>
      </c>
      <c r="D209" s="55" t="s">
        <v>112</v>
      </c>
      <c r="E209" t="str">
        <f>VLOOKUP(A209,[3]Tabelle1!$A$2:$C$53,3,FALSE)</f>
        <v>K03462</v>
      </c>
      <c r="F209">
        <f>Tabelle4!J59</f>
        <v>260</v>
      </c>
    </row>
    <row r="210" spans="1:6" x14ac:dyDescent="0.25">
      <c r="A210" s="55">
        <f>Tabelle4!B8</f>
        <v>0</v>
      </c>
      <c r="B210">
        <f>Tabelle4!A8</f>
        <v>2020</v>
      </c>
      <c r="C210" t="str">
        <f>VLOOKUP(A210,[2]Tabelle1!$A$1:$B$68,2,FALSE)</f>
        <v>Niedersachsen</v>
      </c>
      <c r="D210" s="55" t="s">
        <v>113</v>
      </c>
      <c r="E210" t="str">
        <f>VLOOKUP(A210,[3]Tabelle1!$A$2:$C$53,3,FALSE)</f>
        <v>K030</v>
      </c>
      <c r="F210">
        <f>Tabelle4!K8</f>
        <v>46700</v>
      </c>
    </row>
    <row r="211" spans="1:6" x14ac:dyDescent="0.25">
      <c r="A211" s="55">
        <f>Tabelle4!B9</f>
        <v>1</v>
      </c>
      <c r="B211">
        <f>Tabelle4!A9</f>
        <v>2020</v>
      </c>
      <c r="C211" t="str">
        <f>VLOOKUP(A211,[2]Tabelle1!$A$1:$B$68,2,FALSE)</f>
        <v>Stat. Region Braunschweig</v>
      </c>
      <c r="D211" s="55" t="s">
        <v>113</v>
      </c>
      <c r="E211" t="str">
        <f>VLOOKUP(A211,[3]Tabelle1!$A$2:$C$53,3,FALSE)</f>
        <v>K031</v>
      </c>
      <c r="F211">
        <f>Tabelle4!K9</f>
        <v>7500</v>
      </c>
    </row>
    <row r="212" spans="1:6" x14ac:dyDescent="0.25">
      <c r="A212" s="55">
        <f>Tabelle4!B10</f>
        <v>101</v>
      </c>
      <c r="B212">
        <f>Tabelle4!A10</f>
        <v>2020</v>
      </c>
      <c r="C212" t="str">
        <f>VLOOKUP(A212,[2]Tabelle1!$A$1:$B$68,2,FALSE)</f>
        <v>Braunschweig  Stadt</v>
      </c>
      <c r="D212" s="55" t="s">
        <v>113</v>
      </c>
      <c r="E212" t="str">
        <f>VLOOKUP(A212,[3]Tabelle1!$A$2:$C$53,3,FALSE)</f>
        <v>K03101</v>
      </c>
      <c r="F212">
        <f>Tabelle4!K10</f>
        <v>1740</v>
      </c>
    </row>
    <row r="213" spans="1:6" x14ac:dyDescent="0.25">
      <c r="A213" s="55">
        <f>Tabelle4!B11</f>
        <v>102</v>
      </c>
      <c r="B213">
        <f>Tabelle4!A11</f>
        <v>2020</v>
      </c>
      <c r="C213" t="str">
        <f>VLOOKUP(A213,[2]Tabelle1!$A$1:$B$68,2,FALSE)</f>
        <v>Salzgitter  Stadt</v>
      </c>
      <c r="D213" s="55" t="s">
        <v>113</v>
      </c>
      <c r="E213" t="str">
        <f>VLOOKUP(A213,[3]Tabelle1!$A$2:$C$53,3,FALSE)</f>
        <v>K03102</v>
      </c>
      <c r="F213">
        <f>Tabelle4!K11</f>
        <v>685</v>
      </c>
    </row>
    <row r="214" spans="1:6" x14ac:dyDescent="0.25">
      <c r="A214" s="55">
        <f>Tabelle4!B12</f>
        <v>103</v>
      </c>
      <c r="B214">
        <f>Tabelle4!A12</f>
        <v>2020</v>
      </c>
      <c r="C214" t="str">
        <f>VLOOKUP(A214,[2]Tabelle1!$A$1:$B$68,2,FALSE)</f>
        <v>Wolfsburg  Stadt</v>
      </c>
      <c r="D214" s="55" t="s">
        <v>113</v>
      </c>
      <c r="E214" t="str">
        <f>VLOOKUP(A214,[3]Tabelle1!$A$2:$C$53,3,FALSE)</f>
        <v>K03103</v>
      </c>
      <c r="F214">
        <f>Tabelle4!K12</f>
        <v>975</v>
      </c>
    </row>
    <row r="215" spans="1:6" x14ac:dyDescent="0.25">
      <c r="A215" s="55">
        <f>Tabelle4!B13</f>
        <v>151</v>
      </c>
      <c r="B215">
        <f>Tabelle4!A13</f>
        <v>2020</v>
      </c>
      <c r="C215" t="str">
        <f>VLOOKUP(A215,[2]Tabelle1!$A$1:$B$68,2,FALSE)</f>
        <v>Gifhorn</v>
      </c>
      <c r="D215" s="55" t="s">
        <v>113</v>
      </c>
      <c r="E215" t="str">
        <f>VLOOKUP(A215,[3]Tabelle1!$A$2:$C$53,3,FALSE)</f>
        <v>K03151</v>
      </c>
      <c r="F215">
        <f>Tabelle4!K13</f>
        <v>580</v>
      </c>
    </row>
    <row r="216" spans="1:6" x14ac:dyDescent="0.25">
      <c r="A216" s="55">
        <f>Tabelle4!B14</f>
        <v>153</v>
      </c>
      <c r="B216">
        <f>Tabelle4!A14</f>
        <v>2020</v>
      </c>
      <c r="C216" t="str">
        <f>VLOOKUP(A216,[2]Tabelle1!$A$1:$B$68,2,FALSE)</f>
        <v>Goslar</v>
      </c>
      <c r="D216" s="55" t="s">
        <v>113</v>
      </c>
      <c r="E216" t="str">
        <f>VLOOKUP(A216,[3]Tabelle1!$A$2:$C$53,3,FALSE)</f>
        <v>K03153</v>
      </c>
      <c r="F216">
        <f>Tabelle4!K14</f>
        <v>515</v>
      </c>
    </row>
    <row r="217" spans="1:6" x14ac:dyDescent="0.25">
      <c r="A217" s="55">
        <f>Tabelle4!B15</f>
        <v>154</v>
      </c>
      <c r="B217">
        <f>Tabelle4!A15</f>
        <v>2020</v>
      </c>
      <c r="C217" t="str">
        <f>VLOOKUP(A217,[2]Tabelle1!$A$1:$B$68,2,FALSE)</f>
        <v>Helmstedt</v>
      </c>
      <c r="D217" s="55" t="s">
        <v>113</v>
      </c>
      <c r="E217" t="str">
        <f>VLOOKUP(A217,[3]Tabelle1!$A$2:$C$53,3,FALSE)</f>
        <v>K03154</v>
      </c>
      <c r="F217">
        <f>Tabelle4!K15</f>
        <v>310</v>
      </c>
    </row>
    <row r="218" spans="1:6" x14ac:dyDescent="0.25">
      <c r="A218" s="55">
        <f>Tabelle4!B16</f>
        <v>155</v>
      </c>
      <c r="B218">
        <f>Tabelle4!A16</f>
        <v>2020</v>
      </c>
      <c r="C218" t="str">
        <f>VLOOKUP(A218,[2]Tabelle1!$A$1:$B$68,2,FALSE)</f>
        <v>Northeim</v>
      </c>
      <c r="D218" s="55" t="s">
        <v>113</v>
      </c>
      <c r="E218" t="str">
        <f>VLOOKUP(A218,[3]Tabelle1!$A$2:$C$53,3,FALSE)</f>
        <v>K03155</v>
      </c>
      <c r="F218">
        <f>Tabelle4!K16</f>
        <v>420</v>
      </c>
    </row>
    <row r="219" spans="1:6" x14ac:dyDescent="0.25">
      <c r="A219" s="55">
        <f>Tabelle4!B17</f>
        <v>157</v>
      </c>
      <c r="B219">
        <f>Tabelle4!A17</f>
        <v>2020</v>
      </c>
      <c r="C219" t="str">
        <f>VLOOKUP(A219,[2]Tabelle1!$A$1:$B$68,2,FALSE)</f>
        <v>Peine</v>
      </c>
      <c r="D219" s="55" t="s">
        <v>113</v>
      </c>
      <c r="E219" t="str">
        <f>VLOOKUP(A219,[3]Tabelle1!$A$2:$C$53,3,FALSE)</f>
        <v>K03157</v>
      </c>
      <c r="F219">
        <f>Tabelle4!K17</f>
        <v>550</v>
      </c>
    </row>
    <row r="220" spans="1:6" x14ac:dyDescent="0.25">
      <c r="A220" s="55">
        <f>Tabelle4!B18</f>
        <v>158</v>
      </c>
      <c r="B220">
        <f>Tabelle4!A18</f>
        <v>2020</v>
      </c>
      <c r="C220" t="str">
        <f>VLOOKUP(A220,[2]Tabelle1!$A$1:$B$68,2,FALSE)</f>
        <v>Wolfenbüttel</v>
      </c>
      <c r="D220" s="55" t="s">
        <v>113</v>
      </c>
      <c r="E220" t="str">
        <f>VLOOKUP(A220,[3]Tabelle1!$A$2:$C$53,3,FALSE)</f>
        <v>K03158</v>
      </c>
      <c r="F220">
        <f>Tabelle4!K18</f>
        <v>330</v>
      </c>
    </row>
    <row r="221" spans="1:6" x14ac:dyDescent="0.25">
      <c r="A221" s="55">
        <f>Tabelle4!B19</f>
        <v>159</v>
      </c>
      <c r="B221">
        <f>Tabelle4!A19</f>
        <v>2020</v>
      </c>
      <c r="C221" t="str">
        <f>VLOOKUP(A221,[2]Tabelle1!$A$1:$B$68,2,FALSE)</f>
        <v>Göttingen</v>
      </c>
      <c r="D221" s="55" t="s">
        <v>113</v>
      </c>
      <c r="E221" t="str">
        <f>VLOOKUP(A221,[3]Tabelle1!$A$2:$C$53,3,FALSE)</f>
        <v>K03159</v>
      </c>
      <c r="F221">
        <f>Tabelle4!K19</f>
        <v>1395</v>
      </c>
    </row>
    <row r="222" spans="1:6" x14ac:dyDescent="0.25">
      <c r="A222" s="55">
        <f>Tabelle4!B20</f>
        <v>2</v>
      </c>
      <c r="B222">
        <f>Tabelle4!A20</f>
        <v>2020</v>
      </c>
      <c r="C222" t="str">
        <f>VLOOKUP(A222,[2]Tabelle1!$A$1:$B$68,2,FALSE)</f>
        <v>Stat. Region Hannover</v>
      </c>
      <c r="D222" s="55" t="s">
        <v>113</v>
      </c>
      <c r="E222" t="str">
        <f>VLOOKUP(A222,[3]Tabelle1!$A$2:$C$53,3,FALSE)</f>
        <v>K032</v>
      </c>
      <c r="F222">
        <f>Tabelle4!K20</f>
        <v>15500</v>
      </c>
    </row>
    <row r="223" spans="1:6" x14ac:dyDescent="0.25">
      <c r="A223" s="55">
        <f>Tabelle4!B21</f>
        <v>241</v>
      </c>
      <c r="B223">
        <f>Tabelle4!A21</f>
        <v>2020</v>
      </c>
      <c r="C223" t="str">
        <f>VLOOKUP(A223,[2]Tabelle1!$A$1:$B$68,2,FALSE)</f>
        <v>Hannover  Region</v>
      </c>
      <c r="D223" s="55" t="s">
        <v>113</v>
      </c>
      <c r="E223" t="str">
        <f>VLOOKUP(A223,[3]Tabelle1!$A$2:$C$53,3,FALSE)</f>
        <v>K03241</v>
      </c>
      <c r="F223">
        <f>Tabelle4!K21</f>
        <v>10985</v>
      </c>
    </row>
    <row r="224" spans="1:6" x14ac:dyDescent="0.25">
      <c r="A224" s="55">
        <f>Tabelle4!B22</f>
        <v>241001</v>
      </c>
      <c r="B224">
        <f>Tabelle4!A22</f>
        <v>2020</v>
      </c>
      <c r="C224" t="str">
        <f>VLOOKUP(A224,[2]Tabelle1!$A$1:$B$68,2,FALSE)</f>
        <v xml:space="preserve">   dav. Hannover  Lhst.</v>
      </c>
      <c r="D224" s="55" t="s">
        <v>113</v>
      </c>
      <c r="E224" t="str">
        <f>VLOOKUP(A224,[3]Tabelle1!$A$2:$C$53,3,FALSE)</f>
        <v>K03241001</v>
      </c>
      <c r="F224">
        <f>Tabelle4!K22</f>
        <v>7330</v>
      </c>
    </row>
    <row r="225" spans="1:6" x14ac:dyDescent="0.25">
      <c r="A225" s="55">
        <f>Tabelle4!B23</f>
        <v>241999</v>
      </c>
      <c r="B225">
        <f>Tabelle4!A23</f>
        <v>2020</v>
      </c>
      <c r="C225" t="str">
        <f>VLOOKUP(A225,[2]Tabelle1!$A$1:$B$68,2,FALSE)</f>
        <v xml:space="preserve">   dav. Hannover  Umland</v>
      </c>
      <c r="D225" s="55" t="s">
        <v>113</v>
      </c>
      <c r="E225" t="str">
        <f>VLOOKUP(A225,[3]Tabelle1!$A$2:$C$53,3,FALSE)</f>
        <v>K03241999</v>
      </c>
      <c r="F225">
        <f>Tabelle4!K23</f>
        <v>3655</v>
      </c>
    </row>
    <row r="226" spans="1:6" x14ac:dyDescent="0.25">
      <c r="A226" s="55">
        <f>Tabelle4!B24</f>
        <v>251</v>
      </c>
      <c r="B226">
        <f>Tabelle4!A24</f>
        <v>2020</v>
      </c>
      <c r="C226" t="str">
        <f>VLOOKUP(A226,[2]Tabelle1!$A$1:$B$68,2,FALSE)</f>
        <v>Diepholz</v>
      </c>
      <c r="D226" s="55" t="s">
        <v>113</v>
      </c>
      <c r="E226" t="str">
        <f>VLOOKUP(A226,[3]Tabelle1!$A$2:$C$53,3,FALSE)</f>
        <v>K03251</v>
      </c>
      <c r="F226">
        <f>Tabelle4!K24</f>
        <v>1250</v>
      </c>
    </row>
    <row r="227" spans="1:6" x14ac:dyDescent="0.25">
      <c r="A227" s="55">
        <f>Tabelle4!B25</f>
        <v>252</v>
      </c>
      <c r="B227">
        <f>Tabelle4!A25</f>
        <v>2020</v>
      </c>
      <c r="C227" t="str">
        <f>VLOOKUP(A227,[2]Tabelle1!$A$1:$B$68,2,FALSE)</f>
        <v>Hameln-Pyrmont</v>
      </c>
      <c r="D227" s="55" t="s">
        <v>113</v>
      </c>
      <c r="E227" t="str">
        <f>VLOOKUP(A227,[3]Tabelle1!$A$2:$C$53,3,FALSE)</f>
        <v>K03252</v>
      </c>
      <c r="F227">
        <f>Tabelle4!K25</f>
        <v>690</v>
      </c>
    </row>
    <row r="228" spans="1:6" x14ac:dyDescent="0.25">
      <c r="A228" s="55">
        <f>Tabelle4!B26</f>
        <v>254</v>
      </c>
      <c r="B228">
        <f>Tabelle4!A26</f>
        <v>2020</v>
      </c>
      <c r="C228" t="str">
        <f>VLOOKUP(A228,[2]Tabelle1!$A$1:$B$68,2,FALSE)</f>
        <v>Hildesheim</v>
      </c>
      <c r="D228" s="55" t="s">
        <v>113</v>
      </c>
      <c r="E228" t="str">
        <f>VLOOKUP(A228,[3]Tabelle1!$A$2:$C$53,3,FALSE)</f>
        <v>K03254</v>
      </c>
      <c r="F228">
        <f>Tabelle4!K26</f>
        <v>1275</v>
      </c>
    </row>
    <row r="229" spans="1:6" x14ac:dyDescent="0.25">
      <c r="A229" s="55">
        <f>Tabelle4!B27</f>
        <v>255</v>
      </c>
      <c r="B229">
        <f>Tabelle4!A27</f>
        <v>2020</v>
      </c>
      <c r="C229" t="str">
        <f>VLOOKUP(A229,[2]Tabelle1!$A$1:$B$68,2,FALSE)</f>
        <v>Holzminden</v>
      </c>
      <c r="D229" s="55" t="s">
        <v>113</v>
      </c>
      <c r="E229" t="str">
        <f>VLOOKUP(A229,[3]Tabelle1!$A$2:$C$53,3,FALSE)</f>
        <v>K03255</v>
      </c>
      <c r="F229">
        <f>Tabelle4!K27</f>
        <v>175</v>
      </c>
    </row>
    <row r="230" spans="1:6" x14ac:dyDescent="0.25">
      <c r="A230" s="55">
        <f>Tabelle4!B28</f>
        <v>256</v>
      </c>
      <c r="B230" t="str">
        <f>Tabelle4!A28</f>
        <v>2020</v>
      </c>
      <c r="C230" t="str">
        <f>VLOOKUP(A230,[2]Tabelle1!$A$1:$B$68,2,FALSE)</f>
        <v>Nienburg (Weser)</v>
      </c>
      <c r="D230" s="55" t="s">
        <v>113</v>
      </c>
      <c r="E230" t="str">
        <f>VLOOKUP(A230,[3]Tabelle1!$A$2:$C$53,3,FALSE)</f>
        <v>K03256</v>
      </c>
      <c r="F230">
        <f>Tabelle4!K28</f>
        <v>540</v>
      </c>
    </row>
    <row r="231" spans="1:6" x14ac:dyDescent="0.25">
      <c r="A231" s="55">
        <f>Tabelle4!B29</f>
        <v>257</v>
      </c>
      <c r="B231" t="str">
        <f>Tabelle4!A29</f>
        <v>2020</v>
      </c>
      <c r="C231" t="str">
        <f>VLOOKUP(A231,[2]Tabelle1!$A$1:$B$68,2,FALSE)</f>
        <v>Schaumburg</v>
      </c>
      <c r="D231" s="55" t="s">
        <v>113</v>
      </c>
      <c r="E231" t="str">
        <f>VLOOKUP(A231,[3]Tabelle1!$A$2:$C$53,3,FALSE)</f>
        <v>K03257</v>
      </c>
      <c r="F231">
        <f>Tabelle4!K29</f>
        <v>580</v>
      </c>
    </row>
    <row r="232" spans="1:6" x14ac:dyDescent="0.25">
      <c r="A232" s="55">
        <f>Tabelle4!B30</f>
        <v>3</v>
      </c>
      <c r="B232">
        <f>Tabelle4!A30</f>
        <v>2020</v>
      </c>
      <c r="C232" t="str">
        <f>VLOOKUP(A232,[2]Tabelle1!$A$1:$B$68,2,FALSE)</f>
        <v>Stat. Region Lüneburg</v>
      </c>
      <c r="D232" s="55" t="s">
        <v>113</v>
      </c>
      <c r="E232" t="str">
        <f>VLOOKUP(A232,[3]Tabelle1!$A$2:$C$53,3,FALSE)</f>
        <v>K033</v>
      </c>
      <c r="F232">
        <f>Tabelle4!K30</f>
        <v>6945</v>
      </c>
    </row>
    <row r="233" spans="1:6" x14ac:dyDescent="0.25">
      <c r="A233" s="55">
        <f>Tabelle4!B31</f>
        <v>351</v>
      </c>
      <c r="B233">
        <f>Tabelle4!A31</f>
        <v>2020</v>
      </c>
      <c r="C233" t="str">
        <f>VLOOKUP(A233,[2]Tabelle1!$A$1:$B$68,2,FALSE)</f>
        <v>Celle</v>
      </c>
      <c r="D233" s="55" t="s">
        <v>113</v>
      </c>
      <c r="E233" t="str">
        <f>VLOOKUP(A233,[3]Tabelle1!$A$2:$C$53,3,FALSE)</f>
        <v>K03351</v>
      </c>
      <c r="F233">
        <f>Tabelle4!K31</f>
        <v>675</v>
      </c>
    </row>
    <row r="234" spans="1:6" x14ac:dyDescent="0.25">
      <c r="A234" s="55">
        <f>Tabelle4!B32</f>
        <v>352</v>
      </c>
      <c r="B234">
        <f>Tabelle4!A32</f>
        <v>2020</v>
      </c>
      <c r="C234" t="str">
        <f>VLOOKUP(A234,[2]Tabelle1!$A$1:$B$68,2,FALSE)</f>
        <v>Cuxhaven</v>
      </c>
      <c r="D234" s="55" t="s">
        <v>113</v>
      </c>
      <c r="E234" t="str">
        <f>VLOOKUP(A234,[3]Tabelle1!$A$2:$C$53,3,FALSE)</f>
        <v>K03352</v>
      </c>
      <c r="F234">
        <f>Tabelle4!K32</f>
        <v>650</v>
      </c>
    </row>
    <row r="235" spans="1:6" x14ac:dyDescent="0.25">
      <c r="A235" s="55">
        <f>Tabelle4!B33</f>
        <v>353</v>
      </c>
      <c r="B235">
        <f>Tabelle4!A33</f>
        <v>2020</v>
      </c>
      <c r="C235" t="str">
        <f>VLOOKUP(A235,[2]Tabelle1!$A$1:$B$68,2,FALSE)</f>
        <v>Harburg</v>
      </c>
      <c r="D235" s="55" t="s">
        <v>113</v>
      </c>
      <c r="E235" t="str">
        <f>VLOOKUP(A235,[3]Tabelle1!$A$2:$C$53,3,FALSE)</f>
        <v>K03353</v>
      </c>
      <c r="F235">
        <f>Tabelle4!K33</f>
        <v>1085</v>
      </c>
    </row>
    <row r="236" spans="1:6" x14ac:dyDescent="0.25">
      <c r="A236" s="55">
        <f>Tabelle4!B34</f>
        <v>354</v>
      </c>
      <c r="B236">
        <f>Tabelle4!A34</f>
        <v>2020</v>
      </c>
      <c r="C236" t="str">
        <f>VLOOKUP(A236,[2]Tabelle1!$A$1:$B$68,2,FALSE)</f>
        <v>Lüchow-Dannenberg</v>
      </c>
      <c r="D236" s="55" t="s">
        <v>113</v>
      </c>
      <c r="E236" t="str">
        <f>VLOOKUP(A236,[3]Tabelle1!$A$2:$C$53,3,FALSE)</f>
        <v>K03354</v>
      </c>
      <c r="F236">
        <f>Tabelle4!K34</f>
        <v>175</v>
      </c>
    </row>
    <row r="237" spans="1:6" x14ac:dyDescent="0.25">
      <c r="A237" s="55">
        <f>Tabelle4!B35</f>
        <v>355</v>
      </c>
      <c r="B237">
        <f>Tabelle4!A35</f>
        <v>2020</v>
      </c>
      <c r="C237" t="str">
        <f>VLOOKUP(A237,[2]Tabelle1!$A$1:$B$68,2,FALSE)</f>
        <v>Lüneburg</v>
      </c>
      <c r="D237" s="55" t="s">
        <v>113</v>
      </c>
      <c r="E237" t="str">
        <f>VLOOKUP(A237,[3]Tabelle1!$A$2:$C$53,3,FALSE)</f>
        <v>K03355</v>
      </c>
      <c r="F237">
        <f>Tabelle4!K35</f>
        <v>615</v>
      </c>
    </row>
    <row r="238" spans="1:6" x14ac:dyDescent="0.25">
      <c r="A238" s="55">
        <f>Tabelle4!B36</f>
        <v>356</v>
      </c>
      <c r="B238">
        <f>Tabelle4!A36</f>
        <v>2020</v>
      </c>
      <c r="C238" t="str">
        <f>VLOOKUP(A238,[2]Tabelle1!$A$1:$B$68,2,FALSE)</f>
        <v>Osterholz</v>
      </c>
      <c r="D238" s="55" t="s">
        <v>113</v>
      </c>
      <c r="E238" t="str">
        <f>VLOOKUP(A238,[3]Tabelle1!$A$2:$C$53,3,FALSE)</f>
        <v>K03356</v>
      </c>
      <c r="F238">
        <f>Tabelle4!K36</f>
        <v>385</v>
      </c>
    </row>
    <row r="239" spans="1:6" x14ac:dyDescent="0.25">
      <c r="A239" s="55">
        <f>Tabelle4!B37</f>
        <v>357</v>
      </c>
      <c r="B239">
        <f>Tabelle4!A37</f>
        <v>2020</v>
      </c>
      <c r="C239" t="str">
        <f>VLOOKUP(A239,[2]Tabelle1!$A$1:$B$68,2,FALSE)</f>
        <v>Rotenburg (Wümme)</v>
      </c>
      <c r="D239" s="55" t="s">
        <v>113</v>
      </c>
      <c r="E239" t="str">
        <f>VLOOKUP(A239,[3]Tabelle1!$A$2:$C$53,3,FALSE)</f>
        <v>K03357</v>
      </c>
      <c r="F239">
        <f>Tabelle4!K37</f>
        <v>580</v>
      </c>
    </row>
    <row r="240" spans="1:6" x14ac:dyDescent="0.25">
      <c r="A240" s="55">
        <f>Tabelle4!B38</f>
        <v>358</v>
      </c>
      <c r="B240">
        <f>Tabelle4!A38</f>
        <v>2020</v>
      </c>
      <c r="C240" t="str">
        <f>VLOOKUP(A240,[2]Tabelle1!$A$1:$B$68,2,FALSE)</f>
        <v>Heidekreis</v>
      </c>
      <c r="D240" s="55" t="s">
        <v>113</v>
      </c>
      <c r="E240" t="str">
        <f>VLOOKUP(A240,[3]Tabelle1!$A$2:$C$53,3,FALSE)</f>
        <v>K03358</v>
      </c>
      <c r="F240">
        <f>Tabelle4!K38</f>
        <v>750</v>
      </c>
    </row>
    <row r="241" spans="1:6" x14ac:dyDescent="0.25">
      <c r="A241" s="55">
        <f>Tabelle4!B39</f>
        <v>359</v>
      </c>
      <c r="B241">
        <f>Tabelle4!A39</f>
        <v>2020</v>
      </c>
      <c r="C241" t="str">
        <f>VLOOKUP(A241,[2]Tabelle1!$A$1:$B$68,2,FALSE)</f>
        <v>Stade</v>
      </c>
      <c r="D241" s="55" t="s">
        <v>113</v>
      </c>
      <c r="E241" t="str">
        <f>VLOOKUP(A241,[3]Tabelle1!$A$2:$C$53,3,FALSE)</f>
        <v>K03359</v>
      </c>
      <c r="F241">
        <f>Tabelle4!K39</f>
        <v>1200</v>
      </c>
    </row>
    <row r="242" spans="1:6" x14ac:dyDescent="0.25">
      <c r="A242" s="55">
        <f>Tabelle4!B40</f>
        <v>360</v>
      </c>
      <c r="B242">
        <f>Tabelle4!A40</f>
        <v>2020</v>
      </c>
      <c r="C242" t="str">
        <f>VLOOKUP(A242,[2]Tabelle1!$A$1:$B$68,2,FALSE)</f>
        <v>Uelzen</v>
      </c>
      <c r="D242" s="55" t="s">
        <v>113</v>
      </c>
      <c r="E242" t="str">
        <f>VLOOKUP(A242,[3]Tabelle1!$A$2:$C$53,3,FALSE)</f>
        <v>K03360</v>
      </c>
      <c r="F242">
        <f>Tabelle4!K40</f>
        <v>290</v>
      </c>
    </row>
    <row r="243" spans="1:6" x14ac:dyDescent="0.25">
      <c r="A243" s="55">
        <f>Tabelle4!B41</f>
        <v>361</v>
      </c>
      <c r="B243">
        <f>Tabelle4!A41</f>
        <v>2020</v>
      </c>
      <c r="C243" t="str">
        <f>VLOOKUP(A243,[2]Tabelle1!$A$1:$B$68,2,FALSE)</f>
        <v>Verden</v>
      </c>
      <c r="D243" s="55" t="s">
        <v>113</v>
      </c>
      <c r="E243" t="str">
        <f>VLOOKUP(A243,[3]Tabelle1!$A$2:$C$53,3,FALSE)</f>
        <v>K03361</v>
      </c>
      <c r="F243">
        <f>Tabelle4!K41</f>
        <v>540</v>
      </c>
    </row>
    <row r="244" spans="1:6" x14ac:dyDescent="0.25">
      <c r="A244" s="55">
        <f>Tabelle4!B42</f>
        <v>4</v>
      </c>
      <c r="B244">
        <f>Tabelle4!A42</f>
        <v>2020</v>
      </c>
      <c r="C244" t="str">
        <f>VLOOKUP(A244,[2]Tabelle1!$A$1:$B$68,2,FALSE)</f>
        <v>Stat. Region Weser-Ems</v>
      </c>
      <c r="D244" s="55" t="s">
        <v>113</v>
      </c>
      <c r="E244" t="str">
        <f>VLOOKUP(A244,[3]Tabelle1!$A$2:$C$53,3,FALSE)</f>
        <v>K034</v>
      </c>
      <c r="F244">
        <f>Tabelle4!K42</f>
        <v>16755</v>
      </c>
    </row>
    <row r="245" spans="1:6" x14ac:dyDescent="0.25">
      <c r="A245" s="55">
        <f>Tabelle4!B43</f>
        <v>401</v>
      </c>
      <c r="B245">
        <f>Tabelle4!A43</f>
        <v>2020</v>
      </c>
      <c r="C245" t="str">
        <f>VLOOKUP(A245,[2]Tabelle1!$A$1:$B$68,2,FALSE)</f>
        <v>Delmenhorst  Stadt</v>
      </c>
      <c r="D245" s="55" t="s">
        <v>113</v>
      </c>
      <c r="E245" t="str">
        <f>VLOOKUP(A245,[3]Tabelle1!$A$2:$C$53,3,FALSE)</f>
        <v>K03401</v>
      </c>
      <c r="F245">
        <f>Tabelle4!K43</f>
        <v>690</v>
      </c>
    </row>
    <row r="246" spans="1:6" x14ac:dyDescent="0.25">
      <c r="A246" s="55">
        <f>Tabelle4!B44</f>
        <v>402</v>
      </c>
      <c r="B246">
        <f>Tabelle4!A44</f>
        <v>2020</v>
      </c>
      <c r="C246" t="str">
        <f>VLOOKUP(A246,[2]Tabelle1!$A$1:$B$68,2,FALSE)</f>
        <v>Emden  Stadt</v>
      </c>
      <c r="D246" s="55" t="s">
        <v>113</v>
      </c>
      <c r="E246" t="str">
        <f>VLOOKUP(A246,[3]Tabelle1!$A$2:$C$53,3,FALSE)</f>
        <v>K03402</v>
      </c>
      <c r="F246">
        <f>Tabelle4!K44</f>
        <v>325</v>
      </c>
    </row>
    <row r="247" spans="1:6" x14ac:dyDescent="0.25">
      <c r="A247" s="55">
        <f>Tabelle4!B45</f>
        <v>403</v>
      </c>
      <c r="B247">
        <f>Tabelle4!A45</f>
        <v>2020</v>
      </c>
      <c r="C247" t="str">
        <f>VLOOKUP(A247,[2]Tabelle1!$A$1:$B$68,2,FALSE)</f>
        <v>Oldenburg(Oldb)  Stadt</v>
      </c>
      <c r="D247" s="55" t="s">
        <v>113</v>
      </c>
      <c r="E247" t="str">
        <f>VLOOKUP(A247,[3]Tabelle1!$A$2:$C$53,3,FALSE)</f>
        <v>K03403</v>
      </c>
      <c r="F247">
        <f>Tabelle4!K45</f>
        <v>1045</v>
      </c>
    </row>
    <row r="248" spans="1:6" x14ac:dyDescent="0.25">
      <c r="A248" s="55">
        <f>Tabelle4!B46</f>
        <v>404</v>
      </c>
      <c r="B248">
        <f>Tabelle4!A46</f>
        <v>2020</v>
      </c>
      <c r="C248" t="str">
        <f>VLOOKUP(A248,[2]Tabelle1!$A$1:$B$68,2,FALSE)</f>
        <v>Osnabrück  Stadt</v>
      </c>
      <c r="D248" s="55" t="s">
        <v>113</v>
      </c>
      <c r="E248" t="str">
        <f>VLOOKUP(A248,[3]Tabelle1!$A$2:$C$53,3,FALSE)</f>
        <v>K03404</v>
      </c>
      <c r="F248">
        <f>Tabelle4!K46</f>
        <v>1310</v>
      </c>
    </row>
    <row r="249" spans="1:6" x14ac:dyDescent="0.25">
      <c r="A249" s="55">
        <f>Tabelle4!B47</f>
        <v>405</v>
      </c>
      <c r="B249">
        <f>Tabelle4!A47</f>
        <v>2020</v>
      </c>
      <c r="C249" t="str">
        <f>VLOOKUP(A249,[2]Tabelle1!$A$1:$B$68,2,FALSE)</f>
        <v>Wilhelmshaven  Stadt</v>
      </c>
      <c r="D249" s="55" t="s">
        <v>113</v>
      </c>
      <c r="E249" t="str">
        <f>VLOOKUP(A249,[3]Tabelle1!$A$2:$C$53,3,FALSE)</f>
        <v>K03405</v>
      </c>
      <c r="F249">
        <f>Tabelle4!K47</f>
        <v>360</v>
      </c>
    </row>
    <row r="250" spans="1:6" x14ac:dyDescent="0.25">
      <c r="A250" s="55">
        <f>Tabelle4!B48</f>
        <v>451</v>
      </c>
      <c r="B250">
        <f>Tabelle4!A48</f>
        <v>2020</v>
      </c>
      <c r="C250" t="str">
        <f>VLOOKUP(A250,[2]Tabelle1!$A$1:$B$68,2,FALSE)</f>
        <v>Ammerland</v>
      </c>
      <c r="D250" s="55" t="s">
        <v>113</v>
      </c>
      <c r="E250" t="str">
        <f>VLOOKUP(A250,[3]Tabelle1!$A$2:$C$53,3,FALSE)</f>
        <v>K03451</v>
      </c>
      <c r="F250">
        <f>Tabelle4!K48</f>
        <v>600</v>
      </c>
    </row>
    <row r="251" spans="1:6" x14ac:dyDescent="0.25">
      <c r="A251" s="55">
        <f>Tabelle4!B49</f>
        <v>452</v>
      </c>
      <c r="B251">
        <f>Tabelle4!A49</f>
        <v>2020</v>
      </c>
      <c r="C251" t="str">
        <f>VLOOKUP(A251,[2]Tabelle1!$A$1:$B$68,2,FALSE)</f>
        <v>Aurich</v>
      </c>
      <c r="D251" s="55" t="s">
        <v>113</v>
      </c>
      <c r="E251" t="str">
        <f>VLOOKUP(A251,[3]Tabelle1!$A$2:$C$53,3,FALSE)</f>
        <v>K03452</v>
      </c>
      <c r="F251">
        <f>Tabelle4!K49</f>
        <v>600</v>
      </c>
    </row>
    <row r="252" spans="1:6" x14ac:dyDescent="0.25">
      <c r="A252" s="55">
        <f>Tabelle4!B50</f>
        <v>453</v>
      </c>
      <c r="B252">
        <f>Tabelle4!A50</f>
        <v>2020</v>
      </c>
      <c r="C252" t="str">
        <f>VLOOKUP(A252,[2]Tabelle1!$A$1:$B$68,2,FALSE)</f>
        <v>Cloppenburg</v>
      </c>
      <c r="D252" s="55" t="s">
        <v>113</v>
      </c>
      <c r="E252" t="str">
        <f>VLOOKUP(A252,[3]Tabelle1!$A$2:$C$53,3,FALSE)</f>
        <v>K03453</v>
      </c>
      <c r="F252">
        <f>Tabelle4!K50</f>
        <v>1530</v>
      </c>
    </row>
    <row r="253" spans="1:6" x14ac:dyDescent="0.25">
      <c r="A253" s="55">
        <f>Tabelle4!B51</f>
        <v>454</v>
      </c>
      <c r="B253">
        <f>Tabelle4!A51</f>
        <v>2020</v>
      </c>
      <c r="C253" t="str">
        <f>VLOOKUP(A253,[2]Tabelle1!$A$1:$B$68,2,FALSE)</f>
        <v>Emsland</v>
      </c>
      <c r="D253" s="55" t="s">
        <v>113</v>
      </c>
      <c r="E253" t="str">
        <f>VLOOKUP(A253,[3]Tabelle1!$A$2:$C$53,3,FALSE)</f>
        <v>K03454</v>
      </c>
      <c r="F253">
        <f>Tabelle4!K51</f>
        <v>2785</v>
      </c>
    </row>
    <row r="254" spans="1:6" x14ac:dyDescent="0.25">
      <c r="A254" s="55">
        <f>Tabelle4!B52</f>
        <v>455</v>
      </c>
      <c r="B254">
        <f>Tabelle4!A52</f>
        <v>2020</v>
      </c>
      <c r="C254" t="str">
        <f>VLOOKUP(A254,[2]Tabelle1!$A$1:$B$68,2,FALSE)</f>
        <v>Friesland</v>
      </c>
      <c r="D254" s="55" t="s">
        <v>113</v>
      </c>
      <c r="E254" t="str">
        <f>VLOOKUP(A254,[3]Tabelle1!$A$2:$C$53,3,FALSE)</f>
        <v>K03455</v>
      </c>
      <c r="F254">
        <f>Tabelle4!K52</f>
        <v>240</v>
      </c>
    </row>
    <row r="255" spans="1:6" x14ac:dyDescent="0.25">
      <c r="A255" s="55">
        <f>Tabelle4!B53</f>
        <v>456</v>
      </c>
      <c r="B255">
        <f>Tabelle4!A53</f>
        <v>2020</v>
      </c>
      <c r="C255" t="str">
        <f>VLOOKUP(A255,[2]Tabelle1!$A$1:$B$68,2,FALSE)</f>
        <v>Grafschaft Bentheim</v>
      </c>
      <c r="D255" s="55" t="s">
        <v>113</v>
      </c>
      <c r="E255" t="str">
        <f>VLOOKUP(A255,[3]Tabelle1!$A$2:$C$53,3,FALSE)</f>
        <v>K03456</v>
      </c>
      <c r="F255">
        <f>Tabelle4!K53</f>
        <v>1510</v>
      </c>
    </row>
    <row r="256" spans="1:6" x14ac:dyDescent="0.25">
      <c r="A256" s="55">
        <f>Tabelle4!B54</f>
        <v>457</v>
      </c>
      <c r="B256">
        <f>Tabelle4!A54</f>
        <v>2020</v>
      </c>
      <c r="C256" t="str">
        <f>VLOOKUP(A256,[2]Tabelle1!$A$1:$B$68,2,FALSE)</f>
        <v>Leer</v>
      </c>
      <c r="D256" s="55" t="s">
        <v>113</v>
      </c>
      <c r="E256" t="str">
        <f>VLOOKUP(A256,[3]Tabelle1!$A$2:$C$53,3,FALSE)</f>
        <v>K03457</v>
      </c>
      <c r="F256">
        <f>Tabelle4!K54</f>
        <v>845</v>
      </c>
    </row>
    <row r="257" spans="1:6" x14ac:dyDescent="0.25">
      <c r="A257" s="55">
        <f>Tabelle4!B55</f>
        <v>458</v>
      </c>
      <c r="B257">
        <f>Tabelle4!A55</f>
        <v>2020</v>
      </c>
      <c r="C257" t="str">
        <f>VLOOKUP(A257,[2]Tabelle1!$A$1:$B$68,2,FALSE)</f>
        <v>Oldenburg</v>
      </c>
      <c r="D257" s="55" t="s">
        <v>113</v>
      </c>
      <c r="E257" t="str">
        <f>VLOOKUP(A257,[3]Tabelle1!$A$2:$C$53,3,FALSE)</f>
        <v>K03458</v>
      </c>
      <c r="F257">
        <f>Tabelle4!K55</f>
        <v>805</v>
      </c>
    </row>
    <row r="258" spans="1:6" x14ac:dyDescent="0.25">
      <c r="A258" s="55">
        <f>Tabelle4!B56</f>
        <v>459</v>
      </c>
      <c r="B258">
        <f>Tabelle4!A56</f>
        <v>2020</v>
      </c>
      <c r="C258" t="str">
        <f>VLOOKUP(A258,[2]Tabelle1!$A$1:$B$68,2,FALSE)</f>
        <v>Osnabrück</v>
      </c>
      <c r="D258" s="55" t="s">
        <v>113</v>
      </c>
      <c r="E258" t="str">
        <f>VLOOKUP(A258,[3]Tabelle1!$A$2:$C$53,3,FALSE)</f>
        <v>K03459</v>
      </c>
      <c r="F258">
        <f>Tabelle4!K56</f>
        <v>2035</v>
      </c>
    </row>
    <row r="259" spans="1:6" x14ac:dyDescent="0.25">
      <c r="A259" s="55">
        <f>Tabelle4!B57</f>
        <v>460</v>
      </c>
      <c r="B259">
        <f>Tabelle4!A57</f>
        <v>2020</v>
      </c>
      <c r="C259" t="str">
        <f>VLOOKUP(A259,[2]Tabelle1!$A$1:$B$68,2,FALSE)</f>
        <v>Vechta</v>
      </c>
      <c r="D259" s="55" t="s">
        <v>113</v>
      </c>
      <c r="E259" t="str">
        <f>VLOOKUP(A259,[3]Tabelle1!$A$2:$C$53,3,FALSE)</f>
        <v>K03460</v>
      </c>
      <c r="F259">
        <f>Tabelle4!K57</f>
        <v>1555</v>
      </c>
    </row>
    <row r="260" spans="1:6" x14ac:dyDescent="0.25">
      <c r="A260" s="55">
        <f>Tabelle4!B58</f>
        <v>461</v>
      </c>
      <c r="B260">
        <f>Tabelle4!A58</f>
        <v>2020</v>
      </c>
      <c r="C260" t="str">
        <f>VLOOKUP(A260,[2]Tabelle1!$A$1:$B$68,2,FALSE)</f>
        <v>Wesermarsch</v>
      </c>
      <c r="D260" s="55" t="s">
        <v>113</v>
      </c>
      <c r="E260" t="str">
        <f>VLOOKUP(A260,[3]Tabelle1!$A$2:$C$53,3,FALSE)</f>
        <v>K03461</v>
      </c>
      <c r="F260">
        <f>Tabelle4!K58</f>
        <v>345</v>
      </c>
    </row>
    <row r="261" spans="1:6" x14ac:dyDescent="0.25">
      <c r="A261" s="55">
        <f>Tabelle4!B59</f>
        <v>462</v>
      </c>
      <c r="B261">
        <f>Tabelle4!A59</f>
        <v>2020</v>
      </c>
      <c r="C261" t="str">
        <f>VLOOKUP(A261,[2]Tabelle1!$A$1:$B$68,2,FALSE)</f>
        <v>Wittmund</v>
      </c>
      <c r="D261" s="55" t="s">
        <v>113</v>
      </c>
      <c r="E261" t="str">
        <f>VLOOKUP(A261,[3]Tabelle1!$A$2:$C$53,3,FALSE)</f>
        <v>K03462</v>
      </c>
      <c r="F261">
        <f>Tabelle4!K59</f>
        <v>165</v>
      </c>
    </row>
    <row r="262" spans="1:6" x14ac:dyDescent="0.25">
      <c r="A262" s="55">
        <f>Tabelle4!B8</f>
        <v>0</v>
      </c>
      <c r="B262">
        <f>Tabelle4!A8</f>
        <v>2020</v>
      </c>
      <c r="C262" t="str">
        <f>VLOOKUP(A262,[2]Tabelle1!$A$1:$B$68,2,FALSE)</f>
        <v>Niedersachsen</v>
      </c>
      <c r="D262" s="55" t="s">
        <v>114</v>
      </c>
      <c r="E262" t="str">
        <f>VLOOKUP(A262,[3]Tabelle1!$A$2:$C$53,3,FALSE)</f>
        <v>K030</v>
      </c>
      <c r="F262">
        <f>Tabelle4!L8</f>
        <v>328490</v>
      </c>
    </row>
    <row r="263" spans="1:6" x14ac:dyDescent="0.25">
      <c r="A263" s="55">
        <f>Tabelle4!B9</f>
        <v>1</v>
      </c>
      <c r="B263">
        <f>Tabelle4!A9</f>
        <v>2020</v>
      </c>
      <c r="C263" t="str">
        <f>VLOOKUP(A263,[2]Tabelle1!$A$1:$B$68,2,FALSE)</f>
        <v>Stat. Region Braunschweig</v>
      </c>
      <c r="D263" s="55" t="s">
        <v>114</v>
      </c>
      <c r="E263" t="str">
        <f>VLOOKUP(A263,[3]Tabelle1!$A$2:$C$53,3,FALSE)</f>
        <v>K031</v>
      </c>
      <c r="F263">
        <f>Tabelle4!L9</f>
        <v>66285</v>
      </c>
    </row>
    <row r="264" spans="1:6" x14ac:dyDescent="0.25">
      <c r="A264" s="55">
        <f>Tabelle4!B10</f>
        <v>101</v>
      </c>
      <c r="B264">
        <f>Tabelle4!A10</f>
        <v>2020</v>
      </c>
      <c r="C264" t="str">
        <f>VLOOKUP(A264,[2]Tabelle1!$A$1:$B$68,2,FALSE)</f>
        <v>Braunschweig  Stadt</v>
      </c>
      <c r="D264" s="55" t="s">
        <v>114</v>
      </c>
      <c r="E264" t="str">
        <f>VLOOKUP(A264,[3]Tabelle1!$A$2:$C$53,3,FALSE)</f>
        <v>K03101</v>
      </c>
      <c r="F264">
        <f>Tabelle4!L10</f>
        <v>13275</v>
      </c>
    </row>
    <row r="265" spans="1:6" x14ac:dyDescent="0.25">
      <c r="A265" s="55">
        <f>Tabelle4!B11</f>
        <v>102</v>
      </c>
      <c r="B265">
        <f>Tabelle4!A11</f>
        <v>2020</v>
      </c>
      <c r="C265" t="str">
        <f>VLOOKUP(A265,[2]Tabelle1!$A$1:$B$68,2,FALSE)</f>
        <v>Salzgitter  Stadt</v>
      </c>
      <c r="D265" s="55" t="s">
        <v>114</v>
      </c>
      <c r="E265" t="str">
        <f>VLOOKUP(A265,[3]Tabelle1!$A$2:$C$53,3,FALSE)</f>
        <v>K03102</v>
      </c>
      <c r="F265">
        <f>Tabelle4!L11</f>
        <v>7845</v>
      </c>
    </row>
    <row r="266" spans="1:6" x14ac:dyDescent="0.25">
      <c r="A266" s="55">
        <f>Tabelle4!B12</f>
        <v>103</v>
      </c>
      <c r="B266">
        <f>Tabelle4!A12</f>
        <v>2020</v>
      </c>
      <c r="C266" t="str">
        <f>VLOOKUP(A266,[2]Tabelle1!$A$1:$B$68,2,FALSE)</f>
        <v>Wolfsburg  Stadt</v>
      </c>
      <c r="D266" s="55" t="s">
        <v>114</v>
      </c>
      <c r="E266" t="str">
        <f>VLOOKUP(A266,[3]Tabelle1!$A$2:$C$53,3,FALSE)</f>
        <v>K03103</v>
      </c>
      <c r="F266">
        <f>Tabelle4!L12</f>
        <v>8765</v>
      </c>
    </row>
    <row r="267" spans="1:6" x14ac:dyDescent="0.25">
      <c r="A267" s="55">
        <f>Tabelle4!B13</f>
        <v>151</v>
      </c>
      <c r="B267">
        <f>Tabelle4!A13</f>
        <v>2020</v>
      </c>
      <c r="C267" t="str">
        <f>VLOOKUP(A267,[2]Tabelle1!$A$1:$B$68,2,FALSE)</f>
        <v>Gifhorn</v>
      </c>
      <c r="D267" s="55" t="s">
        <v>114</v>
      </c>
      <c r="E267" t="str">
        <f>VLOOKUP(A267,[3]Tabelle1!$A$2:$C$53,3,FALSE)</f>
        <v>K03151</v>
      </c>
      <c r="F267">
        <f>Tabelle4!L13</f>
        <v>5615</v>
      </c>
    </row>
    <row r="268" spans="1:6" x14ac:dyDescent="0.25">
      <c r="A268" s="55">
        <f>Tabelle4!B14</f>
        <v>153</v>
      </c>
      <c r="B268">
        <f>Tabelle4!A14</f>
        <v>2020</v>
      </c>
      <c r="C268" t="str">
        <f>VLOOKUP(A268,[2]Tabelle1!$A$1:$B$68,2,FALSE)</f>
        <v>Goslar</v>
      </c>
      <c r="D268" s="55" t="s">
        <v>114</v>
      </c>
      <c r="E268" t="str">
        <f>VLOOKUP(A268,[3]Tabelle1!$A$2:$C$53,3,FALSE)</f>
        <v>K03153</v>
      </c>
      <c r="F268">
        <f>Tabelle4!L14</f>
        <v>4485</v>
      </c>
    </row>
    <row r="269" spans="1:6" x14ac:dyDescent="0.25">
      <c r="A269" s="55">
        <f>Tabelle4!B15</f>
        <v>154</v>
      </c>
      <c r="B269">
        <f>Tabelle4!A15</f>
        <v>2020</v>
      </c>
      <c r="C269" t="str">
        <f>VLOOKUP(A269,[2]Tabelle1!$A$1:$B$68,2,FALSE)</f>
        <v>Helmstedt</v>
      </c>
      <c r="D269" s="55" t="s">
        <v>114</v>
      </c>
      <c r="E269" t="str">
        <f>VLOOKUP(A269,[3]Tabelle1!$A$2:$C$53,3,FALSE)</f>
        <v>K03154</v>
      </c>
      <c r="F269">
        <f>Tabelle4!L15</f>
        <v>2705</v>
      </c>
    </row>
    <row r="270" spans="1:6" x14ac:dyDescent="0.25">
      <c r="A270" s="55">
        <f>Tabelle4!B16</f>
        <v>155</v>
      </c>
      <c r="B270">
        <f>Tabelle4!A16</f>
        <v>2020</v>
      </c>
      <c r="C270" t="str">
        <f>VLOOKUP(A270,[2]Tabelle1!$A$1:$B$68,2,FALSE)</f>
        <v>Northeim</v>
      </c>
      <c r="D270" s="55" t="s">
        <v>114</v>
      </c>
      <c r="E270" t="str">
        <f>VLOOKUP(A270,[3]Tabelle1!$A$2:$C$53,3,FALSE)</f>
        <v>K03155</v>
      </c>
      <c r="F270">
        <f>Tabelle4!L16</f>
        <v>3660</v>
      </c>
    </row>
    <row r="271" spans="1:6" x14ac:dyDescent="0.25">
      <c r="A271" s="55">
        <f>Tabelle4!B17</f>
        <v>157</v>
      </c>
      <c r="B271">
        <f>Tabelle4!A17</f>
        <v>2020</v>
      </c>
      <c r="C271" t="str">
        <f>VLOOKUP(A271,[2]Tabelle1!$A$1:$B$68,2,FALSE)</f>
        <v>Peine</v>
      </c>
      <c r="D271" s="55" t="s">
        <v>114</v>
      </c>
      <c r="E271" t="str">
        <f>VLOOKUP(A271,[3]Tabelle1!$A$2:$C$53,3,FALSE)</f>
        <v>K03157</v>
      </c>
      <c r="F271">
        <f>Tabelle4!L17</f>
        <v>4830</v>
      </c>
    </row>
    <row r="272" spans="1:6" x14ac:dyDescent="0.25">
      <c r="A272" s="55">
        <f>Tabelle4!B18</f>
        <v>158</v>
      </c>
      <c r="B272">
        <f>Tabelle4!A18</f>
        <v>2020</v>
      </c>
      <c r="C272" t="str">
        <f>VLOOKUP(A272,[2]Tabelle1!$A$1:$B$68,2,FALSE)</f>
        <v>Wolfenbüttel</v>
      </c>
      <c r="D272" s="55" t="s">
        <v>114</v>
      </c>
      <c r="E272" t="str">
        <f>VLOOKUP(A272,[3]Tabelle1!$A$2:$C$53,3,FALSE)</f>
        <v>K03158</v>
      </c>
      <c r="F272">
        <f>Tabelle4!L18</f>
        <v>3095</v>
      </c>
    </row>
    <row r="273" spans="1:6" x14ac:dyDescent="0.25">
      <c r="A273" s="55">
        <f>Tabelle4!B19</f>
        <v>159</v>
      </c>
      <c r="B273">
        <f>Tabelle4!A19</f>
        <v>2020</v>
      </c>
      <c r="C273" t="str">
        <f>VLOOKUP(A273,[2]Tabelle1!$A$1:$B$68,2,FALSE)</f>
        <v>Göttingen</v>
      </c>
      <c r="D273" s="55" t="s">
        <v>114</v>
      </c>
      <c r="E273" t="str">
        <f>VLOOKUP(A273,[3]Tabelle1!$A$2:$C$53,3,FALSE)</f>
        <v>K03159</v>
      </c>
      <c r="F273">
        <f>Tabelle4!L19</f>
        <v>12010</v>
      </c>
    </row>
    <row r="274" spans="1:6" x14ac:dyDescent="0.25">
      <c r="A274" s="55">
        <f>Tabelle4!B20</f>
        <v>2</v>
      </c>
      <c r="B274">
        <f>Tabelle4!A20</f>
        <v>2020</v>
      </c>
      <c r="C274" t="str">
        <f>VLOOKUP(A274,[2]Tabelle1!$A$1:$B$68,2,FALSE)</f>
        <v>Stat. Region Hannover</v>
      </c>
      <c r="D274" s="55" t="s">
        <v>114</v>
      </c>
      <c r="E274" t="str">
        <f>VLOOKUP(A274,[3]Tabelle1!$A$2:$C$53,3,FALSE)</f>
        <v>K032</v>
      </c>
      <c r="F274">
        <f>Tabelle4!L20</f>
        <v>120305</v>
      </c>
    </row>
    <row r="275" spans="1:6" x14ac:dyDescent="0.25">
      <c r="A275" s="55">
        <f>Tabelle4!B21</f>
        <v>241</v>
      </c>
      <c r="B275">
        <f>Tabelle4!A21</f>
        <v>2020</v>
      </c>
      <c r="C275" t="str">
        <f>VLOOKUP(A275,[2]Tabelle1!$A$1:$B$68,2,FALSE)</f>
        <v>Hannover  Region</v>
      </c>
      <c r="D275" s="55" t="s">
        <v>114</v>
      </c>
      <c r="E275" t="str">
        <f>VLOOKUP(A275,[3]Tabelle1!$A$2:$C$53,3,FALSE)</f>
        <v>K03241</v>
      </c>
      <c r="F275">
        <f>Tabelle4!L21</f>
        <v>84290</v>
      </c>
    </row>
    <row r="276" spans="1:6" x14ac:dyDescent="0.25">
      <c r="A276" s="55">
        <f>Tabelle4!B22</f>
        <v>241001</v>
      </c>
      <c r="B276">
        <f>Tabelle4!A22</f>
        <v>2020</v>
      </c>
      <c r="C276" t="str">
        <f>VLOOKUP(A276,[2]Tabelle1!$A$1:$B$68,2,FALSE)</f>
        <v xml:space="preserve">   dav. Hannover  Lhst.</v>
      </c>
      <c r="D276" s="55" t="s">
        <v>114</v>
      </c>
      <c r="E276" t="str">
        <f>VLOOKUP(A276,[3]Tabelle1!$A$2:$C$53,3,FALSE)</f>
        <v>K03241001</v>
      </c>
      <c r="F276">
        <f>Tabelle4!L22</f>
        <v>52235</v>
      </c>
    </row>
    <row r="277" spans="1:6" x14ac:dyDescent="0.25">
      <c r="A277" s="55">
        <f>Tabelle4!B23</f>
        <v>241999</v>
      </c>
      <c r="B277">
        <f>Tabelle4!A23</f>
        <v>2020</v>
      </c>
      <c r="C277" t="str">
        <f>VLOOKUP(A277,[2]Tabelle1!$A$1:$B$68,2,FALSE)</f>
        <v xml:space="preserve">   dav. Hannover  Umland</v>
      </c>
      <c r="D277" s="55" t="s">
        <v>114</v>
      </c>
      <c r="E277" t="str">
        <f>VLOOKUP(A277,[3]Tabelle1!$A$2:$C$53,3,FALSE)</f>
        <v>K03241999</v>
      </c>
      <c r="F277">
        <f>Tabelle4!L23</f>
        <v>32055</v>
      </c>
    </row>
    <row r="278" spans="1:6" x14ac:dyDescent="0.25">
      <c r="A278" s="55">
        <f>Tabelle4!B24</f>
        <v>251</v>
      </c>
      <c r="B278">
        <f>Tabelle4!A24</f>
        <v>2020</v>
      </c>
      <c r="C278" t="str">
        <f>VLOOKUP(A278,[2]Tabelle1!$A$1:$B$68,2,FALSE)</f>
        <v>Diepholz</v>
      </c>
      <c r="D278" s="55" t="s">
        <v>114</v>
      </c>
      <c r="E278" t="str">
        <f>VLOOKUP(A278,[3]Tabelle1!$A$2:$C$53,3,FALSE)</f>
        <v>K03251</v>
      </c>
      <c r="F278">
        <f>Tabelle4!L24</f>
        <v>6230</v>
      </c>
    </row>
    <row r="279" spans="1:6" x14ac:dyDescent="0.25">
      <c r="A279" s="55">
        <f>Tabelle4!B25</f>
        <v>252</v>
      </c>
      <c r="B279">
        <f>Tabelle4!A25</f>
        <v>2020</v>
      </c>
      <c r="C279" t="str">
        <f>VLOOKUP(A279,[2]Tabelle1!$A$1:$B$68,2,FALSE)</f>
        <v>Hameln-Pyrmont</v>
      </c>
      <c r="D279" s="55" t="s">
        <v>114</v>
      </c>
      <c r="E279" t="str">
        <f>VLOOKUP(A279,[3]Tabelle1!$A$2:$C$53,3,FALSE)</f>
        <v>K03252</v>
      </c>
      <c r="F279">
        <f>Tabelle4!L25</f>
        <v>7640</v>
      </c>
    </row>
    <row r="280" spans="1:6" x14ac:dyDescent="0.25">
      <c r="A280" s="55">
        <f>Tabelle4!B26</f>
        <v>254</v>
      </c>
      <c r="B280">
        <f>Tabelle4!A26</f>
        <v>2020</v>
      </c>
      <c r="C280" t="str">
        <f>VLOOKUP(A280,[2]Tabelle1!$A$1:$B$68,2,FALSE)</f>
        <v>Hildesheim</v>
      </c>
      <c r="D280" s="55" t="s">
        <v>114</v>
      </c>
      <c r="E280" t="str">
        <f>VLOOKUP(A280,[3]Tabelle1!$A$2:$C$53,3,FALSE)</f>
        <v>K03254</v>
      </c>
      <c r="F280">
        <f>Tabelle4!L26</f>
        <v>10160</v>
      </c>
    </row>
    <row r="281" spans="1:6" x14ac:dyDescent="0.25">
      <c r="A281" s="55">
        <f>Tabelle4!B27</f>
        <v>255</v>
      </c>
      <c r="B281">
        <f>Tabelle4!A27</f>
        <v>2020</v>
      </c>
      <c r="C281" t="str">
        <f>VLOOKUP(A281,[2]Tabelle1!$A$1:$B$68,2,FALSE)</f>
        <v>Holzminden</v>
      </c>
      <c r="D281" s="55" t="s">
        <v>114</v>
      </c>
      <c r="E281" t="str">
        <f>VLOOKUP(A281,[3]Tabelle1!$A$2:$C$53,3,FALSE)</f>
        <v>K03255</v>
      </c>
      <c r="F281">
        <f>Tabelle4!L27</f>
        <v>2150</v>
      </c>
    </row>
    <row r="282" spans="1:6" x14ac:dyDescent="0.25">
      <c r="A282" s="55">
        <f>Tabelle4!B28</f>
        <v>256</v>
      </c>
      <c r="B282" t="str">
        <f>Tabelle4!A28</f>
        <v>2020</v>
      </c>
      <c r="C282" t="str">
        <f>VLOOKUP(A282,[2]Tabelle1!$A$1:$B$68,2,FALSE)</f>
        <v>Nienburg (Weser)</v>
      </c>
      <c r="D282" s="55" t="s">
        <v>114</v>
      </c>
      <c r="E282" t="str">
        <f>VLOOKUP(A282,[3]Tabelle1!$A$2:$C$53,3,FALSE)</f>
        <v>K03256</v>
      </c>
      <c r="F282">
        <f>Tabelle4!L28</f>
        <v>3600</v>
      </c>
    </row>
    <row r="283" spans="1:6" x14ac:dyDescent="0.25">
      <c r="A283" s="55">
        <f>Tabelle4!B29</f>
        <v>257</v>
      </c>
      <c r="B283" t="str">
        <f>Tabelle4!A29</f>
        <v>2020</v>
      </c>
      <c r="C283" t="str">
        <f>VLOOKUP(A283,[2]Tabelle1!$A$1:$B$68,2,FALSE)</f>
        <v>Schaumburg</v>
      </c>
      <c r="D283" s="55" t="s">
        <v>114</v>
      </c>
      <c r="E283" t="str">
        <f>VLOOKUP(A283,[3]Tabelle1!$A$2:$C$53,3,FALSE)</f>
        <v>K03257</v>
      </c>
      <c r="F283">
        <f>Tabelle4!L29</f>
        <v>6235</v>
      </c>
    </row>
    <row r="284" spans="1:6" x14ac:dyDescent="0.25">
      <c r="A284" s="55">
        <f>Tabelle4!B30</f>
        <v>3</v>
      </c>
      <c r="B284">
        <f>Tabelle4!A30</f>
        <v>2020</v>
      </c>
      <c r="C284" t="str">
        <f>VLOOKUP(A284,[2]Tabelle1!$A$1:$B$68,2,FALSE)</f>
        <v>Stat. Region Lüneburg</v>
      </c>
      <c r="D284" s="55" t="s">
        <v>114</v>
      </c>
      <c r="E284" t="str">
        <f>VLOOKUP(A284,[3]Tabelle1!$A$2:$C$53,3,FALSE)</f>
        <v>K033</v>
      </c>
      <c r="F284">
        <f>Tabelle4!L30</f>
        <v>49975</v>
      </c>
    </row>
    <row r="285" spans="1:6" x14ac:dyDescent="0.25">
      <c r="A285" s="55">
        <f>Tabelle4!B31</f>
        <v>351</v>
      </c>
      <c r="B285">
        <f>Tabelle4!A31</f>
        <v>2020</v>
      </c>
      <c r="C285" t="str">
        <f>VLOOKUP(A285,[2]Tabelle1!$A$1:$B$68,2,FALSE)</f>
        <v>Celle</v>
      </c>
      <c r="D285" s="55" t="s">
        <v>114</v>
      </c>
      <c r="E285" t="str">
        <f>VLOOKUP(A285,[3]Tabelle1!$A$2:$C$53,3,FALSE)</f>
        <v>K03351</v>
      </c>
      <c r="F285">
        <f>Tabelle4!L31</f>
        <v>5195</v>
      </c>
    </row>
    <row r="286" spans="1:6" x14ac:dyDescent="0.25">
      <c r="A286" s="55">
        <f>Tabelle4!B32</f>
        <v>352</v>
      </c>
      <c r="B286">
        <f>Tabelle4!A32</f>
        <v>2020</v>
      </c>
      <c r="C286" t="str">
        <f>VLOOKUP(A286,[2]Tabelle1!$A$1:$B$68,2,FALSE)</f>
        <v>Cuxhaven</v>
      </c>
      <c r="D286" s="55" t="s">
        <v>114</v>
      </c>
      <c r="E286" t="str">
        <f>VLOOKUP(A286,[3]Tabelle1!$A$2:$C$53,3,FALSE)</f>
        <v>K03352</v>
      </c>
      <c r="F286">
        <f>Tabelle4!L32</f>
        <v>5825</v>
      </c>
    </row>
    <row r="287" spans="1:6" x14ac:dyDescent="0.25">
      <c r="A287" s="55">
        <f>Tabelle4!B33</f>
        <v>353</v>
      </c>
      <c r="B287">
        <f>Tabelle4!A33</f>
        <v>2020</v>
      </c>
      <c r="C287" t="str">
        <f>VLOOKUP(A287,[2]Tabelle1!$A$1:$B$68,2,FALSE)</f>
        <v>Harburg</v>
      </c>
      <c r="D287" s="55" t="s">
        <v>114</v>
      </c>
      <c r="E287" t="str">
        <f>VLOOKUP(A287,[3]Tabelle1!$A$2:$C$53,3,FALSE)</f>
        <v>K03353</v>
      </c>
      <c r="F287">
        <f>Tabelle4!L33</f>
        <v>9200</v>
      </c>
    </row>
    <row r="288" spans="1:6" x14ac:dyDescent="0.25">
      <c r="A288" s="55">
        <f>Tabelle4!B34</f>
        <v>354</v>
      </c>
      <c r="B288">
        <f>Tabelle4!A34</f>
        <v>2020</v>
      </c>
      <c r="C288" t="str">
        <f>VLOOKUP(A288,[2]Tabelle1!$A$1:$B$68,2,FALSE)</f>
        <v>Lüchow-Dannenberg</v>
      </c>
      <c r="D288" s="55" t="s">
        <v>114</v>
      </c>
      <c r="E288" t="str">
        <f>VLOOKUP(A288,[3]Tabelle1!$A$2:$C$53,3,FALSE)</f>
        <v>K03354</v>
      </c>
      <c r="F288">
        <f>Tabelle4!L34</f>
        <v>885</v>
      </c>
    </row>
    <row r="289" spans="1:6" x14ac:dyDescent="0.25">
      <c r="A289" s="55">
        <f>Tabelle4!B35</f>
        <v>355</v>
      </c>
      <c r="B289">
        <f>Tabelle4!A35</f>
        <v>2020</v>
      </c>
      <c r="C289" t="str">
        <f>VLOOKUP(A289,[2]Tabelle1!$A$1:$B$68,2,FALSE)</f>
        <v>Lüneburg</v>
      </c>
      <c r="D289" s="55" t="s">
        <v>114</v>
      </c>
      <c r="E289" t="str">
        <f>VLOOKUP(A289,[3]Tabelle1!$A$2:$C$53,3,FALSE)</f>
        <v>K03355</v>
      </c>
      <c r="F289">
        <f>Tabelle4!L35</f>
        <v>4315</v>
      </c>
    </row>
    <row r="290" spans="1:6" x14ac:dyDescent="0.25">
      <c r="A290" s="55">
        <f>Tabelle4!B36</f>
        <v>356</v>
      </c>
      <c r="B290">
        <f>Tabelle4!A36</f>
        <v>2020</v>
      </c>
      <c r="C290" t="str">
        <f>VLOOKUP(A290,[2]Tabelle1!$A$1:$B$68,2,FALSE)</f>
        <v>Osterholz</v>
      </c>
      <c r="D290" s="55" t="s">
        <v>114</v>
      </c>
      <c r="E290" t="str">
        <f>VLOOKUP(A290,[3]Tabelle1!$A$2:$C$53,3,FALSE)</f>
        <v>K03356</v>
      </c>
      <c r="F290">
        <f>Tabelle4!L36</f>
        <v>2990</v>
      </c>
    </row>
    <row r="291" spans="1:6" x14ac:dyDescent="0.25">
      <c r="A291" s="55">
        <f>Tabelle4!B37</f>
        <v>357</v>
      </c>
      <c r="B291">
        <f>Tabelle4!A37</f>
        <v>2020</v>
      </c>
      <c r="C291" t="str">
        <f>VLOOKUP(A291,[2]Tabelle1!$A$1:$B$68,2,FALSE)</f>
        <v>Rotenburg (Wümme)</v>
      </c>
      <c r="D291" s="55" t="s">
        <v>114</v>
      </c>
      <c r="E291" t="str">
        <f>VLOOKUP(A291,[3]Tabelle1!$A$2:$C$53,3,FALSE)</f>
        <v>K03357</v>
      </c>
      <c r="F291">
        <f>Tabelle4!L37</f>
        <v>4460</v>
      </c>
    </row>
    <row r="292" spans="1:6" x14ac:dyDescent="0.25">
      <c r="A292" s="55">
        <f>Tabelle4!B38</f>
        <v>358</v>
      </c>
      <c r="B292">
        <f>Tabelle4!A38</f>
        <v>2020</v>
      </c>
      <c r="C292" t="str">
        <f>VLOOKUP(A292,[2]Tabelle1!$A$1:$B$68,2,FALSE)</f>
        <v>Heidekreis</v>
      </c>
      <c r="D292" s="55" t="s">
        <v>114</v>
      </c>
      <c r="E292" t="str">
        <f>VLOOKUP(A292,[3]Tabelle1!$A$2:$C$53,3,FALSE)</f>
        <v>K03358</v>
      </c>
      <c r="F292">
        <f>Tabelle4!L38</f>
        <v>4330</v>
      </c>
    </row>
    <row r="293" spans="1:6" x14ac:dyDescent="0.25">
      <c r="A293" s="55">
        <f>Tabelle4!B39</f>
        <v>359</v>
      </c>
      <c r="B293">
        <f>Tabelle4!A39</f>
        <v>2020</v>
      </c>
      <c r="C293" t="str">
        <f>VLOOKUP(A293,[2]Tabelle1!$A$1:$B$68,2,FALSE)</f>
        <v>Stade</v>
      </c>
      <c r="D293" s="55" t="s">
        <v>114</v>
      </c>
      <c r="E293" t="str">
        <f>VLOOKUP(A293,[3]Tabelle1!$A$2:$C$53,3,FALSE)</f>
        <v>K03359</v>
      </c>
      <c r="F293">
        <f>Tabelle4!L39</f>
        <v>6140</v>
      </c>
    </row>
    <row r="294" spans="1:6" x14ac:dyDescent="0.25">
      <c r="A294" s="55">
        <f>Tabelle4!B40</f>
        <v>360</v>
      </c>
      <c r="B294">
        <f>Tabelle4!A40</f>
        <v>2020</v>
      </c>
      <c r="C294" t="str">
        <f>VLOOKUP(A294,[2]Tabelle1!$A$1:$B$68,2,FALSE)</f>
        <v>Uelzen</v>
      </c>
      <c r="D294" s="55" t="s">
        <v>114</v>
      </c>
      <c r="E294" t="str">
        <f>VLOOKUP(A294,[3]Tabelle1!$A$2:$C$53,3,FALSE)</f>
        <v>K03360</v>
      </c>
      <c r="F294">
        <f>Tabelle4!L40</f>
        <v>1870</v>
      </c>
    </row>
    <row r="295" spans="1:6" x14ac:dyDescent="0.25">
      <c r="A295" s="55">
        <f>Tabelle4!B41</f>
        <v>361</v>
      </c>
      <c r="B295">
        <f>Tabelle4!A41</f>
        <v>2020</v>
      </c>
      <c r="C295" t="str">
        <f>VLOOKUP(A295,[2]Tabelle1!$A$1:$B$68,2,FALSE)</f>
        <v>Verden</v>
      </c>
      <c r="D295" s="55" t="s">
        <v>114</v>
      </c>
      <c r="E295" t="str">
        <f>VLOOKUP(A295,[3]Tabelle1!$A$2:$C$53,3,FALSE)</f>
        <v>K03361</v>
      </c>
      <c r="F295">
        <f>Tabelle4!L41</f>
        <v>4770</v>
      </c>
    </row>
    <row r="296" spans="1:6" x14ac:dyDescent="0.25">
      <c r="A296" s="55">
        <f>Tabelle4!B42</f>
        <v>4</v>
      </c>
      <c r="B296">
        <f>Tabelle4!A42</f>
        <v>2020</v>
      </c>
      <c r="C296" t="str">
        <f>VLOOKUP(A296,[2]Tabelle1!$A$1:$B$68,2,FALSE)</f>
        <v>Stat. Region Weser-Ems</v>
      </c>
      <c r="D296" s="55" t="s">
        <v>114</v>
      </c>
      <c r="E296" t="str">
        <f>VLOOKUP(A296,[3]Tabelle1!$A$2:$C$53,3,FALSE)</f>
        <v>K034</v>
      </c>
      <c r="F296">
        <f>Tabelle4!L42</f>
        <v>91920</v>
      </c>
    </row>
    <row r="297" spans="1:6" x14ac:dyDescent="0.25">
      <c r="A297" s="55">
        <f>Tabelle4!B43</f>
        <v>401</v>
      </c>
      <c r="B297">
        <f>Tabelle4!A43</f>
        <v>2020</v>
      </c>
      <c r="C297" t="str">
        <f>VLOOKUP(A297,[2]Tabelle1!$A$1:$B$68,2,FALSE)</f>
        <v>Delmenhorst  Stadt</v>
      </c>
      <c r="D297" s="55" t="s">
        <v>114</v>
      </c>
      <c r="E297" t="str">
        <f>VLOOKUP(A297,[3]Tabelle1!$A$2:$C$53,3,FALSE)</f>
        <v>K03401</v>
      </c>
      <c r="F297">
        <f>Tabelle4!L43</f>
        <v>4830</v>
      </c>
    </row>
    <row r="298" spans="1:6" x14ac:dyDescent="0.25">
      <c r="A298" s="55">
        <f>Tabelle4!B44</f>
        <v>402</v>
      </c>
      <c r="B298">
        <f>Tabelle4!A44</f>
        <v>2020</v>
      </c>
      <c r="C298" t="str">
        <f>VLOOKUP(A298,[2]Tabelle1!$A$1:$B$68,2,FALSE)</f>
        <v>Emden  Stadt</v>
      </c>
      <c r="D298" s="55" t="s">
        <v>114</v>
      </c>
      <c r="E298" t="str">
        <f>VLOOKUP(A298,[3]Tabelle1!$A$2:$C$53,3,FALSE)</f>
        <v>K03402</v>
      </c>
      <c r="F298">
        <f>Tabelle4!L44</f>
        <v>1450</v>
      </c>
    </row>
    <row r="299" spans="1:6" x14ac:dyDescent="0.25">
      <c r="A299" s="55">
        <f>Tabelle4!B45</f>
        <v>403</v>
      </c>
      <c r="B299">
        <f>Tabelle4!A45</f>
        <v>2020</v>
      </c>
      <c r="C299" t="str">
        <f>VLOOKUP(A299,[2]Tabelle1!$A$1:$B$68,2,FALSE)</f>
        <v>Oldenburg(Oldb)  Stadt</v>
      </c>
      <c r="D299" s="55" t="s">
        <v>114</v>
      </c>
      <c r="E299" t="str">
        <f>VLOOKUP(A299,[3]Tabelle1!$A$2:$C$53,3,FALSE)</f>
        <v>K03403</v>
      </c>
      <c r="F299">
        <f>Tabelle4!L45</f>
        <v>5705</v>
      </c>
    </row>
    <row r="300" spans="1:6" x14ac:dyDescent="0.25">
      <c r="A300" s="55">
        <f>Tabelle4!B46</f>
        <v>404</v>
      </c>
      <c r="B300">
        <f>Tabelle4!A46</f>
        <v>2020</v>
      </c>
      <c r="C300" t="str">
        <f>VLOOKUP(A300,[2]Tabelle1!$A$1:$B$68,2,FALSE)</f>
        <v>Osnabrück  Stadt</v>
      </c>
      <c r="D300" s="55" t="s">
        <v>114</v>
      </c>
      <c r="E300" t="str">
        <f>VLOOKUP(A300,[3]Tabelle1!$A$2:$C$53,3,FALSE)</f>
        <v>K03404</v>
      </c>
      <c r="F300">
        <f>Tabelle4!L46</f>
        <v>9820</v>
      </c>
    </row>
    <row r="301" spans="1:6" x14ac:dyDescent="0.25">
      <c r="A301" s="55">
        <f>Tabelle4!B47</f>
        <v>405</v>
      </c>
      <c r="B301">
        <f>Tabelle4!A47</f>
        <v>2020</v>
      </c>
      <c r="C301" t="str">
        <f>VLOOKUP(A301,[2]Tabelle1!$A$1:$B$68,2,FALSE)</f>
        <v>Wilhelmshaven  Stadt</v>
      </c>
      <c r="D301" s="55" t="s">
        <v>114</v>
      </c>
      <c r="E301" t="str">
        <f>VLOOKUP(A301,[3]Tabelle1!$A$2:$C$53,3,FALSE)</f>
        <v>K03405</v>
      </c>
      <c r="F301">
        <f>Tabelle4!L47</f>
        <v>2230</v>
      </c>
    </row>
    <row r="302" spans="1:6" x14ac:dyDescent="0.25">
      <c r="A302" s="55">
        <f>Tabelle4!B48</f>
        <v>451</v>
      </c>
      <c r="B302">
        <f>Tabelle4!A48</f>
        <v>2020</v>
      </c>
      <c r="C302" t="str">
        <f>VLOOKUP(A302,[2]Tabelle1!$A$1:$B$68,2,FALSE)</f>
        <v>Ammerland</v>
      </c>
      <c r="D302" s="55" t="s">
        <v>114</v>
      </c>
      <c r="E302" t="str">
        <f>VLOOKUP(A302,[3]Tabelle1!$A$2:$C$53,3,FALSE)</f>
        <v>K03451</v>
      </c>
      <c r="F302">
        <f>Tabelle4!L48</f>
        <v>2525</v>
      </c>
    </row>
    <row r="303" spans="1:6" x14ac:dyDescent="0.25">
      <c r="A303" s="55">
        <f>Tabelle4!B49</f>
        <v>452</v>
      </c>
      <c r="B303">
        <f>Tabelle4!A49</f>
        <v>2020</v>
      </c>
      <c r="C303" t="str">
        <f>VLOOKUP(A303,[2]Tabelle1!$A$1:$B$68,2,FALSE)</f>
        <v>Aurich</v>
      </c>
      <c r="D303" s="55" t="s">
        <v>114</v>
      </c>
      <c r="E303" t="str">
        <f>VLOOKUP(A303,[3]Tabelle1!$A$2:$C$53,3,FALSE)</f>
        <v>K03452</v>
      </c>
      <c r="F303">
        <f>Tabelle4!L49</f>
        <v>3525</v>
      </c>
    </row>
    <row r="304" spans="1:6" x14ac:dyDescent="0.25">
      <c r="A304" s="55">
        <f>Tabelle4!B50</f>
        <v>453</v>
      </c>
      <c r="B304">
        <f>Tabelle4!A50</f>
        <v>2020</v>
      </c>
      <c r="C304" t="str">
        <f>VLOOKUP(A304,[2]Tabelle1!$A$1:$B$68,2,FALSE)</f>
        <v>Cloppenburg</v>
      </c>
      <c r="D304" s="55" t="s">
        <v>114</v>
      </c>
      <c r="E304" t="str">
        <f>VLOOKUP(A304,[3]Tabelle1!$A$2:$C$53,3,FALSE)</f>
        <v>K03453</v>
      </c>
      <c r="F304">
        <f>Tabelle4!L50</f>
        <v>5345</v>
      </c>
    </row>
    <row r="305" spans="1:6" x14ac:dyDescent="0.25">
      <c r="A305" s="55">
        <f>Tabelle4!B51</f>
        <v>454</v>
      </c>
      <c r="B305">
        <f>Tabelle4!A51</f>
        <v>2020</v>
      </c>
      <c r="C305" t="str">
        <f>VLOOKUP(A305,[2]Tabelle1!$A$1:$B$68,2,FALSE)</f>
        <v>Emsland</v>
      </c>
      <c r="D305" s="55" t="s">
        <v>114</v>
      </c>
      <c r="E305" t="str">
        <f>VLOOKUP(A305,[3]Tabelle1!$A$2:$C$53,3,FALSE)</f>
        <v>K03454</v>
      </c>
      <c r="F305">
        <f>Tabelle4!L51</f>
        <v>11690</v>
      </c>
    </row>
    <row r="306" spans="1:6" x14ac:dyDescent="0.25">
      <c r="A306" s="55">
        <f>Tabelle4!B52</f>
        <v>455</v>
      </c>
      <c r="B306">
        <f>Tabelle4!A52</f>
        <v>2020</v>
      </c>
      <c r="C306" t="str">
        <f>VLOOKUP(A306,[2]Tabelle1!$A$1:$B$68,2,FALSE)</f>
        <v>Friesland</v>
      </c>
      <c r="D306" s="55" t="s">
        <v>114</v>
      </c>
      <c r="E306" t="str">
        <f>VLOOKUP(A306,[3]Tabelle1!$A$2:$C$53,3,FALSE)</f>
        <v>K03455</v>
      </c>
      <c r="F306">
        <f>Tabelle4!L52</f>
        <v>1730</v>
      </c>
    </row>
    <row r="307" spans="1:6" x14ac:dyDescent="0.25">
      <c r="A307" s="55">
        <f>Tabelle4!B53</f>
        <v>456</v>
      </c>
      <c r="B307">
        <f>Tabelle4!A53</f>
        <v>2020</v>
      </c>
      <c r="C307" t="str">
        <f>VLOOKUP(A307,[2]Tabelle1!$A$1:$B$68,2,FALSE)</f>
        <v>Grafschaft Bentheim</v>
      </c>
      <c r="D307" s="55" t="s">
        <v>114</v>
      </c>
      <c r="E307" t="str">
        <f>VLOOKUP(A307,[3]Tabelle1!$A$2:$C$53,3,FALSE)</f>
        <v>K03456</v>
      </c>
      <c r="F307">
        <f>Tabelle4!L53</f>
        <v>11100</v>
      </c>
    </row>
    <row r="308" spans="1:6" x14ac:dyDescent="0.25">
      <c r="A308" s="55">
        <f>Tabelle4!B54</f>
        <v>457</v>
      </c>
      <c r="B308">
        <f>Tabelle4!A54</f>
        <v>2020</v>
      </c>
      <c r="C308" t="str">
        <f>VLOOKUP(A308,[2]Tabelle1!$A$1:$B$68,2,FALSE)</f>
        <v>Leer</v>
      </c>
      <c r="D308" s="55" t="s">
        <v>114</v>
      </c>
      <c r="E308" t="str">
        <f>VLOOKUP(A308,[3]Tabelle1!$A$2:$C$53,3,FALSE)</f>
        <v>K03457</v>
      </c>
      <c r="F308">
        <f>Tabelle4!L54</f>
        <v>4930</v>
      </c>
    </row>
    <row r="309" spans="1:6" x14ac:dyDescent="0.25">
      <c r="A309" s="55">
        <f>Tabelle4!B55</f>
        <v>458</v>
      </c>
      <c r="B309">
        <f>Tabelle4!A55</f>
        <v>2020</v>
      </c>
      <c r="C309" t="str">
        <f>VLOOKUP(A309,[2]Tabelle1!$A$1:$B$68,2,FALSE)</f>
        <v>Oldenburg</v>
      </c>
      <c r="D309" s="55" t="s">
        <v>114</v>
      </c>
      <c r="E309" t="str">
        <f>VLOOKUP(A309,[3]Tabelle1!$A$2:$C$53,3,FALSE)</f>
        <v>K03458</v>
      </c>
      <c r="F309">
        <f>Tabelle4!L55</f>
        <v>3335</v>
      </c>
    </row>
    <row r="310" spans="1:6" x14ac:dyDescent="0.25">
      <c r="A310" s="55">
        <f>Tabelle4!B56</f>
        <v>459</v>
      </c>
      <c r="B310">
        <f>Tabelle4!A56</f>
        <v>2020</v>
      </c>
      <c r="C310" t="str">
        <f>VLOOKUP(A310,[2]Tabelle1!$A$1:$B$68,2,FALSE)</f>
        <v>Osnabrück</v>
      </c>
      <c r="D310" s="55" t="s">
        <v>114</v>
      </c>
      <c r="E310" t="str">
        <f>VLOOKUP(A310,[3]Tabelle1!$A$2:$C$53,3,FALSE)</f>
        <v>K03459</v>
      </c>
      <c r="F310">
        <f>Tabelle4!L56</f>
        <v>13025</v>
      </c>
    </row>
    <row r="311" spans="1:6" x14ac:dyDescent="0.25">
      <c r="A311" s="55">
        <f>Tabelle4!B57</f>
        <v>460</v>
      </c>
      <c r="B311">
        <f>Tabelle4!A57</f>
        <v>2020</v>
      </c>
      <c r="C311" t="str">
        <f>VLOOKUP(A311,[2]Tabelle1!$A$1:$B$68,2,FALSE)</f>
        <v>Vechta</v>
      </c>
      <c r="D311" s="55" t="s">
        <v>114</v>
      </c>
      <c r="E311" t="str">
        <f>VLOOKUP(A311,[3]Tabelle1!$A$2:$C$53,3,FALSE)</f>
        <v>K03460</v>
      </c>
      <c r="F311">
        <f>Tabelle4!L57</f>
        <v>6625</v>
      </c>
    </row>
    <row r="312" spans="1:6" x14ac:dyDescent="0.25">
      <c r="A312" s="55">
        <f>Tabelle4!B58</f>
        <v>461</v>
      </c>
      <c r="B312">
        <f>Tabelle4!A58</f>
        <v>2020</v>
      </c>
      <c r="C312" t="str">
        <f>VLOOKUP(A312,[2]Tabelle1!$A$1:$B$68,2,FALSE)</f>
        <v>Wesermarsch</v>
      </c>
      <c r="D312" s="55" t="s">
        <v>114</v>
      </c>
      <c r="E312" t="str">
        <f>VLOOKUP(A312,[3]Tabelle1!$A$2:$C$53,3,FALSE)</f>
        <v>K03461</v>
      </c>
      <c r="F312">
        <f>Tabelle4!L58</f>
        <v>3155</v>
      </c>
    </row>
    <row r="313" spans="1:6" x14ac:dyDescent="0.25">
      <c r="A313" s="55">
        <f>Tabelle4!B59</f>
        <v>462</v>
      </c>
      <c r="B313">
        <f>Tabelle4!A59</f>
        <v>2020</v>
      </c>
      <c r="C313" t="str">
        <f>VLOOKUP(A313,[2]Tabelle1!$A$1:$B$68,2,FALSE)</f>
        <v>Wittmund</v>
      </c>
      <c r="D313" s="55" t="s">
        <v>114</v>
      </c>
      <c r="E313" t="str">
        <f>VLOOKUP(A313,[3]Tabelle1!$A$2:$C$53,3,FALSE)</f>
        <v>K03462</v>
      </c>
      <c r="F313">
        <f>Tabelle4!L59</f>
        <v>890</v>
      </c>
    </row>
    <row r="314" spans="1:6" x14ac:dyDescent="0.25">
      <c r="A314" s="55"/>
      <c r="D314" s="55"/>
    </row>
    <row r="315" spans="1:6" x14ac:dyDescent="0.25">
      <c r="A315" s="55"/>
      <c r="D315" s="55"/>
    </row>
    <row r="316" spans="1:6" x14ac:dyDescent="0.25">
      <c r="A316" s="55"/>
      <c r="D316" s="55"/>
    </row>
    <row r="317" spans="1:6" x14ac:dyDescent="0.25">
      <c r="A317" s="55"/>
      <c r="D317" s="55"/>
    </row>
    <row r="318" spans="1:6" x14ac:dyDescent="0.25">
      <c r="A318" s="55"/>
      <c r="D318" s="55"/>
    </row>
    <row r="319" spans="1:6" x14ac:dyDescent="0.25">
      <c r="A319" s="55"/>
      <c r="D319" s="55"/>
    </row>
    <row r="320" spans="1:6" x14ac:dyDescent="0.25">
      <c r="A320" s="55"/>
      <c r="D320" s="55"/>
    </row>
    <row r="321" spans="1:4" x14ac:dyDescent="0.25">
      <c r="A321" s="55"/>
      <c r="D321" s="55"/>
    </row>
    <row r="322" spans="1:4" x14ac:dyDescent="0.25">
      <c r="A322" s="55"/>
      <c r="D322" s="55"/>
    </row>
    <row r="323" spans="1:4" x14ac:dyDescent="0.25">
      <c r="A323" s="55"/>
      <c r="D323" s="55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DC10-10A4-449A-8528-8242C04569EA}">
  <sheetPr codeName="Tabelle5"/>
  <dimension ref="A1:F317"/>
  <sheetViews>
    <sheetView workbookViewId="0">
      <selection activeCell="F1" sqref="F1:F1048576"/>
    </sheetView>
  </sheetViews>
  <sheetFormatPr baseColWidth="10" defaultRowHeight="15" x14ac:dyDescent="0.25"/>
  <sheetData>
    <row r="1" spans="1:6" x14ac:dyDescent="0.25">
      <c r="A1" t="s">
        <v>13</v>
      </c>
      <c r="B1" t="s">
        <v>23</v>
      </c>
      <c r="C1" t="s">
        <v>24</v>
      </c>
      <c r="D1" t="s">
        <v>107</v>
      </c>
      <c r="E1" t="s">
        <v>27</v>
      </c>
      <c r="F1" t="s">
        <v>26</v>
      </c>
    </row>
    <row r="2" spans="1:6" x14ac:dyDescent="0.25">
      <c r="A2">
        <v>0</v>
      </c>
      <c r="B2">
        <v>2020</v>
      </c>
      <c r="C2" t="s">
        <v>115</v>
      </c>
      <c r="D2" t="s">
        <v>109</v>
      </c>
      <c r="E2" t="s">
        <v>116</v>
      </c>
      <c r="F2" s="57">
        <f>Tabelle4!M8</f>
        <v>5.3672069425745574</v>
      </c>
    </row>
    <row r="3" spans="1:6" x14ac:dyDescent="0.25">
      <c r="A3">
        <v>1</v>
      </c>
      <c r="B3">
        <v>2020</v>
      </c>
      <c r="C3" t="s">
        <v>117</v>
      </c>
      <c r="D3" t="s">
        <v>109</v>
      </c>
      <c r="E3" t="s">
        <v>118</v>
      </c>
      <c r="F3" s="57">
        <f>Tabelle4!M9</f>
        <v>1.04907943279772</v>
      </c>
    </row>
    <row r="4" spans="1:6" x14ac:dyDescent="0.25">
      <c r="A4">
        <v>101</v>
      </c>
      <c r="B4">
        <v>2020</v>
      </c>
      <c r="C4" t="s">
        <v>119</v>
      </c>
      <c r="D4" t="s">
        <v>109</v>
      </c>
      <c r="E4" t="s">
        <v>120</v>
      </c>
      <c r="F4" s="57">
        <f>Tabelle4!M10</f>
        <v>0.18067479120405178</v>
      </c>
    </row>
    <row r="5" spans="1:6" x14ac:dyDescent="0.25">
      <c r="A5">
        <v>102</v>
      </c>
      <c r="B5">
        <v>2020</v>
      </c>
      <c r="C5" t="s">
        <v>121</v>
      </c>
      <c r="D5" t="s">
        <v>109</v>
      </c>
      <c r="E5" t="s">
        <v>122</v>
      </c>
      <c r="F5" s="57">
        <f>Tabelle4!M11</f>
        <v>0.11423309379352951</v>
      </c>
    </row>
    <row r="6" spans="1:6" x14ac:dyDescent="0.25">
      <c r="A6">
        <v>103</v>
      </c>
      <c r="B6">
        <v>2020</v>
      </c>
      <c r="C6" t="s">
        <v>123</v>
      </c>
      <c r="D6" t="s">
        <v>109</v>
      </c>
      <c r="E6" t="s">
        <v>124</v>
      </c>
      <c r="F6" s="57">
        <f>Tabelle4!M12</f>
        <v>0.11365027188641966</v>
      </c>
    </row>
    <row r="7" spans="1:6" x14ac:dyDescent="0.25">
      <c r="A7">
        <v>151</v>
      </c>
      <c r="B7">
        <v>2020</v>
      </c>
      <c r="C7" t="s">
        <v>125</v>
      </c>
      <c r="D7" t="s">
        <v>109</v>
      </c>
      <c r="E7" t="s">
        <v>126</v>
      </c>
      <c r="F7" s="57">
        <f>Tabelle4!M13</f>
        <v>6.702451931763212E-2</v>
      </c>
    </row>
    <row r="8" spans="1:6" x14ac:dyDescent="0.25">
      <c r="A8">
        <v>153</v>
      </c>
      <c r="B8">
        <v>2020</v>
      </c>
      <c r="C8" t="s">
        <v>127</v>
      </c>
      <c r="D8" t="s">
        <v>109</v>
      </c>
      <c r="E8" t="s">
        <v>128</v>
      </c>
      <c r="F8" s="57">
        <f>Tabelle4!M14</f>
        <v>0.11714720332907873</v>
      </c>
    </row>
    <row r="9" spans="1:6" x14ac:dyDescent="0.25">
      <c r="A9">
        <v>154</v>
      </c>
      <c r="B9">
        <v>2020</v>
      </c>
      <c r="C9" t="s">
        <v>129</v>
      </c>
      <c r="D9" t="s">
        <v>109</v>
      </c>
      <c r="E9" t="s">
        <v>130</v>
      </c>
      <c r="F9" s="57">
        <f>Tabelle4!M15</f>
        <v>4.371164303323833E-2</v>
      </c>
    </row>
    <row r="10" spans="1:6" x14ac:dyDescent="0.25">
      <c r="A10">
        <v>155</v>
      </c>
      <c r="B10">
        <v>2020</v>
      </c>
      <c r="C10" t="s">
        <v>131</v>
      </c>
      <c r="D10" t="s">
        <v>109</v>
      </c>
      <c r="E10" t="s">
        <v>132</v>
      </c>
      <c r="F10" s="57">
        <f>Tabelle4!M16</f>
        <v>5.3619615454105686E-2</v>
      </c>
    </row>
    <row r="11" spans="1:6" x14ac:dyDescent="0.25">
      <c r="A11">
        <v>157</v>
      </c>
      <c r="B11">
        <v>2020</v>
      </c>
      <c r="C11" t="s">
        <v>133</v>
      </c>
      <c r="D11" t="s">
        <v>109</v>
      </c>
      <c r="E11" t="s">
        <v>134</v>
      </c>
      <c r="F11" s="57">
        <f>Tabelle4!M17</f>
        <v>7.7515313645609304E-2</v>
      </c>
    </row>
    <row r="12" spans="1:6" x14ac:dyDescent="0.25">
      <c r="A12">
        <v>158</v>
      </c>
      <c r="B12">
        <v>2020</v>
      </c>
      <c r="C12" t="s">
        <v>135</v>
      </c>
      <c r="D12" t="s">
        <v>109</v>
      </c>
      <c r="E12" t="s">
        <v>136</v>
      </c>
      <c r="F12" s="57">
        <f>Tabelle4!M18</f>
        <v>3.8466245869249731E-2</v>
      </c>
    </row>
    <row r="13" spans="1:6" x14ac:dyDescent="0.25">
      <c r="A13">
        <v>159</v>
      </c>
      <c r="B13">
        <v>2020</v>
      </c>
      <c r="C13" t="s">
        <v>137</v>
      </c>
      <c r="D13" t="s">
        <v>109</v>
      </c>
      <c r="E13" t="s">
        <v>138</v>
      </c>
      <c r="F13" s="57">
        <f>Tabelle4!M19</f>
        <v>0.24245391335769528</v>
      </c>
    </row>
    <row r="14" spans="1:6" x14ac:dyDescent="0.25">
      <c r="A14">
        <v>2</v>
      </c>
      <c r="B14">
        <v>2020</v>
      </c>
      <c r="C14" t="s">
        <v>139</v>
      </c>
      <c r="D14" t="s">
        <v>109</v>
      </c>
      <c r="E14" t="s">
        <v>140</v>
      </c>
      <c r="F14" s="57">
        <f>Tabelle4!M20</f>
        <v>1.1714720332907873</v>
      </c>
    </row>
    <row r="15" spans="1:6" x14ac:dyDescent="0.25">
      <c r="A15">
        <v>241</v>
      </c>
      <c r="B15">
        <v>2020</v>
      </c>
      <c r="C15" t="s">
        <v>141</v>
      </c>
      <c r="D15" t="s">
        <v>109</v>
      </c>
      <c r="E15" t="s">
        <v>142</v>
      </c>
      <c r="F15" s="57">
        <f>Tabelle4!M21</f>
        <v>0.62245379679331392</v>
      </c>
    </row>
    <row r="16" spans="1:6" x14ac:dyDescent="0.25">
      <c r="A16">
        <v>241001</v>
      </c>
      <c r="B16">
        <v>2020</v>
      </c>
      <c r="C16" t="s">
        <v>143</v>
      </c>
      <c r="D16" t="s">
        <v>109</v>
      </c>
      <c r="E16" t="s">
        <v>144</v>
      </c>
      <c r="F16" s="57">
        <f>Tabelle4!M22</f>
        <v>0.27684040587717612</v>
      </c>
    </row>
    <row r="17" spans="1:6" x14ac:dyDescent="0.25">
      <c r="A17">
        <v>241999</v>
      </c>
      <c r="B17">
        <v>2020</v>
      </c>
      <c r="C17" t="s">
        <v>145</v>
      </c>
      <c r="D17" t="s">
        <v>109</v>
      </c>
      <c r="E17" t="s">
        <v>146</v>
      </c>
      <c r="F17" s="57">
        <f>Tabelle4!M23</f>
        <v>0.27684040587717612</v>
      </c>
    </row>
    <row r="18" spans="1:6" x14ac:dyDescent="0.25">
      <c r="A18">
        <v>251</v>
      </c>
      <c r="B18">
        <v>2020</v>
      </c>
      <c r="C18" t="s">
        <v>147</v>
      </c>
      <c r="D18" t="s">
        <v>109</v>
      </c>
      <c r="E18" t="s">
        <v>148</v>
      </c>
      <c r="F18" s="57">
        <f>Tabelle4!M24</f>
        <v>0.1375459700779233</v>
      </c>
    </row>
    <row r="19" spans="1:6" x14ac:dyDescent="0.25">
      <c r="A19">
        <v>252</v>
      </c>
      <c r="B19">
        <v>2020</v>
      </c>
      <c r="C19" t="s">
        <v>149</v>
      </c>
      <c r="D19" t="s">
        <v>109</v>
      </c>
      <c r="E19" t="s">
        <v>150</v>
      </c>
      <c r="F19" s="57">
        <f>Tabelle4!M25</f>
        <v>8.6257642252256975E-2</v>
      </c>
    </row>
    <row r="20" spans="1:6" x14ac:dyDescent="0.25">
      <c r="A20">
        <v>254</v>
      </c>
      <c r="B20">
        <v>2020</v>
      </c>
      <c r="C20" t="s">
        <v>151</v>
      </c>
      <c r="D20" t="s">
        <v>109</v>
      </c>
      <c r="E20" t="s">
        <v>152</v>
      </c>
      <c r="F20" s="57">
        <f>Tabelle4!M26</f>
        <v>0.15328216156988908</v>
      </c>
    </row>
    <row r="21" spans="1:6" x14ac:dyDescent="0.25">
      <c r="A21">
        <v>255</v>
      </c>
      <c r="B21">
        <v>2020</v>
      </c>
      <c r="C21" t="s">
        <v>153</v>
      </c>
      <c r="D21" t="s">
        <v>109</v>
      </c>
      <c r="E21" t="s">
        <v>154</v>
      </c>
      <c r="F21" s="57">
        <f>Tabelle4!M27</f>
        <v>1.7484657213295333E-2</v>
      </c>
    </row>
    <row r="22" spans="1:6" x14ac:dyDescent="0.25">
      <c r="A22">
        <v>256</v>
      </c>
      <c r="B22">
        <v>2020</v>
      </c>
      <c r="C22" t="s">
        <v>155</v>
      </c>
      <c r="D22" t="s">
        <v>109</v>
      </c>
      <c r="E22" t="s">
        <v>156</v>
      </c>
      <c r="F22" s="57">
        <f>Tabelle4!M28</f>
        <v>6.6441697410522263E-2</v>
      </c>
    </row>
    <row r="23" spans="1:6" x14ac:dyDescent="0.25">
      <c r="A23">
        <v>257</v>
      </c>
      <c r="B23">
        <v>2020</v>
      </c>
      <c r="C23" t="s">
        <v>157</v>
      </c>
      <c r="D23" t="s">
        <v>109</v>
      </c>
      <c r="E23" t="s">
        <v>158</v>
      </c>
      <c r="F23" s="57">
        <f>Tabelle4!M29</f>
        <v>8.8006107973586503E-2</v>
      </c>
    </row>
    <row r="24" spans="1:6" x14ac:dyDescent="0.25">
      <c r="A24">
        <v>3</v>
      </c>
      <c r="B24">
        <v>2020</v>
      </c>
      <c r="C24" t="s">
        <v>159</v>
      </c>
      <c r="D24" t="s">
        <v>109</v>
      </c>
      <c r="E24" t="s">
        <v>160</v>
      </c>
      <c r="F24" s="57">
        <f>Tabelle4!M30</f>
        <v>0.96631872198812208</v>
      </c>
    </row>
    <row r="25" spans="1:6" x14ac:dyDescent="0.25">
      <c r="A25">
        <v>351</v>
      </c>
      <c r="B25">
        <v>2020</v>
      </c>
      <c r="C25" t="s">
        <v>161</v>
      </c>
      <c r="D25" t="s">
        <v>109</v>
      </c>
      <c r="E25" t="s">
        <v>162</v>
      </c>
      <c r="F25" s="57">
        <f>Tabelle4!M31</f>
        <v>8.8006107973586503E-2</v>
      </c>
    </row>
    <row r="26" spans="1:6" x14ac:dyDescent="0.25">
      <c r="A26">
        <v>352</v>
      </c>
      <c r="B26">
        <v>2020</v>
      </c>
      <c r="C26" t="s">
        <v>163</v>
      </c>
      <c r="D26" t="s">
        <v>109</v>
      </c>
      <c r="E26" t="s">
        <v>164</v>
      </c>
      <c r="F26" s="57">
        <f>Tabelle4!M32</f>
        <v>7.5766847924279776E-2</v>
      </c>
    </row>
    <row r="27" spans="1:6" x14ac:dyDescent="0.25">
      <c r="A27">
        <v>353</v>
      </c>
      <c r="B27">
        <v>2020</v>
      </c>
      <c r="C27" t="s">
        <v>165</v>
      </c>
      <c r="D27" t="s">
        <v>109</v>
      </c>
      <c r="E27" t="s">
        <v>166</v>
      </c>
      <c r="F27" s="57">
        <f>Tabelle4!M33</f>
        <v>0.18242325692538133</v>
      </c>
    </row>
    <row r="28" spans="1:6" x14ac:dyDescent="0.25">
      <c r="A28">
        <v>354</v>
      </c>
      <c r="B28">
        <v>2020</v>
      </c>
      <c r="C28" t="s">
        <v>167</v>
      </c>
      <c r="D28" t="s">
        <v>109</v>
      </c>
      <c r="E28" t="s">
        <v>168</v>
      </c>
      <c r="F28" s="57">
        <f>Tabelle4!M34</f>
        <v>2.5061342005723308E-2</v>
      </c>
    </row>
    <row r="29" spans="1:6" x14ac:dyDescent="0.25">
      <c r="A29">
        <v>355</v>
      </c>
      <c r="B29">
        <v>2020</v>
      </c>
      <c r="C29" t="s">
        <v>169</v>
      </c>
      <c r="D29" t="s">
        <v>109</v>
      </c>
      <c r="E29" t="s">
        <v>170</v>
      </c>
      <c r="F29" s="57">
        <f>Tabelle4!M35</f>
        <v>8.5674820345147132E-2</v>
      </c>
    </row>
    <row r="30" spans="1:6" x14ac:dyDescent="0.25">
      <c r="A30">
        <v>356</v>
      </c>
      <c r="B30">
        <v>2020</v>
      </c>
      <c r="C30" t="s">
        <v>171</v>
      </c>
      <c r="D30" t="s">
        <v>109</v>
      </c>
      <c r="E30" t="s">
        <v>172</v>
      </c>
      <c r="F30" s="57">
        <f>Tabelle4!M36</f>
        <v>3.3803670612370981E-2</v>
      </c>
    </row>
    <row r="31" spans="1:6" x14ac:dyDescent="0.25">
      <c r="A31">
        <v>357</v>
      </c>
      <c r="B31">
        <v>2020</v>
      </c>
      <c r="C31" t="s">
        <v>173</v>
      </c>
      <c r="D31" t="s">
        <v>109</v>
      </c>
      <c r="E31" t="s">
        <v>174</v>
      </c>
      <c r="F31" s="57">
        <f>Tabelle4!M37</f>
        <v>9.266868323046526E-2</v>
      </c>
    </row>
    <row r="32" spans="1:6" x14ac:dyDescent="0.25">
      <c r="A32">
        <v>358</v>
      </c>
      <c r="B32">
        <v>2020</v>
      </c>
      <c r="C32" t="s">
        <v>175</v>
      </c>
      <c r="D32" t="s">
        <v>109</v>
      </c>
      <c r="E32" t="s">
        <v>176</v>
      </c>
      <c r="F32" s="57">
        <f>Tabelle4!M38</f>
        <v>0.14512265487035125</v>
      </c>
    </row>
    <row r="33" spans="1:6" x14ac:dyDescent="0.25">
      <c r="A33">
        <v>359</v>
      </c>
      <c r="B33">
        <v>2020</v>
      </c>
      <c r="C33" t="s">
        <v>177</v>
      </c>
      <c r="D33" t="s">
        <v>109</v>
      </c>
      <c r="E33" t="s">
        <v>178</v>
      </c>
      <c r="F33" s="57">
        <f>Tabelle4!M39</f>
        <v>0.12996928528549531</v>
      </c>
    </row>
    <row r="34" spans="1:6" x14ac:dyDescent="0.25">
      <c r="A34">
        <v>360</v>
      </c>
      <c r="B34">
        <v>2020</v>
      </c>
      <c r="C34" t="s">
        <v>179</v>
      </c>
      <c r="D34" t="s">
        <v>109</v>
      </c>
      <c r="E34" t="s">
        <v>180</v>
      </c>
      <c r="F34" s="57">
        <f>Tabelle4!M40</f>
        <v>4.4877286847458023E-2</v>
      </c>
    </row>
    <row r="35" spans="1:6" x14ac:dyDescent="0.25">
      <c r="A35">
        <v>361</v>
      </c>
      <c r="B35">
        <v>2020</v>
      </c>
      <c r="C35" t="s">
        <v>181</v>
      </c>
      <c r="D35" t="s">
        <v>109</v>
      </c>
      <c r="E35" t="s">
        <v>182</v>
      </c>
      <c r="F35" s="57">
        <f>Tabelle4!M41</f>
        <v>6.2944765967863206E-2</v>
      </c>
    </row>
    <row r="36" spans="1:6" x14ac:dyDescent="0.25">
      <c r="A36">
        <v>4</v>
      </c>
      <c r="B36">
        <v>2020</v>
      </c>
      <c r="C36" t="s">
        <v>183</v>
      </c>
      <c r="D36" t="s">
        <v>109</v>
      </c>
      <c r="E36" t="s">
        <v>184</v>
      </c>
      <c r="F36" s="57">
        <f>Tabelle4!M42</f>
        <v>2.1809195764050378</v>
      </c>
    </row>
    <row r="37" spans="1:6" x14ac:dyDescent="0.25">
      <c r="A37">
        <v>401</v>
      </c>
      <c r="B37">
        <v>2020</v>
      </c>
      <c r="C37" t="s">
        <v>185</v>
      </c>
      <c r="D37" t="s">
        <v>109</v>
      </c>
      <c r="E37" t="s">
        <v>186</v>
      </c>
      <c r="F37" s="57">
        <f>Tabelle4!M43</f>
        <v>6.702451931763212E-2</v>
      </c>
    </row>
    <row r="38" spans="1:6" x14ac:dyDescent="0.25">
      <c r="A38">
        <v>402</v>
      </c>
      <c r="B38">
        <v>2020</v>
      </c>
      <c r="C38" t="s">
        <v>187</v>
      </c>
      <c r="D38" t="s">
        <v>109</v>
      </c>
      <c r="E38" t="s">
        <v>188</v>
      </c>
      <c r="F38" s="57">
        <f>Tabelle4!M44</f>
        <v>5.3619615454105686E-2</v>
      </c>
    </row>
    <row r="39" spans="1:6" x14ac:dyDescent="0.25">
      <c r="A39">
        <v>403</v>
      </c>
      <c r="B39">
        <v>2020</v>
      </c>
      <c r="C39" t="s">
        <v>189</v>
      </c>
      <c r="D39" t="s">
        <v>109</v>
      </c>
      <c r="E39" t="s">
        <v>190</v>
      </c>
      <c r="F39" s="57">
        <f>Tabelle4!M45</f>
        <v>0.15794473682676785</v>
      </c>
    </row>
    <row r="40" spans="1:6" x14ac:dyDescent="0.25">
      <c r="A40">
        <v>404</v>
      </c>
      <c r="B40">
        <v>2020</v>
      </c>
      <c r="C40" t="s">
        <v>191</v>
      </c>
      <c r="D40" t="s">
        <v>109</v>
      </c>
      <c r="E40" t="s">
        <v>192</v>
      </c>
      <c r="F40" s="57">
        <f>Tabelle4!M46</f>
        <v>0.15619627110543832</v>
      </c>
    </row>
    <row r="41" spans="1:6" x14ac:dyDescent="0.25">
      <c r="A41">
        <v>405</v>
      </c>
      <c r="B41">
        <v>2020</v>
      </c>
      <c r="C41" t="s">
        <v>193</v>
      </c>
      <c r="D41" t="s">
        <v>109</v>
      </c>
      <c r="E41" t="s">
        <v>194</v>
      </c>
      <c r="F41" s="57">
        <f>Tabelle4!M47</f>
        <v>5.5368081175435221E-2</v>
      </c>
    </row>
    <row r="42" spans="1:6" x14ac:dyDescent="0.25">
      <c r="A42">
        <v>451</v>
      </c>
      <c r="B42">
        <v>2020</v>
      </c>
      <c r="C42" t="s">
        <v>195</v>
      </c>
      <c r="D42" t="s">
        <v>109</v>
      </c>
      <c r="E42" t="s">
        <v>196</v>
      </c>
      <c r="F42" s="57">
        <f>Tabelle4!M48</f>
        <v>6.9938628853181334E-2</v>
      </c>
    </row>
    <row r="43" spans="1:6" x14ac:dyDescent="0.25">
      <c r="A43">
        <v>452</v>
      </c>
      <c r="B43">
        <v>2020</v>
      </c>
      <c r="C43" t="s">
        <v>197</v>
      </c>
      <c r="D43" t="s">
        <v>109</v>
      </c>
      <c r="E43" t="s">
        <v>198</v>
      </c>
      <c r="F43" s="57">
        <f>Tabelle4!M49</f>
        <v>7.6932491738499462E-2</v>
      </c>
    </row>
    <row r="44" spans="1:6" x14ac:dyDescent="0.25">
      <c r="A44">
        <v>453</v>
      </c>
      <c r="B44">
        <v>2020</v>
      </c>
      <c r="C44" t="s">
        <v>199</v>
      </c>
      <c r="D44" t="s">
        <v>109</v>
      </c>
      <c r="E44" t="s">
        <v>200</v>
      </c>
      <c r="F44" s="57">
        <f>Tabelle4!M50</f>
        <v>0.1416257234276922</v>
      </c>
    </row>
    <row r="45" spans="1:6" x14ac:dyDescent="0.25">
      <c r="A45">
        <v>454</v>
      </c>
      <c r="B45">
        <v>2020</v>
      </c>
      <c r="C45" t="s">
        <v>201</v>
      </c>
      <c r="D45" t="s">
        <v>109</v>
      </c>
      <c r="E45" t="s">
        <v>202</v>
      </c>
      <c r="F45" s="57">
        <f>Tabelle4!M51</f>
        <v>0.41322073214087968</v>
      </c>
    </row>
    <row r="46" spans="1:6" x14ac:dyDescent="0.25">
      <c r="A46">
        <v>455</v>
      </c>
      <c r="B46">
        <v>2020</v>
      </c>
      <c r="C46" t="s">
        <v>203</v>
      </c>
      <c r="D46" t="s">
        <v>109</v>
      </c>
      <c r="E46" t="s">
        <v>204</v>
      </c>
      <c r="F46" s="57">
        <f>Tabelle4!M52</f>
        <v>3.1472382983931603E-2</v>
      </c>
    </row>
    <row r="47" spans="1:6" x14ac:dyDescent="0.25">
      <c r="A47">
        <v>456</v>
      </c>
      <c r="B47">
        <v>2020</v>
      </c>
      <c r="C47" t="s">
        <v>205</v>
      </c>
      <c r="D47" t="s">
        <v>109</v>
      </c>
      <c r="E47" t="s">
        <v>206</v>
      </c>
      <c r="F47" s="57">
        <f>Tabelle4!M53</f>
        <v>9.8496902301563716E-2</v>
      </c>
    </row>
    <row r="48" spans="1:6" x14ac:dyDescent="0.25">
      <c r="A48">
        <v>457</v>
      </c>
      <c r="B48">
        <v>2020</v>
      </c>
      <c r="C48" t="s">
        <v>207</v>
      </c>
      <c r="D48" t="s">
        <v>109</v>
      </c>
      <c r="E48" t="s">
        <v>208</v>
      </c>
      <c r="F48" s="57">
        <f>Tabelle4!M54</f>
        <v>0.1153987376077492</v>
      </c>
    </row>
    <row r="49" spans="1:6" x14ac:dyDescent="0.25">
      <c r="A49">
        <v>458</v>
      </c>
      <c r="B49">
        <v>2020</v>
      </c>
      <c r="C49" t="s">
        <v>209</v>
      </c>
      <c r="D49" t="s">
        <v>109</v>
      </c>
      <c r="E49" t="s">
        <v>210</v>
      </c>
      <c r="F49" s="57">
        <f>Tabelle4!M55</f>
        <v>0.13055210719260515</v>
      </c>
    </row>
    <row r="50" spans="1:6" x14ac:dyDescent="0.25">
      <c r="A50">
        <v>459</v>
      </c>
      <c r="B50">
        <v>2020</v>
      </c>
      <c r="C50" t="s">
        <v>211</v>
      </c>
      <c r="D50" t="s">
        <v>109</v>
      </c>
      <c r="E50" t="s">
        <v>212</v>
      </c>
      <c r="F50" s="57">
        <f>Tabelle4!M56</f>
        <v>0.35144160998723617</v>
      </c>
    </row>
    <row r="51" spans="1:6" x14ac:dyDescent="0.25">
      <c r="A51">
        <v>460</v>
      </c>
      <c r="B51">
        <v>2020</v>
      </c>
      <c r="C51" t="s">
        <v>213</v>
      </c>
      <c r="D51" t="s">
        <v>109</v>
      </c>
      <c r="E51" t="s">
        <v>214</v>
      </c>
      <c r="F51" s="57">
        <f>Tabelle4!M57</f>
        <v>0.17950914738983209</v>
      </c>
    </row>
    <row r="52" spans="1:6" x14ac:dyDescent="0.25">
      <c r="A52">
        <v>461</v>
      </c>
      <c r="B52">
        <v>2020</v>
      </c>
      <c r="C52" t="s">
        <v>215</v>
      </c>
      <c r="D52" t="s">
        <v>109</v>
      </c>
      <c r="E52" t="s">
        <v>216</v>
      </c>
      <c r="F52" s="57">
        <f>Tabelle4!M58</f>
        <v>5.4785259268325379E-2</v>
      </c>
    </row>
    <row r="53" spans="1:6" x14ac:dyDescent="0.25">
      <c r="A53">
        <v>462</v>
      </c>
      <c r="B53">
        <v>2020</v>
      </c>
      <c r="C53" t="s">
        <v>217</v>
      </c>
      <c r="D53" t="s">
        <v>109</v>
      </c>
      <c r="E53" t="s">
        <v>218</v>
      </c>
      <c r="F53" s="57">
        <f>Tabelle4!M59</f>
        <v>2.7392629634162689E-2</v>
      </c>
    </row>
    <row r="54" spans="1:6" x14ac:dyDescent="0.25">
      <c r="A54">
        <v>0</v>
      </c>
      <c r="B54">
        <v>2020</v>
      </c>
      <c r="C54" t="s">
        <v>115</v>
      </c>
      <c r="D54" t="s">
        <v>110</v>
      </c>
      <c r="E54" t="s">
        <v>116</v>
      </c>
      <c r="F54" s="57">
        <f>Tabelle4!N8</f>
        <v>20.152233082137091</v>
      </c>
    </row>
    <row r="55" spans="1:6" x14ac:dyDescent="0.25">
      <c r="A55">
        <v>1</v>
      </c>
      <c r="B55">
        <v>2020</v>
      </c>
      <c r="C55" t="s">
        <v>117</v>
      </c>
      <c r="D55" t="s">
        <v>110</v>
      </c>
      <c r="E55" t="s">
        <v>118</v>
      </c>
      <c r="F55" s="57">
        <f>Tabelle4!N9</f>
        <v>4.042452747713881</v>
      </c>
    </row>
    <row r="56" spans="1:6" x14ac:dyDescent="0.25">
      <c r="A56">
        <v>101</v>
      </c>
      <c r="B56">
        <v>2020</v>
      </c>
      <c r="C56" t="s">
        <v>119</v>
      </c>
      <c r="D56" t="s">
        <v>110</v>
      </c>
      <c r="E56" t="s">
        <v>120</v>
      </c>
      <c r="F56" s="57">
        <f>Tabelle4!N10</f>
        <v>0.70171757616025277</v>
      </c>
    </row>
    <row r="57" spans="1:6" x14ac:dyDescent="0.25">
      <c r="A57">
        <v>102</v>
      </c>
      <c r="B57">
        <v>2020</v>
      </c>
      <c r="C57" t="s">
        <v>121</v>
      </c>
      <c r="D57" t="s">
        <v>110</v>
      </c>
      <c r="E57" t="s">
        <v>122</v>
      </c>
      <c r="F57" s="57">
        <f>Tabelle4!N11</f>
        <v>0.49306733341492837</v>
      </c>
    </row>
    <row r="58" spans="1:6" x14ac:dyDescent="0.25">
      <c r="A58">
        <v>103</v>
      </c>
      <c r="B58">
        <v>2020</v>
      </c>
      <c r="C58" t="s">
        <v>123</v>
      </c>
      <c r="D58" t="s">
        <v>110</v>
      </c>
      <c r="E58" t="s">
        <v>124</v>
      </c>
      <c r="F58" s="57">
        <f>Tabelle4!N12</f>
        <v>0.46625752568787554</v>
      </c>
    </row>
    <row r="59" spans="1:6" x14ac:dyDescent="0.25">
      <c r="A59">
        <v>151</v>
      </c>
      <c r="B59">
        <v>2020</v>
      </c>
      <c r="C59" t="s">
        <v>125</v>
      </c>
      <c r="D59" t="s">
        <v>110</v>
      </c>
      <c r="E59" t="s">
        <v>126</v>
      </c>
      <c r="F59" s="57">
        <f>Tabelle4!N13</f>
        <v>0.32055204891041444</v>
      </c>
    </row>
    <row r="60" spans="1:6" x14ac:dyDescent="0.25">
      <c r="A60">
        <v>153</v>
      </c>
      <c r="B60">
        <v>2020</v>
      </c>
      <c r="C60" t="s">
        <v>127</v>
      </c>
      <c r="D60" t="s">
        <v>110</v>
      </c>
      <c r="E60" t="s">
        <v>128</v>
      </c>
      <c r="F60" s="57">
        <f>Tabelle4!N14</f>
        <v>0.40622686925556162</v>
      </c>
    </row>
    <row r="61" spans="1:6" x14ac:dyDescent="0.25">
      <c r="A61">
        <v>154</v>
      </c>
      <c r="B61">
        <v>2020</v>
      </c>
      <c r="C61" t="s">
        <v>129</v>
      </c>
      <c r="D61" t="s">
        <v>110</v>
      </c>
      <c r="E61" t="s">
        <v>130</v>
      </c>
      <c r="F61" s="57">
        <f>Tabelle4!N15</f>
        <v>0.14279136724191188</v>
      </c>
    </row>
    <row r="62" spans="1:6" x14ac:dyDescent="0.25">
      <c r="A62">
        <v>155</v>
      </c>
      <c r="B62">
        <v>2020</v>
      </c>
      <c r="C62" t="s">
        <v>131</v>
      </c>
      <c r="D62" t="s">
        <v>110</v>
      </c>
      <c r="E62" t="s">
        <v>132</v>
      </c>
      <c r="F62" s="57">
        <f>Tabelle4!N16</f>
        <v>0.21389563990931293</v>
      </c>
    </row>
    <row r="63" spans="1:6" x14ac:dyDescent="0.25">
      <c r="A63">
        <v>157</v>
      </c>
      <c r="B63">
        <v>2020</v>
      </c>
      <c r="C63" t="s">
        <v>133</v>
      </c>
      <c r="D63" t="s">
        <v>110</v>
      </c>
      <c r="E63" t="s">
        <v>134</v>
      </c>
      <c r="F63" s="57">
        <f>Tabelle4!N17</f>
        <v>0.26693243345630874</v>
      </c>
    </row>
    <row r="64" spans="1:6" x14ac:dyDescent="0.25">
      <c r="A64">
        <v>158</v>
      </c>
      <c r="B64">
        <v>2020</v>
      </c>
      <c r="C64" t="s">
        <v>135</v>
      </c>
      <c r="D64" t="s">
        <v>110</v>
      </c>
      <c r="E64" t="s">
        <v>136</v>
      </c>
      <c r="F64" s="57">
        <f>Tabelle4!N18</f>
        <v>0.17076681878318442</v>
      </c>
    </row>
    <row r="65" spans="1:6" x14ac:dyDescent="0.25">
      <c r="A65">
        <v>159</v>
      </c>
      <c r="B65">
        <v>2020</v>
      </c>
      <c r="C65" t="s">
        <v>137</v>
      </c>
      <c r="D65" t="s">
        <v>110</v>
      </c>
      <c r="E65" t="s">
        <v>138</v>
      </c>
      <c r="F65" s="57">
        <f>Tabelle4!N19</f>
        <v>0.85966231298702056</v>
      </c>
    </row>
    <row r="66" spans="1:6" x14ac:dyDescent="0.25">
      <c r="A66">
        <v>2</v>
      </c>
      <c r="B66">
        <v>2020</v>
      </c>
      <c r="C66" t="s">
        <v>139</v>
      </c>
      <c r="D66" t="s">
        <v>110</v>
      </c>
      <c r="E66" t="s">
        <v>140</v>
      </c>
      <c r="F66" s="57">
        <f>Tabelle4!N20</f>
        <v>5.7979123319287327</v>
      </c>
    </row>
    <row r="67" spans="1:6" x14ac:dyDescent="0.25">
      <c r="A67">
        <v>241</v>
      </c>
      <c r="B67">
        <v>2020</v>
      </c>
      <c r="C67" t="s">
        <v>141</v>
      </c>
      <c r="D67" t="s">
        <v>110</v>
      </c>
      <c r="E67" t="s">
        <v>142</v>
      </c>
      <c r="F67" s="57">
        <f>Tabelle4!N21</f>
        <v>3.7358884245741026</v>
      </c>
    </row>
    <row r="68" spans="1:6" x14ac:dyDescent="0.25">
      <c r="A68">
        <v>241001</v>
      </c>
      <c r="B68">
        <v>2020</v>
      </c>
      <c r="C68" t="s">
        <v>143</v>
      </c>
      <c r="D68" t="s">
        <v>110</v>
      </c>
      <c r="E68" t="s">
        <v>144</v>
      </c>
      <c r="F68" s="57">
        <f>Tabelle4!N22</f>
        <v>2.2805821225208214</v>
      </c>
    </row>
    <row r="69" spans="1:6" x14ac:dyDescent="0.25">
      <c r="A69">
        <v>241999</v>
      </c>
      <c r="B69">
        <v>2020</v>
      </c>
      <c r="C69" t="s">
        <v>145</v>
      </c>
      <c r="D69" t="s">
        <v>110</v>
      </c>
      <c r="E69" t="s">
        <v>146</v>
      </c>
      <c r="F69" s="57">
        <f>Tabelle4!N23</f>
        <v>2.2805821225208214</v>
      </c>
    </row>
    <row r="70" spans="1:6" x14ac:dyDescent="0.25">
      <c r="A70">
        <v>251</v>
      </c>
      <c r="B70">
        <v>2020</v>
      </c>
      <c r="C70" t="s">
        <v>147</v>
      </c>
      <c r="D70" t="s">
        <v>110</v>
      </c>
      <c r="E70" t="s">
        <v>148</v>
      </c>
      <c r="F70" s="57">
        <f>Tabelle4!N24</f>
        <v>0.46975445713053465</v>
      </c>
    </row>
    <row r="71" spans="1:6" x14ac:dyDescent="0.25">
      <c r="A71">
        <v>252</v>
      </c>
      <c r="B71">
        <v>2020</v>
      </c>
      <c r="C71" t="s">
        <v>149</v>
      </c>
      <c r="D71" t="s">
        <v>110</v>
      </c>
      <c r="E71" t="s">
        <v>150</v>
      </c>
      <c r="F71" s="57">
        <f>Tabelle4!N25</f>
        <v>0.34386492519480827</v>
      </c>
    </row>
    <row r="72" spans="1:6" x14ac:dyDescent="0.25">
      <c r="A72">
        <v>254</v>
      </c>
      <c r="B72">
        <v>2020</v>
      </c>
      <c r="C72" t="s">
        <v>151</v>
      </c>
      <c r="D72" t="s">
        <v>110</v>
      </c>
      <c r="E72" t="s">
        <v>152</v>
      </c>
      <c r="F72" s="57">
        <f>Tabelle4!N26</f>
        <v>0.58049061948140501</v>
      </c>
    </row>
    <row r="73" spans="1:6" x14ac:dyDescent="0.25">
      <c r="A73">
        <v>255</v>
      </c>
      <c r="B73">
        <v>2020</v>
      </c>
      <c r="C73" t="s">
        <v>153</v>
      </c>
      <c r="D73" t="s">
        <v>110</v>
      </c>
      <c r="E73" t="s">
        <v>154</v>
      </c>
      <c r="F73" s="57">
        <f>Tabelle4!N27</f>
        <v>9.7331258487344016E-2</v>
      </c>
    </row>
    <row r="74" spans="1:6" x14ac:dyDescent="0.25">
      <c r="A74">
        <v>256</v>
      </c>
      <c r="B74">
        <v>2020</v>
      </c>
      <c r="C74" t="s">
        <v>155</v>
      </c>
      <c r="D74" t="s">
        <v>110</v>
      </c>
      <c r="E74" t="s">
        <v>156</v>
      </c>
      <c r="F74" s="57">
        <f>Tabelle4!N28</f>
        <v>0.23546005047237717</v>
      </c>
    </row>
    <row r="75" spans="1:6" x14ac:dyDescent="0.25">
      <c r="A75">
        <v>257</v>
      </c>
      <c r="B75">
        <v>2020</v>
      </c>
      <c r="C75" t="s">
        <v>157</v>
      </c>
      <c r="D75" t="s">
        <v>110</v>
      </c>
      <c r="E75" t="s">
        <v>158</v>
      </c>
      <c r="F75" s="57">
        <f>Tabelle4!N29</f>
        <v>0.33570541849527041</v>
      </c>
    </row>
    <row r="76" spans="1:6" x14ac:dyDescent="0.25">
      <c r="A76">
        <v>3</v>
      </c>
      <c r="B76">
        <v>2020</v>
      </c>
      <c r="C76" t="s">
        <v>159</v>
      </c>
      <c r="D76" t="s">
        <v>110</v>
      </c>
      <c r="E76" t="s">
        <v>160</v>
      </c>
      <c r="F76" s="57">
        <f>Tabelle4!N30</f>
        <v>3.1338333945296339</v>
      </c>
    </row>
    <row r="77" spans="1:6" x14ac:dyDescent="0.25">
      <c r="A77">
        <v>351</v>
      </c>
      <c r="B77">
        <v>2020</v>
      </c>
      <c r="C77" t="s">
        <v>161</v>
      </c>
      <c r="D77" t="s">
        <v>110</v>
      </c>
      <c r="E77" t="s">
        <v>162</v>
      </c>
      <c r="F77" s="57">
        <f>Tabelle4!N31</f>
        <v>0.30073610406867973</v>
      </c>
    </row>
    <row r="78" spans="1:6" x14ac:dyDescent="0.25">
      <c r="A78">
        <v>352</v>
      </c>
      <c r="B78">
        <v>2020</v>
      </c>
      <c r="C78" t="s">
        <v>163</v>
      </c>
      <c r="D78" t="s">
        <v>110</v>
      </c>
      <c r="E78" t="s">
        <v>164</v>
      </c>
      <c r="F78" s="57">
        <f>Tabelle4!N32</f>
        <v>0.25760728294255125</v>
      </c>
    </row>
    <row r="79" spans="1:6" x14ac:dyDescent="0.25">
      <c r="A79">
        <v>353</v>
      </c>
      <c r="B79">
        <v>2020</v>
      </c>
      <c r="C79" t="s">
        <v>165</v>
      </c>
      <c r="D79" t="s">
        <v>110</v>
      </c>
      <c r="E79" t="s">
        <v>166</v>
      </c>
      <c r="F79" s="57">
        <f>Tabelle4!N33</f>
        <v>0.53911026407660612</v>
      </c>
    </row>
    <row r="80" spans="1:6" x14ac:dyDescent="0.25">
      <c r="A80">
        <v>354</v>
      </c>
      <c r="B80">
        <v>2020</v>
      </c>
      <c r="C80" t="s">
        <v>167</v>
      </c>
      <c r="D80" t="s">
        <v>110</v>
      </c>
      <c r="E80" t="s">
        <v>168</v>
      </c>
      <c r="F80" s="57">
        <f>Tabelle4!N34</f>
        <v>7.6349669831389619E-2</v>
      </c>
    </row>
    <row r="81" spans="1:6" x14ac:dyDescent="0.25">
      <c r="A81">
        <v>355</v>
      </c>
      <c r="B81">
        <v>2020</v>
      </c>
      <c r="C81" t="s">
        <v>169</v>
      </c>
      <c r="D81" t="s">
        <v>110</v>
      </c>
      <c r="E81" t="s">
        <v>170</v>
      </c>
      <c r="F81" s="57">
        <f>Tabelle4!N35</f>
        <v>0.29141095355492225</v>
      </c>
    </row>
    <row r="82" spans="1:6" x14ac:dyDescent="0.25">
      <c r="A82">
        <v>356</v>
      </c>
      <c r="B82">
        <v>2020</v>
      </c>
      <c r="C82" t="s">
        <v>171</v>
      </c>
      <c r="D82" t="s">
        <v>110</v>
      </c>
      <c r="E82" t="s">
        <v>172</v>
      </c>
      <c r="F82" s="57">
        <f>Tabelle4!N36</f>
        <v>0.12880364147127563</v>
      </c>
    </row>
    <row r="83" spans="1:6" x14ac:dyDescent="0.25">
      <c r="A83">
        <v>357</v>
      </c>
      <c r="B83">
        <v>2020</v>
      </c>
      <c r="C83" t="s">
        <v>173</v>
      </c>
      <c r="D83" t="s">
        <v>110</v>
      </c>
      <c r="E83" t="s">
        <v>174</v>
      </c>
      <c r="F83" s="57">
        <f>Tabelle4!N37</f>
        <v>0.29723917262602068</v>
      </c>
    </row>
    <row r="84" spans="1:6" x14ac:dyDescent="0.25">
      <c r="A84">
        <v>358</v>
      </c>
      <c r="B84">
        <v>2020</v>
      </c>
      <c r="C84" t="s">
        <v>175</v>
      </c>
      <c r="D84" t="s">
        <v>110</v>
      </c>
      <c r="E84" t="s">
        <v>176</v>
      </c>
      <c r="F84" s="57">
        <f>Tabelle4!N38</f>
        <v>0.30598150123266837</v>
      </c>
    </row>
    <row r="85" spans="1:6" x14ac:dyDescent="0.25">
      <c r="A85">
        <v>359</v>
      </c>
      <c r="B85">
        <v>2020</v>
      </c>
      <c r="C85" t="s">
        <v>177</v>
      </c>
      <c r="D85" t="s">
        <v>110</v>
      </c>
      <c r="E85" t="s">
        <v>178</v>
      </c>
      <c r="F85" s="57">
        <f>Tabelle4!N39</f>
        <v>0.54144155170504549</v>
      </c>
    </row>
    <row r="86" spans="1:6" x14ac:dyDescent="0.25">
      <c r="A86">
        <v>360</v>
      </c>
      <c r="B86">
        <v>2020</v>
      </c>
      <c r="C86" t="s">
        <v>179</v>
      </c>
      <c r="D86" t="s">
        <v>110</v>
      </c>
      <c r="E86" t="s">
        <v>180</v>
      </c>
      <c r="F86" s="57">
        <f>Tabelle4!N40</f>
        <v>0.15794473682676785</v>
      </c>
    </row>
    <row r="87" spans="1:6" x14ac:dyDescent="0.25">
      <c r="A87">
        <v>361</v>
      </c>
      <c r="B87">
        <v>2020</v>
      </c>
      <c r="C87" t="s">
        <v>181</v>
      </c>
      <c r="D87" t="s">
        <v>110</v>
      </c>
      <c r="E87" t="s">
        <v>182</v>
      </c>
      <c r="F87" s="57">
        <f>Tabelle4!N41</f>
        <v>0.2372085161937067</v>
      </c>
    </row>
    <row r="88" spans="1:6" x14ac:dyDescent="0.25">
      <c r="A88">
        <v>4</v>
      </c>
      <c r="B88">
        <v>2020</v>
      </c>
      <c r="C88" t="s">
        <v>183</v>
      </c>
      <c r="D88" t="s">
        <v>110</v>
      </c>
      <c r="E88" t="s">
        <v>184</v>
      </c>
      <c r="F88" s="57">
        <f>Tabelle4!N42</f>
        <v>7.1780346079648432</v>
      </c>
    </row>
    <row r="89" spans="1:6" x14ac:dyDescent="0.25">
      <c r="A89">
        <v>401</v>
      </c>
      <c r="B89">
        <v>2020</v>
      </c>
      <c r="C89" t="s">
        <v>185</v>
      </c>
      <c r="D89" t="s">
        <v>110</v>
      </c>
      <c r="E89" t="s">
        <v>186</v>
      </c>
      <c r="F89" s="57">
        <f>Tabelle4!N43</f>
        <v>0.32638026798151287</v>
      </c>
    </row>
    <row r="90" spans="1:6" x14ac:dyDescent="0.25">
      <c r="A90">
        <v>402</v>
      </c>
      <c r="B90">
        <v>2020</v>
      </c>
      <c r="C90" t="s">
        <v>187</v>
      </c>
      <c r="D90" t="s">
        <v>110</v>
      </c>
      <c r="E90" t="s">
        <v>188</v>
      </c>
      <c r="F90" s="57">
        <f>Tabelle4!N44</f>
        <v>0.16435577780497612</v>
      </c>
    </row>
    <row r="91" spans="1:6" x14ac:dyDescent="0.25">
      <c r="A91">
        <v>403</v>
      </c>
      <c r="B91">
        <v>2020</v>
      </c>
      <c r="C91" t="s">
        <v>189</v>
      </c>
      <c r="D91" t="s">
        <v>110</v>
      </c>
      <c r="E91" t="s">
        <v>190</v>
      </c>
      <c r="F91" s="57">
        <f>Tabelle4!N45</f>
        <v>0.48607347052961031</v>
      </c>
    </row>
    <row r="92" spans="1:6" x14ac:dyDescent="0.25">
      <c r="A92">
        <v>404</v>
      </c>
      <c r="B92">
        <v>2020</v>
      </c>
      <c r="C92" t="s">
        <v>191</v>
      </c>
      <c r="D92" t="s">
        <v>110</v>
      </c>
      <c r="E92" t="s">
        <v>192</v>
      </c>
      <c r="F92" s="57">
        <f>Tabelle4!N46</f>
        <v>0.58107344138851491</v>
      </c>
    </row>
    <row r="93" spans="1:6" x14ac:dyDescent="0.25">
      <c r="A93">
        <v>405</v>
      </c>
      <c r="B93">
        <v>2020</v>
      </c>
      <c r="C93" t="s">
        <v>193</v>
      </c>
      <c r="D93" t="s">
        <v>110</v>
      </c>
      <c r="E93" t="s">
        <v>194</v>
      </c>
      <c r="F93" s="57">
        <f>Tabelle4!N47</f>
        <v>0.22613489995861966</v>
      </c>
    </row>
    <row r="94" spans="1:6" x14ac:dyDescent="0.25">
      <c r="A94">
        <v>451</v>
      </c>
      <c r="B94">
        <v>2020</v>
      </c>
      <c r="C94" t="s">
        <v>195</v>
      </c>
      <c r="D94" t="s">
        <v>110</v>
      </c>
      <c r="E94" t="s">
        <v>196</v>
      </c>
      <c r="F94" s="57">
        <f>Tabelle4!N48</f>
        <v>0.21680974944486212</v>
      </c>
    </row>
    <row r="95" spans="1:6" x14ac:dyDescent="0.25">
      <c r="A95">
        <v>452</v>
      </c>
      <c r="B95">
        <v>2020</v>
      </c>
      <c r="C95" t="s">
        <v>197</v>
      </c>
      <c r="D95" t="s">
        <v>110</v>
      </c>
      <c r="E95" t="s">
        <v>198</v>
      </c>
      <c r="F95" s="57">
        <f>Tabelle4!N49</f>
        <v>0.28966248783359272</v>
      </c>
    </row>
    <row r="96" spans="1:6" x14ac:dyDescent="0.25">
      <c r="A96">
        <v>453</v>
      </c>
      <c r="B96">
        <v>2020</v>
      </c>
      <c r="C96" t="s">
        <v>199</v>
      </c>
      <c r="D96" t="s">
        <v>110</v>
      </c>
      <c r="E96" t="s">
        <v>200</v>
      </c>
      <c r="F96" s="57">
        <f>Tabelle4!N50</f>
        <v>0.62012250916487444</v>
      </c>
    </row>
    <row r="97" spans="1:6" x14ac:dyDescent="0.25">
      <c r="A97">
        <v>454</v>
      </c>
      <c r="B97">
        <v>2020</v>
      </c>
      <c r="C97" t="s">
        <v>201</v>
      </c>
      <c r="D97" t="s">
        <v>110</v>
      </c>
      <c r="E97" t="s">
        <v>202</v>
      </c>
      <c r="F97" s="57">
        <f>Tabelle4!N51</f>
        <v>1.2484045250292868</v>
      </c>
    </row>
    <row r="98" spans="1:6" x14ac:dyDescent="0.25">
      <c r="A98">
        <v>455</v>
      </c>
      <c r="B98">
        <v>2020</v>
      </c>
      <c r="C98" t="s">
        <v>203</v>
      </c>
      <c r="D98" t="s">
        <v>110</v>
      </c>
      <c r="E98" t="s">
        <v>204</v>
      </c>
      <c r="F98" s="57">
        <f>Tabelle4!N52</f>
        <v>9.0337395602025888E-2</v>
      </c>
    </row>
    <row r="99" spans="1:6" x14ac:dyDescent="0.25">
      <c r="A99">
        <v>456</v>
      </c>
      <c r="B99">
        <v>2020</v>
      </c>
      <c r="C99" t="s">
        <v>205</v>
      </c>
      <c r="D99" t="s">
        <v>110</v>
      </c>
      <c r="E99" t="s">
        <v>206</v>
      </c>
      <c r="F99" s="57">
        <f>Tabelle4!N53</f>
        <v>0.44527593703192114</v>
      </c>
    </row>
    <row r="100" spans="1:6" x14ac:dyDescent="0.25">
      <c r="A100">
        <v>457</v>
      </c>
      <c r="B100">
        <v>2020</v>
      </c>
      <c r="C100" t="s">
        <v>207</v>
      </c>
      <c r="D100" t="s">
        <v>110</v>
      </c>
      <c r="E100" t="s">
        <v>208</v>
      </c>
      <c r="F100" s="57">
        <f>Tabelle4!N54</f>
        <v>0.4114722664195502</v>
      </c>
    </row>
    <row r="101" spans="1:6" x14ac:dyDescent="0.25">
      <c r="A101">
        <v>458</v>
      </c>
      <c r="B101">
        <v>2020</v>
      </c>
      <c r="C101" t="s">
        <v>209</v>
      </c>
      <c r="D101" t="s">
        <v>110</v>
      </c>
      <c r="E101" t="s">
        <v>210</v>
      </c>
      <c r="F101" s="57">
        <f>Tabelle4!N55</f>
        <v>0.38174834915694811</v>
      </c>
    </row>
    <row r="102" spans="1:6" x14ac:dyDescent="0.25">
      <c r="A102">
        <v>459</v>
      </c>
      <c r="B102">
        <v>2020</v>
      </c>
      <c r="C102" t="s">
        <v>211</v>
      </c>
      <c r="D102" t="s">
        <v>110</v>
      </c>
      <c r="E102" t="s">
        <v>212</v>
      </c>
      <c r="F102" s="57">
        <f>Tabelle4!N56</f>
        <v>0.89346598359939156</v>
      </c>
    </row>
    <row r="103" spans="1:6" x14ac:dyDescent="0.25">
      <c r="A103">
        <v>460</v>
      </c>
      <c r="B103">
        <v>2020</v>
      </c>
      <c r="C103" t="s">
        <v>213</v>
      </c>
      <c r="D103" t="s">
        <v>110</v>
      </c>
      <c r="E103" t="s">
        <v>214</v>
      </c>
      <c r="F103" s="57">
        <f>Tabelle4!N57</f>
        <v>0.5402759078908258</v>
      </c>
    </row>
    <row r="104" spans="1:6" x14ac:dyDescent="0.25">
      <c r="A104">
        <v>461</v>
      </c>
      <c r="B104">
        <v>2020</v>
      </c>
      <c r="C104" t="s">
        <v>215</v>
      </c>
      <c r="D104" t="s">
        <v>110</v>
      </c>
      <c r="E104" t="s">
        <v>216</v>
      </c>
      <c r="F104" s="57">
        <f>Tabelle4!N58</f>
        <v>0.17076681878318442</v>
      </c>
    </row>
    <row r="105" spans="1:6" x14ac:dyDescent="0.25">
      <c r="A105">
        <v>462</v>
      </c>
      <c r="B105">
        <v>2020</v>
      </c>
      <c r="C105" t="s">
        <v>217</v>
      </c>
      <c r="D105" t="s">
        <v>110</v>
      </c>
      <c r="E105" t="s">
        <v>218</v>
      </c>
      <c r="F105" s="57">
        <f>Tabelle4!N59</f>
        <v>8.5674820345147132E-2</v>
      </c>
    </row>
    <row r="106" spans="1:6" x14ac:dyDescent="0.25">
      <c r="A106">
        <v>0</v>
      </c>
      <c r="B106">
        <v>2020</v>
      </c>
      <c r="C106" t="s">
        <v>115</v>
      </c>
      <c r="D106" t="s">
        <v>111</v>
      </c>
      <c r="E106" t="s">
        <v>116</v>
      </c>
      <c r="F106" s="57">
        <f>Tabelle4!O8</f>
        <v>21.108061009797236</v>
      </c>
    </row>
    <row r="107" spans="1:6" x14ac:dyDescent="0.25">
      <c r="A107">
        <v>1</v>
      </c>
      <c r="B107">
        <v>2020</v>
      </c>
      <c r="C107" t="s">
        <v>117</v>
      </c>
      <c r="D107" t="s">
        <v>111</v>
      </c>
      <c r="E107" t="s">
        <v>118</v>
      </c>
      <c r="F107" s="57">
        <f>Tabelle4!O9</f>
        <v>4.0150601180797185</v>
      </c>
    </row>
    <row r="108" spans="1:6" x14ac:dyDescent="0.25">
      <c r="A108">
        <v>101</v>
      </c>
      <c r="B108">
        <v>2020</v>
      </c>
      <c r="C108" t="s">
        <v>119</v>
      </c>
      <c r="D108" t="s">
        <v>111</v>
      </c>
      <c r="E108" t="s">
        <v>120</v>
      </c>
      <c r="F108" s="57">
        <f>Tabelle4!O10</f>
        <v>0.62303661870042371</v>
      </c>
    </row>
    <row r="109" spans="1:6" x14ac:dyDescent="0.25">
      <c r="A109">
        <v>102</v>
      </c>
      <c r="B109">
        <v>2020</v>
      </c>
      <c r="C109" t="s">
        <v>121</v>
      </c>
      <c r="D109" t="s">
        <v>111</v>
      </c>
      <c r="E109" t="s">
        <v>122</v>
      </c>
      <c r="F109" s="57">
        <f>Tabelle4!O11</f>
        <v>0.62944765967863203</v>
      </c>
    </row>
    <row r="110" spans="1:6" x14ac:dyDescent="0.25">
      <c r="A110">
        <v>103</v>
      </c>
      <c r="B110">
        <v>2020</v>
      </c>
      <c r="C110" t="s">
        <v>123</v>
      </c>
      <c r="D110" t="s">
        <v>111</v>
      </c>
      <c r="E110" t="s">
        <v>124</v>
      </c>
      <c r="F110" s="57">
        <f>Tabelle4!O12</f>
        <v>0.39748454064891398</v>
      </c>
    </row>
    <row r="111" spans="1:6" x14ac:dyDescent="0.25">
      <c r="A111">
        <v>151</v>
      </c>
      <c r="B111">
        <v>2020</v>
      </c>
      <c r="C111" t="s">
        <v>125</v>
      </c>
      <c r="D111" t="s">
        <v>111</v>
      </c>
      <c r="E111" t="s">
        <v>126</v>
      </c>
      <c r="F111" s="57">
        <f>Tabelle4!O13</f>
        <v>0.28208580304116471</v>
      </c>
    </row>
    <row r="112" spans="1:6" x14ac:dyDescent="0.25">
      <c r="A112">
        <v>153</v>
      </c>
      <c r="B112">
        <v>2020</v>
      </c>
      <c r="C112" t="s">
        <v>127</v>
      </c>
      <c r="D112" t="s">
        <v>111</v>
      </c>
      <c r="E112" t="s">
        <v>128</v>
      </c>
      <c r="F112" s="57">
        <f>Tabelle4!O14</f>
        <v>0.38058270534272842</v>
      </c>
    </row>
    <row r="113" spans="1:6" x14ac:dyDescent="0.25">
      <c r="A113">
        <v>154</v>
      </c>
      <c r="B113">
        <v>2020</v>
      </c>
      <c r="C113" t="s">
        <v>129</v>
      </c>
      <c r="D113" t="s">
        <v>111</v>
      </c>
      <c r="E113" t="s">
        <v>130</v>
      </c>
      <c r="F113" s="57">
        <f>Tabelle4!O15</f>
        <v>0.16843553115474505</v>
      </c>
    </row>
    <row r="114" spans="1:6" x14ac:dyDescent="0.25">
      <c r="A114">
        <v>155</v>
      </c>
      <c r="B114">
        <v>2020</v>
      </c>
      <c r="C114" t="s">
        <v>131</v>
      </c>
      <c r="D114" t="s">
        <v>111</v>
      </c>
      <c r="E114" t="s">
        <v>132</v>
      </c>
      <c r="F114" s="57">
        <f>Tabelle4!O16</f>
        <v>0.24828213242879374</v>
      </c>
    </row>
    <row r="115" spans="1:6" x14ac:dyDescent="0.25">
      <c r="A115">
        <v>157</v>
      </c>
      <c r="B115">
        <v>2020</v>
      </c>
      <c r="C115" t="s">
        <v>133</v>
      </c>
      <c r="D115" t="s">
        <v>111</v>
      </c>
      <c r="E115" t="s">
        <v>134</v>
      </c>
      <c r="F115" s="57">
        <f>Tabelle4!O17</f>
        <v>0.30947843267532738</v>
      </c>
    </row>
    <row r="116" spans="1:6" x14ac:dyDescent="0.25">
      <c r="A116">
        <v>158</v>
      </c>
      <c r="B116">
        <v>2020</v>
      </c>
      <c r="C116" t="s">
        <v>135</v>
      </c>
      <c r="D116" t="s">
        <v>111</v>
      </c>
      <c r="E116" t="s">
        <v>136</v>
      </c>
      <c r="F116" s="57">
        <f>Tabelle4!O18</f>
        <v>0.22263796851596057</v>
      </c>
    </row>
    <row r="117" spans="1:6" x14ac:dyDescent="0.25">
      <c r="A117">
        <v>159</v>
      </c>
      <c r="B117">
        <v>2020</v>
      </c>
      <c r="C117" t="s">
        <v>137</v>
      </c>
      <c r="D117" t="s">
        <v>111</v>
      </c>
      <c r="E117" t="s">
        <v>138</v>
      </c>
      <c r="F117" s="57">
        <f>Tabelle4!O19</f>
        <v>0.75300590398591905</v>
      </c>
    </row>
    <row r="118" spans="1:6" x14ac:dyDescent="0.25">
      <c r="A118">
        <v>2</v>
      </c>
      <c r="B118">
        <v>2020</v>
      </c>
      <c r="C118" t="s">
        <v>139</v>
      </c>
      <c r="D118" t="s">
        <v>111</v>
      </c>
      <c r="E118" t="s">
        <v>140</v>
      </c>
      <c r="F118" s="57">
        <f>Tabelle4!O20</f>
        <v>6.4518385117059776</v>
      </c>
    </row>
    <row r="119" spans="1:6" x14ac:dyDescent="0.25">
      <c r="A119">
        <v>241</v>
      </c>
      <c r="B119">
        <v>2020</v>
      </c>
      <c r="C119" t="s">
        <v>141</v>
      </c>
      <c r="D119" t="s">
        <v>111</v>
      </c>
      <c r="E119" t="s">
        <v>142</v>
      </c>
      <c r="F119" s="57">
        <f>Tabelle4!O21</f>
        <v>4.0144772961726085</v>
      </c>
    </row>
    <row r="120" spans="1:6" x14ac:dyDescent="0.25">
      <c r="A120">
        <v>241001</v>
      </c>
      <c r="B120">
        <v>2020</v>
      </c>
      <c r="C120" t="s">
        <v>143</v>
      </c>
      <c r="D120" t="s">
        <v>111</v>
      </c>
      <c r="E120" t="s">
        <v>144</v>
      </c>
      <c r="F120" s="57">
        <f>Tabelle4!O22</f>
        <v>2.1931588364543444</v>
      </c>
    </row>
    <row r="121" spans="1:6" x14ac:dyDescent="0.25">
      <c r="A121">
        <v>241999</v>
      </c>
      <c r="B121">
        <v>2020</v>
      </c>
      <c r="C121" t="s">
        <v>145</v>
      </c>
      <c r="D121" t="s">
        <v>111</v>
      </c>
      <c r="E121" t="s">
        <v>146</v>
      </c>
      <c r="F121" s="57">
        <f>Tabelle4!O23</f>
        <v>2.1931588364543444</v>
      </c>
    </row>
    <row r="122" spans="1:6" x14ac:dyDescent="0.25">
      <c r="A122">
        <v>251</v>
      </c>
      <c r="B122">
        <v>2020</v>
      </c>
      <c r="C122" t="s">
        <v>147</v>
      </c>
      <c r="D122" t="s">
        <v>111</v>
      </c>
      <c r="E122" t="s">
        <v>148</v>
      </c>
      <c r="F122" s="57">
        <f>Tabelle4!O24</f>
        <v>0.50938634681400408</v>
      </c>
    </row>
    <row r="123" spans="1:6" x14ac:dyDescent="0.25">
      <c r="A123">
        <v>252</v>
      </c>
      <c r="B123">
        <v>2020</v>
      </c>
      <c r="C123" t="s">
        <v>149</v>
      </c>
      <c r="D123" t="s">
        <v>111</v>
      </c>
      <c r="E123" t="s">
        <v>150</v>
      </c>
      <c r="F123" s="57">
        <f>Tabelle4!O25</f>
        <v>0.46567470378076575</v>
      </c>
    </row>
    <row r="124" spans="1:6" x14ac:dyDescent="0.25">
      <c r="A124">
        <v>254</v>
      </c>
      <c r="B124">
        <v>2020</v>
      </c>
      <c r="C124" t="s">
        <v>151</v>
      </c>
      <c r="D124" t="s">
        <v>111</v>
      </c>
      <c r="E124" t="s">
        <v>152</v>
      </c>
      <c r="F124" s="57">
        <f>Tabelle4!O26</f>
        <v>0.63644152256395015</v>
      </c>
    </row>
    <row r="125" spans="1:6" x14ac:dyDescent="0.25">
      <c r="A125">
        <v>255</v>
      </c>
      <c r="B125">
        <v>2020</v>
      </c>
      <c r="C125" t="s">
        <v>153</v>
      </c>
      <c r="D125" t="s">
        <v>111</v>
      </c>
      <c r="E125" t="s">
        <v>154</v>
      </c>
      <c r="F125" s="57">
        <f>Tabelle4!O27</f>
        <v>0.11131898425798029</v>
      </c>
    </row>
    <row r="126" spans="1:6" x14ac:dyDescent="0.25">
      <c r="A126">
        <v>256</v>
      </c>
      <c r="B126">
        <v>2020</v>
      </c>
      <c r="C126" t="s">
        <v>155</v>
      </c>
      <c r="D126" t="s">
        <v>111</v>
      </c>
      <c r="E126" t="s">
        <v>156</v>
      </c>
      <c r="F126" s="57">
        <f>Tabelle4!O28</f>
        <v>0.34211645947347868</v>
      </c>
    </row>
    <row r="127" spans="1:6" x14ac:dyDescent="0.25">
      <c r="A127">
        <v>257</v>
      </c>
      <c r="B127">
        <v>2020</v>
      </c>
      <c r="C127" t="s">
        <v>157</v>
      </c>
      <c r="D127" t="s">
        <v>111</v>
      </c>
      <c r="E127" t="s">
        <v>158</v>
      </c>
      <c r="F127" s="57">
        <f>Tabelle4!O29</f>
        <v>0.37184037673608078</v>
      </c>
    </row>
    <row r="128" spans="1:6" x14ac:dyDescent="0.25">
      <c r="A128">
        <v>3</v>
      </c>
      <c r="B128">
        <v>2020</v>
      </c>
      <c r="C128" t="s">
        <v>159</v>
      </c>
      <c r="D128" t="s">
        <v>111</v>
      </c>
      <c r="E128" t="s">
        <v>160</v>
      </c>
      <c r="F128" s="57">
        <f>Tabelle4!O30</f>
        <v>3.5581277429056</v>
      </c>
    </row>
    <row r="129" spans="1:6" x14ac:dyDescent="0.25">
      <c r="A129">
        <v>351</v>
      </c>
      <c r="B129">
        <v>2020</v>
      </c>
      <c r="C129" t="s">
        <v>161</v>
      </c>
      <c r="D129" t="s">
        <v>111</v>
      </c>
      <c r="E129" t="s">
        <v>162</v>
      </c>
      <c r="F129" s="57">
        <f>Tabelle4!O31</f>
        <v>0.43361949888972423</v>
      </c>
    </row>
    <row r="130" spans="1:6" x14ac:dyDescent="0.25">
      <c r="A130">
        <v>352</v>
      </c>
      <c r="B130">
        <v>2020</v>
      </c>
      <c r="C130" t="s">
        <v>163</v>
      </c>
      <c r="D130" t="s">
        <v>111</v>
      </c>
      <c r="E130" t="s">
        <v>164</v>
      </c>
      <c r="F130" s="57">
        <f>Tabelle4!O32</f>
        <v>0.33803670612370978</v>
      </c>
    </row>
    <row r="131" spans="1:6" x14ac:dyDescent="0.25">
      <c r="A131">
        <v>353</v>
      </c>
      <c r="B131">
        <v>2020</v>
      </c>
      <c r="C131" t="s">
        <v>165</v>
      </c>
      <c r="D131" t="s">
        <v>111</v>
      </c>
      <c r="E131" t="s">
        <v>166</v>
      </c>
      <c r="F131" s="57">
        <f>Tabelle4!O33</f>
        <v>0.47907960764429214</v>
      </c>
    </row>
    <row r="132" spans="1:6" x14ac:dyDescent="0.25">
      <c r="A132">
        <v>354</v>
      </c>
      <c r="B132">
        <v>2020</v>
      </c>
      <c r="C132" t="s">
        <v>167</v>
      </c>
      <c r="D132" t="s">
        <v>111</v>
      </c>
      <c r="E132" t="s">
        <v>168</v>
      </c>
      <c r="F132" s="57">
        <f>Tabelle4!O34</f>
        <v>7.0521450760291177E-2</v>
      </c>
    </row>
    <row r="133" spans="1:6" x14ac:dyDescent="0.25">
      <c r="A133">
        <v>355</v>
      </c>
      <c r="B133">
        <v>2020</v>
      </c>
      <c r="C133" t="s">
        <v>169</v>
      </c>
      <c r="D133" t="s">
        <v>111</v>
      </c>
      <c r="E133" t="s">
        <v>170</v>
      </c>
      <c r="F133" s="57">
        <f>Tabelle4!O35</f>
        <v>0.41263791023376983</v>
      </c>
    </row>
    <row r="134" spans="1:6" x14ac:dyDescent="0.25">
      <c r="A134">
        <v>356</v>
      </c>
      <c r="B134">
        <v>2020</v>
      </c>
      <c r="C134" t="s">
        <v>171</v>
      </c>
      <c r="D134" t="s">
        <v>111</v>
      </c>
      <c r="E134" t="s">
        <v>172</v>
      </c>
      <c r="F134" s="57">
        <f>Tabelle4!O36</f>
        <v>0.17834350357561241</v>
      </c>
    </row>
    <row r="135" spans="1:6" x14ac:dyDescent="0.25">
      <c r="A135">
        <v>357</v>
      </c>
      <c r="B135">
        <v>2020</v>
      </c>
      <c r="C135" t="s">
        <v>173</v>
      </c>
      <c r="D135" t="s">
        <v>111</v>
      </c>
      <c r="E135" t="s">
        <v>174</v>
      </c>
      <c r="F135" s="57">
        <f>Tabelle4!O37</f>
        <v>0.30131892597578958</v>
      </c>
    </row>
    <row r="136" spans="1:6" x14ac:dyDescent="0.25">
      <c r="A136">
        <v>358</v>
      </c>
      <c r="B136">
        <v>2020</v>
      </c>
      <c r="C136" t="s">
        <v>175</v>
      </c>
      <c r="D136" t="s">
        <v>111</v>
      </c>
      <c r="E136" t="s">
        <v>176</v>
      </c>
      <c r="F136" s="57">
        <f>Tabelle4!O38</f>
        <v>0.29082813164781235</v>
      </c>
    </row>
    <row r="137" spans="1:6" x14ac:dyDescent="0.25">
      <c r="A137">
        <v>359</v>
      </c>
      <c r="B137">
        <v>2020</v>
      </c>
      <c r="C137" t="s">
        <v>177</v>
      </c>
      <c r="D137" t="s">
        <v>111</v>
      </c>
      <c r="E137" t="s">
        <v>178</v>
      </c>
      <c r="F137" s="57">
        <f>Tabelle4!O39</f>
        <v>0.5740795785031968</v>
      </c>
    </row>
    <row r="138" spans="1:6" x14ac:dyDescent="0.25">
      <c r="A138">
        <v>360</v>
      </c>
      <c r="B138">
        <v>2020</v>
      </c>
      <c r="C138" t="s">
        <v>179</v>
      </c>
      <c r="D138" t="s">
        <v>111</v>
      </c>
      <c r="E138" t="s">
        <v>180</v>
      </c>
      <c r="F138" s="57">
        <f>Tabelle4!O40</f>
        <v>0.16901835306185489</v>
      </c>
    </row>
    <row r="139" spans="1:6" x14ac:dyDescent="0.25">
      <c r="A139">
        <v>361</v>
      </c>
      <c r="B139">
        <v>2020</v>
      </c>
      <c r="C139" t="s">
        <v>181</v>
      </c>
      <c r="D139" t="s">
        <v>111</v>
      </c>
      <c r="E139" t="s">
        <v>182</v>
      </c>
      <c r="F139" s="57">
        <f>Tabelle4!O41</f>
        <v>0.31064407648954712</v>
      </c>
    </row>
    <row r="140" spans="1:6" x14ac:dyDescent="0.25">
      <c r="A140">
        <v>4</v>
      </c>
      <c r="B140">
        <v>2020</v>
      </c>
      <c r="C140" t="s">
        <v>183</v>
      </c>
      <c r="D140" t="s">
        <v>111</v>
      </c>
      <c r="E140" t="s">
        <v>184</v>
      </c>
      <c r="F140" s="57">
        <f>Tabelle4!O42</f>
        <v>7.0830346371059392</v>
      </c>
    </row>
    <row r="141" spans="1:6" x14ac:dyDescent="0.25">
      <c r="A141">
        <v>401</v>
      </c>
      <c r="B141">
        <v>2020</v>
      </c>
      <c r="C141" t="s">
        <v>185</v>
      </c>
      <c r="D141" t="s">
        <v>111</v>
      </c>
      <c r="E141" t="s">
        <v>186</v>
      </c>
      <c r="F141" s="57">
        <f>Tabelle4!O43</f>
        <v>0.40564404734845172</v>
      </c>
    </row>
    <row r="142" spans="1:6" x14ac:dyDescent="0.25">
      <c r="A142">
        <v>402</v>
      </c>
      <c r="B142">
        <v>2020</v>
      </c>
      <c r="C142" t="s">
        <v>187</v>
      </c>
      <c r="D142" t="s">
        <v>111</v>
      </c>
      <c r="E142" t="s">
        <v>188</v>
      </c>
      <c r="F142" s="57">
        <f>Tabelle4!O44</f>
        <v>0.18533736646093052</v>
      </c>
    </row>
    <row r="143" spans="1:6" x14ac:dyDescent="0.25">
      <c r="A143">
        <v>403</v>
      </c>
      <c r="B143">
        <v>2020</v>
      </c>
      <c r="C143" t="s">
        <v>189</v>
      </c>
      <c r="D143" t="s">
        <v>111</v>
      </c>
      <c r="E143" t="s">
        <v>190</v>
      </c>
      <c r="F143" s="57">
        <f>Tabelle4!O45</f>
        <v>0.58573601664539365</v>
      </c>
    </row>
    <row r="144" spans="1:6" x14ac:dyDescent="0.25">
      <c r="A144">
        <v>404</v>
      </c>
      <c r="B144">
        <v>2020</v>
      </c>
      <c r="C144" t="s">
        <v>191</v>
      </c>
      <c r="D144" t="s">
        <v>111</v>
      </c>
      <c r="E144" t="s">
        <v>192</v>
      </c>
      <c r="F144" s="57">
        <f>Tabelle4!O46</f>
        <v>0.63119612539996151</v>
      </c>
    </row>
    <row r="145" spans="1:6" x14ac:dyDescent="0.25">
      <c r="A145">
        <v>405</v>
      </c>
      <c r="B145">
        <v>2020</v>
      </c>
      <c r="C145" t="s">
        <v>193</v>
      </c>
      <c r="D145" t="s">
        <v>111</v>
      </c>
      <c r="E145" t="s">
        <v>194</v>
      </c>
      <c r="F145" s="57">
        <f>Tabelle4!O47</f>
        <v>0.34677903473035743</v>
      </c>
    </row>
    <row r="146" spans="1:6" x14ac:dyDescent="0.25">
      <c r="A146">
        <v>451</v>
      </c>
      <c r="B146">
        <v>2020</v>
      </c>
      <c r="C146" t="s">
        <v>195</v>
      </c>
      <c r="D146" t="s">
        <v>111</v>
      </c>
      <c r="E146" t="s">
        <v>196</v>
      </c>
      <c r="F146" s="57">
        <f>Tabelle4!O48</f>
        <v>0.27101218680607769</v>
      </c>
    </row>
    <row r="147" spans="1:6" x14ac:dyDescent="0.25">
      <c r="A147">
        <v>452</v>
      </c>
      <c r="B147">
        <v>2020</v>
      </c>
      <c r="C147" t="s">
        <v>197</v>
      </c>
      <c r="D147" t="s">
        <v>111</v>
      </c>
      <c r="E147" t="s">
        <v>198</v>
      </c>
      <c r="F147" s="57">
        <f>Tabelle4!O49</f>
        <v>0.32754591179573256</v>
      </c>
    </row>
    <row r="148" spans="1:6" x14ac:dyDescent="0.25">
      <c r="A148">
        <v>453</v>
      </c>
      <c r="B148">
        <v>2020</v>
      </c>
      <c r="C148" t="s">
        <v>199</v>
      </c>
      <c r="D148" t="s">
        <v>111</v>
      </c>
      <c r="E148" t="s">
        <v>200</v>
      </c>
      <c r="F148" s="57">
        <f>Tabelle4!O50</f>
        <v>0.54668694886903413</v>
      </c>
    </row>
    <row r="149" spans="1:6" x14ac:dyDescent="0.25">
      <c r="A149">
        <v>454</v>
      </c>
      <c r="B149">
        <v>2020</v>
      </c>
      <c r="C149" t="s">
        <v>201</v>
      </c>
      <c r="D149" t="s">
        <v>111</v>
      </c>
      <c r="E149" t="s">
        <v>202</v>
      </c>
      <c r="F149" s="57">
        <f>Tabelle4!O51</f>
        <v>0.96981565343078113</v>
      </c>
    </row>
    <row r="150" spans="1:6" x14ac:dyDescent="0.25">
      <c r="A150">
        <v>455</v>
      </c>
      <c r="B150">
        <v>2020</v>
      </c>
      <c r="C150" t="s">
        <v>203</v>
      </c>
      <c r="D150" t="s">
        <v>111</v>
      </c>
      <c r="E150" t="s">
        <v>204</v>
      </c>
      <c r="F150" s="57">
        <f>Tabelle4!O52</f>
        <v>0.16901835306185489</v>
      </c>
    </row>
    <row r="151" spans="1:6" x14ac:dyDescent="0.25">
      <c r="A151">
        <v>456</v>
      </c>
      <c r="B151">
        <v>2020</v>
      </c>
      <c r="C151" t="s">
        <v>205</v>
      </c>
      <c r="D151" t="s">
        <v>111</v>
      </c>
      <c r="E151" t="s">
        <v>206</v>
      </c>
      <c r="F151" s="57">
        <f>Tabelle4!O53</f>
        <v>0.37999988343561858</v>
      </c>
    </row>
    <row r="152" spans="1:6" x14ac:dyDescent="0.25">
      <c r="A152">
        <v>457</v>
      </c>
      <c r="B152">
        <v>2020</v>
      </c>
      <c r="C152" t="s">
        <v>207</v>
      </c>
      <c r="D152" t="s">
        <v>111</v>
      </c>
      <c r="E152" t="s">
        <v>208</v>
      </c>
      <c r="F152" s="57">
        <f>Tabelle4!O54</f>
        <v>0.40156429399868288</v>
      </c>
    </row>
    <row r="153" spans="1:6" x14ac:dyDescent="0.25">
      <c r="A153">
        <v>458</v>
      </c>
      <c r="B153">
        <v>2020</v>
      </c>
      <c r="C153" t="s">
        <v>209</v>
      </c>
      <c r="D153" t="s">
        <v>111</v>
      </c>
      <c r="E153" t="s">
        <v>210</v>
      </c>
      <c r="F153" s="57">
        <f>Tabelle4!O55</f>
        <v>0.34561339091613774</v>
      </c>
    </row>
    <row r="154" spans="1:6" x14ac:dyDescent="0.25">
      <c r="A154">
        <v>459</v>
      </c>
      <c r="B154">
        <v>2020</v>
      </c>
      <c r="C154" t="s">
        <v>211</v>
      </c>
      <c r="D154" t="s">
        <v>111</v>
      </c>
      <c r="E154" t="s">
        <v>212</v>
      </c>
      <c r="F154" s="57">
        <f>Tabelle4!O56</f>
        <v>0.68947831611094601</v>
      </c>
    </row>
    <row r="155" spans="1:6" x14ac:dyDescent="0.25">
      <c r="A155">
        <v>460</v>
      </c>
      <c r="B155">
        <v>2020</v>
      </c>
      <c r="C155" t="s">
        <v>213</v>
      </c>
      <c r="D155" t="s">
        <v>111</v>
      </c>
      <c r="E155" t="s">
        <v>214</v>
      </c>
      <c r="F155" s="57">
        <f>Tabelle4!O57</f>
        <v>0.55134952412591287</v>
      </c>
    </row>
    <row r="156" spans="1:6" x14ac:dyDescent="0.25">
      <c r="A156">
        <v>461</v>
      </c>
      <c r="B156">
        <v>2020</v>
      </c>
      <c r="C156" t="s">
        <v>215</v>
      </c>
      <c r="D156" t="s">
        <v>111</v>
      </c>
      <c r="E156" t="s">
        <v>216</v>
      </c>
      <c r="F156" s="57">
        <f>Tabelle4!O58</f>
        <v>0.20223920176711602</v>
      </c>
    </row>
    <row r="157" spans="1:6" x14ac:dyDescent="0.25">
      <c r="A157">
        <v>462</v>
      </c>
      <c r="B157">
        <v>2020</v>
      </c>
      <c r="C157" t="s">
        <v>217</v>
      </c>
      <c r="D157" t="s">
        <v>111</v>
      </c>
      <c r="E157" t="s">
        <v>218</v>
      </c>
      <c r="F157" s="57">
        <f>Tabelle4!O59</f>
        <v>7.3435560295840405E-2</v>
      </c>
    </row>
    <row r="158" spans="1:6" x14ac:dyDescent="0.25">
      <c r="A158">
        <v>0</v>
      </c>
      <c r="B158">
        <v>2020</v>
      </c>
      <c r="C158" t="s">
        <v>115</v>
      </c>
      <c r="D158" t="s">
        <v>112</v>
      </c>
      <c r="E158" t="s">
        <v>116</v>
      </c>
      <c r="F158" s="57">
        <f>Tabelle4!P8</f>
        <v>9.6381258778754972</v>
      </c>
    </row>
    <row r="159" spans="1:6" x14ac:dyDescent="0.25">
      <c r="A159">
        <v>1</v>
      </c>
      <c r="B159">
        <v>2020</v>
      </c>
      <c r="C159" t="s">
        <v>117</v>
      </c>
      <c r="D159" t="s">
        <v>112</v>
      </c>
      <c r="E159" t="s">
        <v>118</v>
      </c>
      <c r="F159" s="57">
        <f>Tabelle4!P9</f>
        <v>1.7542939404006319</v>
      </c>
    </row>
    <row r="160" spans="1:6" x14ac:dyDescent="0.25">
      <c r="A160">
        <v>101</v>
      </c>
      <c r="B160">
        <v>2020</v>
      </c>
      <c r="C160" t="s">
        <v>119</v>
      </c>
      <c r="D160" t="s">
        <v>112</v>
      </c>
      <c r="E160" t="s">
        <v>120</v>
      </c>
      <c r="F160" s="57">
        <f>Tabelle4!P10</f>
        <v>0.35202443189434601</v>
      </c>
    </row>
    <row r="161" spans="1:6" x14ac:dyDescent="0.25">
      <c r="A161">
        <v>102</v>
      </c>
      <c r="B161">
        <v>2020</v>
      </c>
      <c r="C161" t="s">
        <v>121</v>
      </c>
      <c r="D161" t="s">
        <v>112</v>
      </c>
      <c r="E161" t="s">
        <v>122</v>
      </c>
      <c r="F161" s="57">
        <f>Tabelle4!P11</f>
        <v>0.19116558553202898</v>
      </c>
    </row>
    <row r="162" spans="1:6" x14ac:dyDescent="0.25">
      <c r="A162">
        <v>103</v>
      </c>
      <c r="B162">
        <v>2020</v>
      </c>
      <c r="C162" t="s">
        <v>123</v>
      </c>
      <c r="D162" t="s">
        <v>112</v>
      </c>
      <c r="E162" t="s">
        <v>124</v>
      </c>
      <c r="F162" s="57">
        <f>Tabelle4!P12</f>
        <v>0.24886495433590355</v>
      </c>
    </row>
    <row r="163" spans="1:6" x14ac:dyDescent="0.25">
      <c r="A163">
        <v>151</v>
      </c>
      <c r="B163">
        <v>2020</v>
      </c>
      <c r="C163" t="s">
        <v>125</v>
      </c>
      <c r="D163" t="s">
        <v>112</v>
      </c>
      <c r="E163" t="s">
        <v>126</v>
      </c>
      <c r="F163" s="57">
        <f>Tabelle4!P13</f>
        <v>0.11773002523618858</v>
      </c>
    </row>
    <row r="164" spans="1:6" x14ac:dyDescent="0.25">
      <c r="A164">
        <v>153</v>
      </c>
      <c r="B164">
        <v>2020</v>
      </c>
      <c r="C164" t="s">
        <v>127</v>
      </c>
      <c r="D164" t="s">
        <v>112</v>
      </c>
      <c r="E164" t="s">
        <v>128</v>
      </c>
      <c r="F164" s="57">
        <f>Tabelle4!P14</f>
        <v>0.12472388812150671</v>
      </c>
    </row>
    <row r="165" spans="1:6" x14ac:dyDescent="0.25">
      <c r="A165">
        <v>154</v>
      </c>
      <c r="B165">
        <v>2020</v>
      </c>
      <c r="C165" t="s">
        <v>129</v>
      </c>
      <c r="D165" t="s">
        <v>112</v>
      </c>
      <c r="E165" t="s">
        <v>130</v>
      </c>
      <c r="F165" s="57">
        <f>Tabelle4!P15</f>
        <v>8.1012245088268375E-2</v>
      </c>
    </row>
    <row r="166" spans="1:6" x14ac:dyDescent="0.25">
      <c r="A166">
        <v>155</v>
      </c>
      <c r="B166">
        <v>2020</v>
      </c>
      <c r="C166" t="s">
        <v>131</v>
      </c>
      <c r="D166" t="s">
        <v>112</v>
      </c>
      <c r="E166" t="s">
        <v>132</v>
      </c>
      <c r="F166" s="57">
        <f>Tabelle4!P16</f>
        <v>9.3834327044684959E-2</v>
      </c>
    </row>
    <row r="167" spans="1:6" x14ac:dyDescent="0.25">
      <c r="A167">
        <v>157</v>
      </c>
      <c r="B167">
        <v>2020</v>
      </c>
      <c r="C167" t="s">
        <v>133</v>
      </c>
      <c r="D167" t="s">
        <v>112</v>
      </c>
      <c r="E167" t="s">
        <v>134</v>
      </c>
      <c r="F167" s="57">
        <f>Tabelle4!P17</f>
        <v>0.11598155951485904</v>
      </c>
    </row>
    <row r="168" spans="1:6" x14ac:dyDescent="0.25">
      <c r="A168">
        <v>158</v>
      </c>
      <c r="B168">
        <v>2020</v>
      </c>
      <c r="C168" t="s">
        <v>135</v>
      </c>
      <c r="D168" t="s">
        <v>112</v>
      </c>
      <c r="E168" t="s">
        <v>136</v>
      </c>
      <c r="F168" s="57">
        <f>Tabelle4!P18</f>
        <v>8.5091998438037289E-2</v>
      </c>
    </row>
    <row r="169" spans="1:6" x14ac:dyDescent="0.25">
      <c r="A169">
        <v>159</v>
      </c>
      <c r="B169">
        <v>2020</v>
      </c>
      <c r="C169" t="s">
        <v>137</v>
      </c>
      <c r="D169" t="s">
        <v>112</v>
      </c>
      <c r="E169" t="s">
        <v>138</v>
      </c>
      <c r="F169" s="57">
        <f>Tabelle4!P19</f>
        <v>0.34269928138058853</v>
      </c>
    </row>
    <row r="170" spans="1:6" x14ac:dyDescent="0.25">
      <c r="A170">
        <v>2</v>
      </c>
      <c r="B170">
        <v>2020</v>
      </c>
      <c r="C170" t="s">
        <v>139</v>
      </c>
      <c r="D170" t="s">
        <v>112</v>
      </c>
      <c r="E170" t="s">
        <v>140</v>
      </c>
      <c r="F170" s="57">
        <f>Tabelle4!P20</f>
        <v>3.1367475040651827</v>
      </c>
    </row>
    <row r="171" spans="1:6" x14ac:dyDescent="0.25">
      <c r="A171">
        <v>241</v>
      </c>
      <c r="B171">
        <v>2020</v>
      </c>
      <c r="C171" t="s">
        <v>141</v>
      </c>
      <c r="D171" t="s">
        <v>112</v>
      </c>
      <c r="E171" t="s">
        <v>142</v>
      </c>
      <c r="F171" s="57">
        <f>Tabelle4!P21</f>
        <v>2.1646005630059624</v>
      </c>
    </row>
    <row r="172" spans="1:6" x14ac:dyDescent="0.25">
      <c r="A172">
        <v>241001</v>
      </c>
      <c r="B172">
        <v>2020</v>
      </c>
      <c r="C172" t="s">
        <v>143</v>
      </c>
      <c r="D172" t="s">
        <v>112</v>
      </c>
      <c r="E172" t="s">
        <v>144</v>
      </c>
      <c r="F172" s="57">
        <f>Tabelle4!P22</f>
        <v>1.3760425226863426</v>
      </c>
    </row>
    <row r="173" spans="1:6" x14ac:dyDescent="0.25">
      <c r="A173">
        <v>241999</v>
      </c>
      <c r="B173">
        <v>2020</v>
      </c>
      <c r="C173" t="s">
        <v>145</v>
      </c>
      <c r="D173" t="s">
        <v>112</v>
      </c>
      <c r="E173" t="s">
        <v>146</v>
      </c>
      <c r="F173" s="57">
        <f>Tabelle4!P23</f>
        <v>1.3760425226863426</v>
      </c>
    </row>
    <row r="174" spans="1:6" x14ac:dyDescent="0.25">
      <c r="A174">
        <v>251</v>
      </c>
      <c r="B174">
        <v>2020</v>
      </c>
      <c r="C174" t="s">
        <v>147</v>
      </c>
      <c r="D174" t="s">
        <v>112</v>
      </c>
      <c r="E174" t="s">
        <v>148</v>
      </c>
      <c r="F174" s="57">
        <f>Tabelle4!P24</f>
        <v>0.27217783062029732</v>
      </c>
    </row>
    <row r="175" spans="1:6" x14ac:dyDescent="0.25">
      <c r="A175">
        <v>252</v>
      </c>
      <c r="B175">
        <v>2020</v>
      </c>
      <c r="C175" t="s">
        <v>149</v>
      </c>
      <c r="D175" t="s">
        <v>112</v>
      </c>
      <c r="E175" t="s">
        <v>150</v>
      </c>
      <c r="F175" s="57">
        <f>Tabelle4!P25</f>
        <v>0.16901835306185489</v>
      </c>
    </row>
    <row r="176" spans="1:6" x14ac:dyDescent="0.25">
      <c r="A176">
        <v>254</v>
      </c>
      <c r="B176">
        <v>2020</v>
      </c>
      <c r="C176" t="s">
        <v>151</v>
      </c>
      <c r="D176" t="s">
        <v>112</v>
      </c>
      <c r="E176" t="s">
        <v>152</v>
      </c>
      <c r="F176" s="57">
        <f>Tabelle4!P26</f>
        <v>0.27217783062029732</v>
      </c>
    </row>
    <row r="177" spans="1:6" x14ac:dyDescent="0.25">
      <c r="A177">
        <v>255</v>
      </c>
      <c r="B177">
        <v>2020</v>
      </c>
      <c r="C177" t="s">
        <v>153</v>
      </c>
      <c r="D177" t="s">
        <v>112</v>
      </c>
      <c r="E177" t="s">
        <v>154</v>
      </c>
      <c r="F177" s="57">
        <f>Tabelle4!P27</f>
        <v>2.6226985819943E-2</v>
      </c>
    </row>
    <row r="178" spans="1:6" x14ac:dyDescent="0.25">
      <c r="A178">
        <v>256</v>
      </c>
      <c r="B178">
        <v>2020</v>
      </c>
      <c r="C178" t="s">
        <v>155</v>
      </c>
      <c r="D178" t="s">
        <v>112</v>
      </c>
      <c r="E178" t="s">
        <v>156</v>
      </c>
      <c r="F178" s="57">
        <f>Tabelle4!P28</f>
        <v>0.10374229946555232</v>
      </c>
    </row>
    <row r="179" spans="1:6" x14ac:dyDescent="0.25">
      <c r="A179">
        <v>257</v>
      </c>
      <c r="B179">
        <v>2020</v>
      </c>
      <c r="C179" t="s">
        <v>157</v>
      </c>
      <c r="D179" t="s">
        <v>112</v>
      </c>
      <c r="E179" t="s">
        <v>158</v>
      </c>
      <c r="F179" s="57">
        <f>Tabelle4!P29</f>
        <v>0.12938646337838547</v>
      </c>
    </row>
    <row r="180" spans="1:6" x14ac:dyDescent="0.25">
      <c r="A180">
        <v>3</v>
      </c>
      <c r="B180">
        <v>2020</v>
      </c>
      <c r="C180" t="s">
        <v>159</v>
      </c>
      <c r="D180" t="s">
        <v>112</v>
      </c>
      <c r="E180" t="s">
        <v>160</v>
      </c>
      <c r="F180" s="57">
        <f>Tabelle4!P30</f>
        <v>1.5170854242069252</v>
      </c>
    </row>
    <row r="181" spans="1:6" x14ac:dyDescent="0.25">
      <c r="A181">
        <v>351</v>
      </c>
      <c r="B181">
        <v>2020</v>
      </c>
      <c r="C181" t="s">
        <v>161</v>
      </c>
      <c r="D181" t="s">
        <v>112</v>
      </c>
      <c r="E181" t="s">
        <v>162</v>
      </c>
      <c r="F181" s="57">
        <f>Tabelle4!P31</f>
        <v>0.15969320254809738</v>
      </c>
    </row>
    <row r="182" spans="1:6" x14ac:dyDescent="0.25">
      <c r="A182">
        <v>352</v>
      </c>
      <c r="B182">
        <v>2020</v>
      </c>
      <c r="C182" t="s">
        <v>163</v>
      </c>
      <c r="D182" t="s">
        <v>112</v>
      </c>
      <c r="E182" t="s">
        <v>164</v>
      </c>
      <c r="F182" s="57">
        <f>Tabelle4!P32</f>
        <v>0.1375459700779233</v>
      </c>
    </row>
    <row r="183" spans="1:6" x14ac:dyDescent="0.25">
      <c r="A183">
        <v>353</v>
      </c>
      <c r="B183">
        <v>2020</v>
      </c>
      <c r="C183" t="s">
        <v>165</v>
      </c>
      <c r="D183" t="s">
        <v>112</v>
      </c>
      <c r="E183" t="s">
        <v>166</v>
      </c>
      <c r="F183" s="57">
        <f>Tabelle4!P33</f>
        <v>0.24478520098613465</v>
      </c>
    </row>
    <row r="184" spans="1:6" x14ac:dyDescent="0.25">
      <c r="A184">
        <v>354</v>
      </c>
      <c r="B184">
        <v>2020</v>
      </c>
      <c r="C184" t="s">
        <v>167</v>
      </c>
      <c r="D184" t="s">
        <v>112</v>
      </c>
      <c r="E184" t="s">
        <v>168</v>
      </c>
      <c r="F184" s="57">
        <f>Tabelle4!P34</f>
        <v>4.3128821126128487E-2</v>
      </c>
    </row>
    <row r="185" spans="1:6" x14ac:dyDescent="0.25">
      <c r="A185">
        <v>355</v>
      </c>
      <c r="B185">
        <v>2020</v>
      </c>
      <c r="C185" t="s">
        <v>169</v>
      </c>
      <c r="D185" t="s">
        <v>112</v>
      </c>
      <c r="E185" t="s">
        <v>170</v>
      </c>
      <c r="F185" s="57">
        <f>Tabelle4!P35</f>
        <v>0.16260731208364659</v>
      </c>
    </row>
    <row r="186" spans="1:6" x14ac:dyDescent="0.25">
      <c r="A186">
        <v>356</v>
      </c>
      <c r="B186">
        <v>2020</v>
      </c>
      <c r="C186" t="s">
        <v>171</v>
      </c>
      <c r="D186" t="s">
        <v>112</v>
      </c>
      <c r="E186" t="s">
        <v>172</v>
      </c>
      <c r="F186" s="57">
        <f>Tabelle4!P36</f>
        <v>7.984660127404869E-2</v>
      </c>
    </row>
    <row r="187" spans="1:6" x14ac:dyDescent="0.25">
      <c r="A187">
        <v>357</v>
      </c>
      <c r="B187">
        <v>2020</v>
      </c>
      <c r="C187" t="s">
        <v>173</v>
      </c>
      <c r="D187" t="s">
        <v>112</v>
      </c>
      <c r="E187" t="s">
        <v>174</v>
      </c>
      <c r="F187" s="57">
        <f>Tabelle4!P37</f>
        <v>0.12588953193572641</v>
      </c>
    </row>
    <row r="188" spans="1:6" x14ac:dyDescent="0.25">
      <c r="A188">
        <v>358</v>
      </c>
      <c r="B188">
        <v>2020</v>
      </c>
      <c r="C188" t="s">
        <v>175</v>
      </c>
      <c r="D188" t="s">
        <v>112</v>
      </c>
      <c r="E188" t="s">
        <v>176</v>
      </c>
      <c r="F188" s="57">
        <f>Tabelle4!P38</f>
        <v>0.15211651775566939</v>
      </c>
    </row>
    <row r="189" spans="1:6" x14ac:dyDescent="0.25">
      <c r="A189">
        <v>359</v>
      </c>
      <c r="B189">
        <v>2020</v>
      </c>
      <c r="C189" t="s">
        <v>177</v>
      </c>
      <c r="D189" t="s">
        <v>112</v>
      </c>
      <c r="E189" t="s">
        <v>178</v>
      </c>
      <c r="F189" s="57">
        <f>Tabelle4!P39</f>
        <v>0.22730054377283931</v>
      </c>
    </row>
    <row r="190" spans="1:6" x14ac:dyDescent="0.25">
      <c r="A190">
        <v>360</v>
      </c>
      <c r="B190">
        <v>2020</v>
      </c>
      <c r="C190" t="s">
        <v>179</v>
      </c>
      <c r="D190" t="s">
        <v>112</v>
      </c>
      <c r="E190" t="s">
        <v>180</v>
      </c>
      <c r="F190" s="57">
        <f>Tabelle4!P40</f>
        <v>7.8098135552719161E-2</v>
      </c>
    </row>
    <row r="191" spans="1:6" x14ac:dyDescent="0.25">
      <c r="A191">
        <v>361</v>
      </c>
      <c r="B191">
        <v>2020</v>
      </c>
      <c r="C191" t="s">
        <v>181</v>
      </c>
      <c r="D191" t="s">
        <v>112</v>
      </c>
      <c r="E191" t="s">
        <v>182</v>
      </c>
      <c r="F191" s="57">
        <f>Tabelle4!P41</f>
        <v>0.10665640900110153</v>
      </c>
    </row>
    <row r="192" spans="1:6" x14ac:dyDescent="0.25">
      <c r="A192">
        <v>4</v>
      </c>
      <c r="B192">
        <v>2020</v>
      </c>
      <c r="C192" t="s">
        <v>183</v>
      </c>
      <c r="D192" t="s">
        <v>112</v>
      </c>
      <c r="E192" t="s">
        <v>184</v>
      </c>
      <c r="F192" s="57">
        <f>Tabelle4!P42</f>
        <v>3.229999009202758</v>
      </c>
    </row>
    <row r="193" spans="1:6" x14ac:dyDescent="0.25">
      <c r="A193">
        <v>401</v>
      </c>
      <c r="B193">
        <v>2020</v>
      </c>
      <c r="C193" t="s">
        <v>185</v>
      </c>
      <c r="D193" t="s">
        <v>112</v>
      </c>
      <c r="E193" t="s">
        <v>186</v>
      </c>
      <c r="F193" s="57">
        <f>Tabelle4!P43</f>
        <v>0.15561344919832848</v>
      </c>
    </row>
    <row r="194" spans="1:6" x14ac:dyDescent="0.25">
      <c r="A194">
        <v>402</v>
      </c>
      <c r="B194">
        <v>2020</v>
      </c>
      <c r="C194" t="s">
        <v>187</v>
      </c>
      <c r="D194" t="s">
        <v>112</v>
      </c>
      <c r="E194" t="s">
        <v>188</v>
      </c>
      <c r="F194" s="57">
        <f>Tabelle4!P44</f>
        <v>9.3834327044684959E-2</v>
      </c>
    </row>
    <row r="195" spans="1:6" x14ac:dyDescent="0.25">
      <c r="A195">
        <v>403</v>
      </c>
      <c r="B195">
        <v>2020</v>
      </c>
      <c r="C195" t="s">
        <v>189</v>
      </c>
      <c r="D195" t="s">
        <v>112</v>
      </c>
      <c r="E195" t="s">
        <v>190</v>
      </c>
      <c r="F195" s="57">
        <f>Tabelle4!P45</f>
        <v>0.21506128372353259</v>
      </c>
    </row>
    <row r="196" spans="1:6" x14ac:dyDescent="0.25">
      <c r="A196">
        <v>404</v>
      </c>
      <c r="B196">
        <v>2020</v>
      </c>
      <c r="C196" t="s">
        <v>191</v>
      </c>
      <c r="D196" t="s">
        <v>112</v>
      </c>
      <c r="E196" t="s">
        <v>192</v>
      </c>
      <c r="F196" s="57">
        <f>Tabelle4!P46</f>
        <v>0.29665635071891083</v>
      </c>
    </row>
    <row r="197" spans="1:6" x14ac:dyDescent="0.25">
      <c r="A197">
        <v>405</v>
      </c>
      <c r="B197">
        <v>2020</v>
      </c>
      <c r="C197" t="s">
        <v>193</v>
      </c>
      <c r="D197" t="s">
        <v>112</v>
      </c>
      <c r="E197" t="s">
        <v>194</v>
      </c>
      <c r="F197" s="57">
        <f>Tabelle4!P47</f>
        <v>9.4999970858904645E-2</v>
      </c>
    </row>
    <row r="198" spans="1:6" x14ac:dyDescent="0.25">
      <c r="A198">
        <v>451</v>
      </c>
      <c r="B198">
        <v>2020</v>
      </c>
      <c r="C198" t="s">
        <v>195</v>
      </c>
      <c r="D198" t="s">
        <v>112</v>
      </c>
      <c r="E198" t="s">
        <v>196</v>
      </c>
      <c r="F198" s="57">
        <f>Tabelle4!P48</f>
        <v>9.6748436580234173E-2</v>
      </c>
    </row>
    <row r="199" spans="1:6" x14ac:dyDescent="0.25">
      <c r="A199">
        <v>452</v>
      </c>
      <c r="B199">
        <v>2020</v>
      </c>
      <c r="C199" t="s">
        <v>197</v>
      </c>
      <c r="D199" t="s">
        <v>112</v>
      </c>
      <c r="E199" t="s">
        <v>198</v>
      </c>
      <c r="F199" s="57">
        <f>Tabelle4!P49</f>
        <v>0.16144166826942691</v>
      </c>
    </row>
    <row r="200" spans="1:6" x14ac:dyDescent="0.25">
      <c r="A200">
        <v>453</v>
      </c>
      <c r="B200">
        <v>2020</v>
      </c>
      <c r="C200" t="s">
        <v>199</v>
      </c>
      <c r="D200" t="s">
        <v>112</v>
      </c>
      <c r="E200" t="s">
        <v>200</v>
      </c>
      <c r="F200" s="57">
        <f>Tabelle4!P50</f>
        <v>0.28733120020515335</v>
      </c>
    </row>
    <row r="201" spans="1:6" x14ac:dyDescent="0.25">
      <c r="A201">
        <v>454</v>
      </c>
      <c r="B201">
        <v>2020</v>
      </c>
      <c r="C201" t="s">
        <v>201</v>
      </c>
      <c r="D201" t="s">
        <v>112</v>
      </c>
      <c r="E201" t="s">
        <v>202</v>
      </c>
      <c r="F201" s="57">
        <f>Tabelle4!P51</f>
        <v>0.47092010094475434</v>
      </c>
    </row>
    <row r="202" spans="1:6" x14ac:dyDescent="0.25">
      <c r="A202">
        <v>455</v>
      </c>
      <c r="B202">
        <v>2020</v>
      </c>
      <c r="C202" t="s">
        <v>203</v>
      </c>
      <c r="D202" t="s">
        <v>112</v>
      </c>
      <c r="E202" t="s">
        <v>204</v>
      </c>
      <c r="F202" s="57">
        <f>Tabelle4!P52</f>
        <v>5.1288327825666315E-2</v>
      </c>
    </row>
    <row r="203" spans="1:6" x14ac:dyDescent="0.25">
      <c r="A203">
        <v>456</v>
      </c>
      <c r="B203">
        <v>2020</v>
      </c>
      <c r="C203" t="s">
        <v>205</v>
      </c>
      <c r="D203" t="s">
        <v>112</v>
      </c>
      <c r="E203" t="s">
        <v>206</v>
      </c>
      <c r="F203" s="57">
        <f>Tabelle4!P53</f>
        <v>0.21855821516619167</v>
      </c>
    </row>
    <row r="204" spans="1:6" x14ac:dyDescent="0.25">
      <c r="A204">
        <v>457</v>
      </c>
      <c r="B204">
        <v>2020</v>
      </c>
      <c r="C204" t="s">
        <v>207</v>
      </c>
      <c r="D204" t="s">
        <v>112</v>
      </c>
      <c r="E204" t="s">
        <v>208</v>
      </c>
      <c r="F204" s="57">
        <f>Tabelle4!P54</f>
        <v>0.17018399687607458</v>
      </c>
    </row>
    <row r="205" spans="1:6" x14ac:dyDescent="0.25">
      <c r="A205">
        <v>458</v>
      </c>
      <c r="B205">
        <v>2020</v>
      </c>
      <c r="C205" t="s">
        <v>209</v>
      </c>
      <c r="D205" t="s">
        <v>112</v>
      </c>
      <c r="E205" t="s">
        <v>210</v>
      </c>
      <c r="F205" s="57">
        <f>Tabelle4!P55</f>
        <v>0.15677909301254817</v>
      </c>
    </row>
    <row r="206" spans="1:6" x14ac:dyDescent="0.25">
      <c r="A206">
        <v>459</v>
      </c>
      <c r="B206">
        <v>2020</v>
      </c>
      <c r="C206" t="s">
        <v>211</v>
      </c>
      <c r="D206" t="s">
        <v>112</v>
      </c>
      <c r="E206" t="s">
        <v>212</v>
      </c>
      <c r="F206" s="57">
        <f>Tabelle4!P56</f>
        <v>0.38874221204226622</v>
      </c>
    </row>
    <row r="207" spans="1:6" x14ac:dyDescent="0.25">
      <c r="A207">
        <v>460</v>
      </c>
      <c r="B207">
        <v>2020</v>
      </c>
      <c r="C207" t="s">
        <v>213</v>
      </c>
      <c r="D207" t="s">
        <v>112</v>
      </c>
      <c r="E207" t="s">
        <v>214</v>
      </c>
      <c r="F207" s="57">
        <f>Tabelle4!P57</f>
        <v>0.26634961154919895</v>
      </c>
    </row>
    <row r="208" spans="1:6" x14ac:dyDescent="0.25">
      <c r="A208">
        <v>461</v>
      </c>
      <c r="B208">
        <v>2020</v>
      </c>
      <c r="C208" t="s">
        <v>215</v>
      </c>
      <c r="D208" t="s">
        <v>112</v>
      </c>
      <c r="E208" t="s">
        <v>216</v>
      </c>
      <c r="F208" s="57">
        <f>Tabelle4!P58</f>
        <v>7.5766847924279776E-2</v>
      </c>
    </row>
    <row r="209" spans="1:6" x14ac:dyDescent="0.25">
      <c r="A209">
        <v>462</v>
      </c>
      <c r="B209">
        <v>2020</v>
      </c>
      <c r="C209" t="s">
        <v>217</v>
      </c>
      <c r="D209" t="s">
        <v>112</v>
      </c>
      <c r="E209" t="s">
        <v>218</v>
      </c>
      <c r="F209" s="57">
        <f>Tabelle4!P59</f>
        <v>3.030673916971191E-2</v>
      </c>
    </row>
    <row r="210" spans="1:6" x14ac:dyDescent="0.25">
      <c r="A210">
        <v>0</v>
      </c>
      <c r="B210">
        <v>2020</v>
      </c>
      <c r="C210" t="s">
        <v>115</v>
      </c>
      <c r="D210" t="s">
        <v>113</v>
      </c>
      <c r="E210" t="s">
        <v>116</v>
      </c>
      <c r="F210" s="57">
        <f>Tabelle4!Q8</f>
        <v>5.4435566124059465</v>
      </c>
    </row>
    <row r="211" spans="1:6" x14ac:dyDescent="0.25">
      <c r="A211">
        <v>1</v>
      </c>
      <c r="B211">
        <v>2020</v>
      </c>
      <c r="C211" t="s">
        <v>117</v>
      </c>
      <c r="D211" t="s">
        <v>113</v>
      </c>
      <c r="E211" t="s">
        <v>118</v>
      </c>
      <c r="F211" s="57">
        <f>Tabelle4!Q9</f>
        <v>0.87423286066476669</v>
      </c>
    </row>
    <row r="212" spans="1:6" x14ac:dyDescent="0.25">
      <c r="A212">
        <v>101</v>
      </c>
      <c r="B212">
        <v>2020</v>
      </c>
      <c r="C212" t="s">
        <v>119</v>
      </c>
      <c r="D212" t="s">
        <v>113</v>
      </c>
      <c r="E212" t="s">
        <v>120</v>
      </c>
      <c r="F212" s="57">
        <f>Tabelle4!Q10</f>
        <v>0.20282202367422586</v>
      </c>
    </row>
    <row r="213" spans="1:6" x14ac:dyDescent="0.25">
      <c r="A213">
        <v>102</v>
      </c>
      <c r="B213">
        <v>2020</v>
      </c>
      <c r="C213" t="s">
        <v>121</v>
      </c>
      <c r="D213" t="s">
        <v>113</v>
      </c>
      <c r="E213" t="s">
        <v>122</v>
      </c>
      <c r="F213" s="57">
        <f>Tabelle4!Q11</f>
        <v>7.984660127404869E-2</v>
      </c>
    </row>
    <row r="214" spans="1:6" x14ac:dyDescent="0.25">
      <c r="A214">
        <v>103</v>
      </c>
      <c r="B214">
        <v>2020</v>
      </c>
      <c r="C214" t="s">
        <v>123</v>
      </c>
      <c r="D214" t="s">
        <v>113</v>
      </c>
      <c r="E214" t="s">
        <v>124</v>
      </c>
      <c r="F214" s="57">
        <f>Tabelle4!Q12</f>
        <v>0.11365027188641966</v>
      </c>
    </row>
    <row r="215" spans="1:6" x14ac:dyDescent="0.25">
      <c r="A215">
        <v>151</v>
      </c>
      <c r="B215">
        <v>2020</v>
      </c>
      <c r="C215" t="s">
        <v>125</v>
      </c>
      <c r="D215" t="s">
        <v>113</v>
      </c>
      <c r="E215" t="s">
        <v>126</v>
      </c>
      <c r="F215" s="57">
        <f>Tabelle4!Q13</f>
        <v>6.7607341224741963E-2</v>
      </c>
    </row>
    <row r="216" spans="1:6" x14ac:dyDescent="0.25">
      <c r="A216">
        <v>153</v>
      </c>
      <c r="B216">
        <v>2020</v>
      </c>
      <c r="C216" t="s">
        <v>127</v>
      </c>
      <c r="D216" t="s">
        <v>113</v>
      </c>
      <c r="E216" t="s">
        <v>128</v>
      </c>
      <c r="F216" s="57">
        <f>Tabelle4!Q14</f>
        <v>6.0030656432313978E-2</v>
      </c>
    </row>
    <row r="217" spans="1:6" x14ac:dyDescent="0.25">
      <c r="A217">
        <v>154</v>
      </c>
      <c r="B217">
        <v>2020</v>
      </c>
      <c r="C217" t="s">
        <v>129</v>
      </c>
      <c r="D217" t="s">
        <v>113</v>
      </c>
      <c r="E217" t="s">
        <v>130</v>
      </c>
      <c r="F217" s="57">
        <f>Tabelle4!Q15</f>
        <v>3.613495824081036E-2</v>
      </c>
    </row>
    <row r="218" spans="1:6" x14ac:dyDescent="0.25">
      <c r="A218">
        <v>155</v>
      </c>
      <c r="B218">
        <v>2020</v>
      </c>
      <c r="C218" t="s">
        <v>131</v>
      </c>
      <c r="D218" t="s">
        <v>113</v>
      </c>
      <c r="E218" t="s">
        <v>132</v>
      </c>
      <c r="F218" s="57">
        <f>Tabelle4!Q16</f>
        <v>4.895704019722693E-2</v>
      </c>
    </row>
    <row r="219" spans="1:6" x14ac:dyDescent="0.25">
      <c r="A219">
        <v>157</v>
      </c>
      <c r="B219">
        <v>2020</v>
      </c>
      <c r="C219" t="s">
        <v>133</v>
      </c>
      <c r="D219" t="s">
        <v>113</v>
      </c>
      <c r="E219" t="s">
        <v>134</v>
      </c>
      <c r="F219" s="57">
        <f>Tabelle4!Q17</f>
        <v>6.4110409782082892E-2</v>
      </c>
    </row>
    <row r="220" spans="1:6" x14ac:dyDescent="0.25">
      <c r="A220">
        <v>158</v>
      </c>
      <c r="B220">
        <v>2020</v>
      </c>
      <c r="C220" t="s">
        <v>135</v>
      </c>
      <c r="D220" t="s">
        <v>113</v>
      </c>
      <c r="E220" t="s">
        <v>136</v>
      </c>
      <c r="F220" s="57">
        <f>Tabelle4!Q18</f>
        <v>3.8466245869249731E-2</v>
      </c>
    </row>
    <row r="221" spans="1:6" x14ac:dyDescent="0.25">
      <c r="A221">
        <v>159</v>
      </c>
      <c r="B221">
        <v>2020</v>
      </c>
      <c r="C221" t="s">
        <v>137</v>
      </c>
      <c r="D221" t="s">
        <v>113</v>
      </c>
      <c r="E221" t="s">
        <v>138</v>
      </c>
      <c r="F221" s="57">
        <f>Tabelle4!Q19</f>
        <v>0.16260731208364659</v>
      </c>
    </row>
    <row r="222" spans="1:6" x14ac:dyDescent="0.25">
      <c r="A222">
        <v>2</v>
      </c>
      <c r="B222">
        <v>2020</v>
      </c>
      <c r="C222" t="s">
        <v>139</v>
      </c>
      <c r="D222" t="s">
        <v>113</v>
      </c>
      <c r="E222" t="s">
        <v>140</v>
      </c>
      <c r="F222" s="57">
        <f>Tabelle4!Q20</f>
        <v>1.8067479120405177</v>
      </c>
    </row>
    <row r="223" spans="1:6" x14ac:dyDescent="0.25">
      <c r="A223">
        <v>241</v>
      </c>
      <c r="B223">
        <v>2020</v>
      </c>
      <c r="C223" t="s">
        <v>141</v>
      </c>
      <c r="D223" t="s">
        <v>113</v>
      </c>
      <c r="E223" t="s">
        <v>142</v>
      </c>
      <c r="F223" s="57">
        <f>Tabelle4!Q21</f>
        <v>1.2804597299203282</v>
      </c>
    </row>
    <row r="224" spans="1:6" x14ac:dyDescent="0.25">
      <c r="A224">
        <v>241001</v>
      </c>
      <c r="B224">
        <v>2020</v>
      </c>
      <c r="C224" t="s">
        <v>143</v>
      </c>
      <c r="D224" t="s">
        <v>113</v>
      </c>
      <c r="E224" t="s">
        <v>144</v>
      </c>
      <c r="F224" s="57">
        <f>Tabelle4!Q22</f>
        <v>0.85441691582303203</v>
      </c>
    </row>
    <row r="225" spans="1:6" x14ac:dyDescent="0.25">
      <c r="A225">
        <v>241999</v>
      </c>
      <c r="B225">
        <v>2020</v>
      </c>
      <c r="C225" t="s">
        <v>145</v>
      </c>
      <c r="D225" t="s">
        <v>113</v>
      </c>
      <c r="E225" t="s">
        <v>146</v>
      </c>
      <c r="F225" s="57">
        <f>Tabelle4!Q23</f>
        <v>0.85441691582303203</v>
      </c>
    </row>
    <row r="226" spans="1:6" x14ac:dyDescent="0.25">
      <c r="A226">
        <v>251</v>
      </c>
      <c r="B226">
        <v>2020</v>
      </c>
      <c r="C226" t="s">
        <v>147</v>
      </c>
      <c r="D226" t="s">
        <v>113</v>
      </c>
      <c r="E226" t="s">
        <v>148</v>
      </c>
      <c r="F226" s="57">
        <f>Tabelle4!Q24</f>
        <v>0.14570547677746112</v>
      </c>
    </row>
    <row r="227" spans="1:6" x14ac:dyDescent="0.25">
      <c r="A227">
        <v>252</v>
      </c>
      <c r="B227">
        <v>2020</v>
      </c>
      <c r="C227" t="s">
        <v>149</v>
      </c>
      <c r="D227" t="s">
        <v>113</v>
      </c>
      <c r="E227" t="s">
        <v>150</v>
      </c>
      <c r="F227" s="57">
        <f>Tabelle4!Q25</f>
        <v>8.0429423181158533E-2</v>
      </c>
    </row>
    <row r="228" spans="1:6" x14ac:dyDescent="0.25">
      <c r="A228">
        <v>254</v>
      </c>
      <c r="B228">
        <v>2020</v>
      </c>
      <c r="C228" t="s">
        <v>151</v>
      </c>
      <c r="D228" t="s">
        <v>113</v>
      </c>
      <c r="E228" t="s">
        <v>152</v>
      </c>
      <c r="F228" s="57">
        <f>Tabelle4!Q26</f>
        <v>0.14861958631301034</v>
      </c>
    </row>
    <row r="229" spans="1:6" x14ac:dyDescent="0.25">
      <c r="A229">
        <v>255</v>
      </c>
      <c r="B229">
        <v>2020</v>
      </c>
      <c r="C229" t="s">
        <v>153</v>
      </c>
      <c r="D229" t="s">
        <v>113</v>
      </c>
      <c r="E229" t="s">
        <v>154</v>
      </c>
      <c r="F229" s="57">
        <f>Tabelle4!Q27</f>
        <v>2.0398766748844555E-2</v>
      </c>
    </row>
    <row r="230" spans="1:6" x14ac:dyDescent="0.25">
      <c r="A230">
        <v>256</v>
      </c>
      <c r="B230">
        <v>2020</v>
      </c>
      <c r="C230" t="s">
        <v>155</v>
      </c>
      <c r="D230" t="s">
        <v>113</v>
      </c>
      <c r="E230" t="s">
        <v>156</v>
      </c>
      <c r="F230" s="57">
        <f>Tabelle4!Q28</f>
        <v>6.2944765967863206E-2</v>
      </c>
    </row>
    <row r="231" spans="1:6" x14ac:dyDescent="0.25">
      <c r="A231">
        <v>257</v>
      </c>
      <c r="B231">
        <v>2020</v>
      </c>
      <c r="C231" t="s">
        <v>157</v>
      </c>
      <c r="D231" t="s">
        <v>113</v>
      </c>
      <c r="E231" t="s">
        <v>158</v>
      </c>
      <c r="F231" s="57">
        <f>Tabelle4!Q29</f>
        <v>6.7607341224741963E-2</v>
      </c>
    </row>
    <row r="232" spans="1:6" x14ac:dyDescent="0.25">
      <c r="A232">
        <v>3</v>
      </c>
      <c r="B232">
        <v>2020</v>
      </c>
      <c r="C232" t="s">
        <v>159</v>
      </c>
      <c r="D232" t="s">
        <v>113</v>
      </c>
      <c r="E232" t="s">
        <v>160</v>
      </c>
      <c r="F232" s="57">
        <f>Tabelle4!Q30</f>
        <v>0.80953962897557397</v>
      </c>
    </row>
    <row r="233" spans="1:6" x14ac:dyDescent="0.25">
      <c r="A233">
        <v>351</v>
      </c>
      <c r="B233">
        <v>2020</v>
      </c>
      <c r="C233" t="s">
        <v>161</v>
      </c>
      <c r="D233" t="s">
        <v>113</v>
      </c>
      <c r="E233" t="s">
        <v>162</v>
      </c>
      <c r="F233" s="57">
        <f>Tabelle4!Q31</f>
        <v>7.8680957459829004E-2</v>
      </c>
    </row>
    <row r="234" spans="1:6" x14ac:dyDescent="0.25">
      <c r="A234">
        <v>352</v>
      </c>
      <c r="B234">
        <v>2020</v>
      </c>
      <c r="C234" t="s">
        <v>163</v>
      </c>
      <c r="D234" t="s">
        <v>113</v>
      </c>
      <c r="E234" t="s">
        <v>164</v>
      </c>
      <c r="F234" s="57">
        <f>Tabelle4!Q32</f>
        <v>7.5766847924279776E-2</v>
      </c>
    </row>
    <row r="235" spans="1:6" x14ac:dyDescent="0.25">
      <c r="A235">
        <v>353</v>
      </c>
      <c r="B235">
        <v>2020</v>
      </c>
      <c r="C235" t="s">
        <v>165</v>
      </c>
      <c r="D235" t="s">
        <v>113</v>
      </c>
      <c r="E235" t="s">
        <v>166</v>
      </c>
      <c r="F235" s="57">
        <f>Tabelle4!Q33</f>
        <v>0.12647235384283623</v>
      </c>
    </row>
    <row r="236" spans="1:6" x14ac:dyDescent="0.25">
      <c r="A236">
        <v>354</v>
      </c>
      <c r="B236">
        <v>2020</v>
      </c>
      <c r="C236" t="s">
        <v>167</v>
      </c>
      <c r="D236" t="s">
        <v>113</v>
      </c>
      <c r="E236" t="s">
        <v>168</v>
      </c>
      <c r="F236" s="57">
        <f>Tabelle4!Q34</f>
        <v>2.0398766748844555E-2</v>
      </c>
    </row>
    <row r="237" spans="1:6" x14ac:dyDescent="0.25">
      <c r="A237">
        <v>355</v>
      </c>
      <c r="B237">
        <v>2020</v>
      </c>
      <c r="C237" t="s">
        <v>169</v>
      </c>
      <c r="D237" t="s">
        <v>113</v>
      </c>
      <c r="E237" t="s">
        <v>170</v>
      </c>
      <c r="F237" s="57">
        <f>Tabelle4!Q35</f>
        <v>7.1687094574510862E-2</v>
      </c>
    </row>
    <row r="238" spans="1:6" x14ac:dyDescent="0.25">
      <c r="A238">
        <v>356</v>
      </c>
      <c r="B238">
        <v>2020</v>
      </c>
      <c r="C238" t="s">
        <v>171</v>
      </c>
      <c r="D238" t="s">
        <v>113</v>
      </c>
      <c r="E238" t="s">
        <v>172</v>
      </c>
      <c r="F238" s="57">
        <f>Tabelle4!Q36</f>
        <v>4.4877286847458023E-2</v>
      </c>
    </row>
    <row r="239" spans="1:6" x14ac:dyDescent="0.25">
      <c r="A239">
        <v>357</v>
      </c>
      <c r="B239">
        <v>2020</v>
      </c>
      <c r="C239" t="s">
        <v>173</v>
      </c>
      <c r="D239" t="s">
        <v>113</v>
      </c>
      <c r="E239" t="s">
        <v>174</v>
      </c>
      <c r="F239" s="57">
        <f>Tabelle4!Q37</f>
        <v>6.7607341224741963E-2</v>
      </c>
    </row>
    <row r="240" spans="1:6" x14ac:dyDescent="0.25">
      <c r="A240">
        <v>358</v>
      </c>
      <c r="B240">
        <v>2020</v>
      </c>
      <c r="C240" t="s">
        <v>175</v>
      </c>
      <c r="D240" t="s">
        <v>113</v>
      </c>
      <c r="E240" t="s">
        <v>176</v>
      </c>
      <c r="F240" s="57">
        <f>Tabelle4!Q38</f>
        <v>8.742328606647666E-2</v>
      </c>
    </row>
    <row r="241" spans="1:6" x14ac:dyDescent="0.25">
      <c r="A241">
        <v>359</v>
      </c>
      <c r="B241">
        <v>2020</v>
      </c>
      <c r="C241" t="s">
        <v>177</v>
      </c>
      <c r="D241" t="s">
        <v>113</v>
      </c>
      <c r="E241" t="s">
        <v>178</v>
      </c>
      <c r="F241" s="57">
        <f>Tabelle4!Q39</f>
        <v>0.13987725770636267</v>
      </c>
    </row>
    <row r="242" spans="1:6" x14ac:dyDescent="0.25">
      <c r="A242">
        <v>360</v>
      </c>
      <c r="B242">
        <v>2020</v>
      </c>
      <c r="C242" t="s">
        <v>179</v>
      </c>
      <c r="D242" t="s">
        <v>113</v>
      </c>
      <c r="E242" t="s">
        <v>180</v>
      </c>
      <c r="F242" s="57">
        <f>Tabelle4!Q40</f>
        <v>3.3803670612370981E-2</v>
      </c>
    </row>
    <row r="243" spans="1:6" x14ac:dyDescent="0.25">
      <c r="A243">
        <v>361</v>
      </c>
      <c r="B243">
        <v>2020</v>
      </c>
      <c r="C243" t="s">
        <v>181</v>
      </c>
      <c r="D243" t="s">
        <v>113</v>
      </c>
      <c r="E243" t="s">
        <v>182</v>
      </c>
      <c r="F243" s="57">
        <f>Tabelle4!Q41</f>
        <v>6.2944765967863206E-2</v>
      </c>
    </row>
    <row r="244" spans="1:6" x14ac:dyDescent="0.25">
      <c r="A244">
        <v>4</v>
      </c>
      <c r="B244">
        <v>2020</v>
      </c>
      <c r="C244" t="s">
        <v>183</v>
      </c>
      <c r="D244" t="s">
        <v>113</v>
      </c>
      <c r="E244" t="s">
        <v>184</v>
      </c>
      <c r="F244" s="57">
        <f>Tabelle4!Q42</f>
        <v>1.9530362107250887</v>
      </c>
    </row>
    <row r="245" spans="1:6" x14ac:dyDescent="0.25">
      <c r="A245">
        <v>401</v>
      </c>
      <c r="B245">
        <v>2020</v>
      </c>
      <c r="C245" t="s">
        <v>185</v>
      </c>
      <c r="D245" t="s">
        <v>113</v>
      </c>
      <c r="E245" t="s">
        <v>186</v>
      </c>
      <c r="F245" s="57">
        <f>Tabelle4!Q43</f>
        <v>8.0429423181158533E-2</v>
      </c>
    </row>
    <row r="246" spans="1:6" x14ac:dyDescent="0.25">
      <c r="A246">
        <v>402</v>
      </c>
      <c r="B246">
        <v>2020</v>
      </c>
      <c r="C246" t="s">
        <v>187</v>
      </c>
      <c r="D246" t="s">
        <v>113</v>
      </c>
      <c r="E246" t="s">
        <v>188</v>
      </c>
      <c r="F246" s="57">
        <f>Tabelle4!Q44</f>
        <v>3.7883423962139888E-2</v>
      </c>
    </row>
    <row r="247" spans="1:6" x14ac:dyDescent="0.25">
      <c r="A247">
        <v>403</v>
      </c>
      <c r="B247">
        <v>2020</v>
      </c>
      <c r="C247" t="s">
        <v>189</v>
      </c>
      <c r="D247" t="s">
        <v>113</v>
      </c>
      <c r="E247" t="s">
        <v>190</v>
      </c>
      <c r="F247" s="57">
        <f>Tabelle4!Q45</f>
        <v>0.12180977858595748</v>
      </c>
    </row>
    <row r="248" spans="1:6" x14ac:dyDescent="0.25">
      <c r="A248">
        <v>404</v>
      </c>
      <c r="B248">
        <v>2020</v>
      </c>
      <c r="C248" t="s">
        <v>191</v>
      </c>
      <c r="D248" t="s">
        <v>113</v>
      </c>
      <c r="E248" t="s">
        <v>192</v>
      </c>
      <c r="F248" s="57">
        <f>Tabelle4!Q46</f>
        <v>0.15269933966277924</v>
      </c>
    </row>
    <row r="249" spans="1:6" x14ac:dyDescent="0.25">
      <c r="A249">
        <v>405</v>
      </c>
      <c r="B249">
        <v>2020</v>
      </c>
      <c r="C249" t="s">
        <v>193</v>
      </c>
      <c r="D249" t="s">
        <v>113</v>
      </c>
      <c r="E249" t="s">
        <v>194</v>
      </c>
      <c r="F249" s="57">
        <f>Tabelle4!Q47</f>
        <v>4.1963177311908802E-2</v>
      </c>
    </row>
    <row r="250" spans="1:6" x14ac:dyDescent="0.25">
      <c r="A250">
        <v>451</v>
      </c>
      <c r="B250">
        <v>2020</v>
      </c>
      <c r="C250" t="s">
        <v>195</v>
      </c>
      <c r="D250" t="s">
        <v>113</v>
      </c>
      <c r="E250" t="s">
        <v>196</v>
      </c>
      <c r="F250" s="57">
        <f>Tabelle4!Q48</f>
        <v>6.9938628853181334E-2</v>
      </c>
    </row>
    <row r="251" spans="1:6" x14ac:dyDescent="0.25">
      <c r="A251">
        <v>452</v>
      </c>
      <c r="B251">
        <v>2020</v>
      </c>
      <c r="C251" t="s">
        <v>197</v>
      </c>
      <c r="D251" t="s">
        <v>113</v>
      </c>
      <c r="E251" t="s">
        <v>198</v>
      </c>
      <c r="F251" s="57">
        <f>Tabelle4!Q49</f>
        <v>6.9938628853181334E-2</v>
      </c>
    </row>
    <row r="252" spans="1:6" x14ac:dyDescent="0.25">
      <c r="A252">
        <v>453</v>
      </c>
      <c r="B252">
        <v>2020</v>
      </c>
      <c r="C252" t="s">
        <v>199</v>
      </c>
      <c r="D252" t="s">
        <v>113</v>
      </c>
      <c r="E252" t="s">
        <v>200</v>
      </c>
      <c r="F252" s="57">
        <f>Tabelle4!Q50</f>
        <v>0.17834350357561241</v>
      </c>
    </row>
    <row r="253" spans="1:6" x14ac:dyDescent="0.25">
      <c r="A253">
        <v>454</v>
      </c>
      <c r="B253">
        <v>2020</v>
      </c>
      <c r="C253" t="s">
        <v>201</v>
      </c>
      <c r="D253" t="s">
        <v>113</v>
      </c>
      <c r="E253" t="s">
        <v>202</v>
      </c>
      <c r="F253" s="57">
        <f>Tabelle4!Q51</f>
        <v>0.32463180226018334</v>
      </c>
    </row>
    <row r="254" spans="1:6" x14ac:dyDescent="0.25">
      <c r="A254">
        <v>455</v>
      </c>
      <c r="B254">
        <v>2020</v>
      </c>
      <c r="C254" t="s">
        <v>203</v>
      </c>
      <c r="D254" t="s">
        <v>113</v>
      </c>
      <c r="E254" t="s">
        <v>204</v>
      </c>
      <c r="F254" s="57">
        <f>Tabelle4!Q52</f>
        <v>2.7975451541272532E-2</v>
      </c>
    </row>
    <row r="255" spans="1:6" x14ac:dyDescent="0.25">
      <c r="A255">
        <v>456</v>
      </c>
      <c r="B255">
        <v>2020</v>
      </c>
      <c r="C255" t="s">
        <v>205</v>
      </c>
      <c r="D255" t="s">
        <v>113</v>
      </c>
      <c r="E255" t="s">
        <v>206</v>
      </c>
      <c r="F255" s="57">
        <f>Tabelle4!Q53</f>
        <v>0.17601221594717301</v>
      </c>
    </row>
    <row r="256" spans="1:6" x14ac:dyDescent="0.25">
      <c r="A256">
        <v>457</v>
      </c>
      <c r="B256">
        <v>2020</v>
      </c>
      <c r="C256" t="s">
        <v>207</v>
      </c>
      <c r="D256" t="s">
        <v>113</v>
      </c>
      <c r="E256" t="s">
        <v>208</v>
      </c>
      <c r="F256" s="57">
        <f>Tabelle4!Q54</f>
        <v>9.8496902301563716E-2</v>
      </c>
    </row>
    <row r="257" spans="1:6" x14ac:dyDescent="0.25">
      <c r="A257">
        <v>458</v>
      </c>
      <c r="B257">
        <v>2020</v>
      </c>
      <c r="C257" t="s">
        <v>209</v>
      </c>
      <c r="D257" t="s">
        <v>113</v>
      </c>
      <c r="E257" t="s">
        <v>210</v>
      </c>
      <c r="F257" s="57">
        <f>Tabelle4!Q55</f>
        <v>9.3834327044684959E-2</v>
      </c>
    </row>
    <row r="258" spans="1:6" x14ac:dyDescent="0.25">
      <c r="A258">
        <v>459</v>
      </c>
      <c r="B258">
        <v>2020</v>
      </c>
      <c r="C258" t="s">
        <v>211</v>
      </c>
      <c r="D258" t="s">
        <v>113</v>
      </c>
      <c r="E258" t="s">
        <v>212</v>
      </c>
      <c r="F258" s="57">
        <f>Tabelle4!Q56</f>
        <v>0.2372085161937067</v>
      </c>
    </row>
    <row r="259" spans="1:6" x14ac:dyDescent="0.25">
      <c r="A259">
        <v>460</v>
      </c>
      <c r="B259">
        <v>2020</v>
      </c>
      <c r="C259" t="s">
        <v>213</v>
      </c>
      <c r="D259" t="s">
        <v>113</v>
      </c>
      <c r="E259" t="s">
        <v>214</v>
      </c>
      <c r="F259" s="57">
        <f>Tabelle4!Q57</f>
        <v>0.18125761311116162</v>
      </c>
    </row>
    <row r="260" spans="1:6" x14ac:dyDescent="0.25">
      <c r="A260">
        <v>461</v>
      </c>
      <c r="B260">
        <v>2020</v>
      </c>
      <c r="C260" t="s">
        <v>215</v>
      </c>
      <c r="D260" t="s">
        <v>113</v>
      </c>
      <c r="E260" t="s">
        <v>216</v>
      </c>
      <c r="F260" s="57">
        <f>Tabelle4!Q58</f>
        <v>4.0214711590579266E-2</v>
      </c>
    </row>
    <row r="261" spans="1:6" x14ac:dyDescent="0.25">
      <c r="A261">
        <v>462</v>
      </c>
      <c r="B261">
        <v>2020</v>
      </c>
      <c r="C261" t="s">
        <v>217</v>
      </c>
      <c r="D261" t="s">
        <v>113</v>
      </c>
      <c r="E261" t="s">
        <v>218</v>
      </c>
      <c r="F261" s="57">
        <f>Tabelle4!Q59</f>
        <v>1.9233122934624865E-2</v>
      </c>
    </row>
    <row r="262" spans="1:6" x14ac:dyDescent="0.25">
      <c r="A262">
        <v>0</v>
      </c>
      <c r="B262">
        <v>2020</v>
      </c>
      <c r="C262" t="s">
        <v>115</v>
      </c>
      <c r="D262" t="s">
        <v>114</v>
      </c>
      <c r="E262" t="s">
        <v>116</v>
      </c>
      <c r="F262" s="57">
        <f>Tabelle4!R8</f>
        <v>38.290233653302558</v>
      </c>
    </row>
    <row r="263" spans="1:6" x14ac:dyDescent="0.25">
      <c r="A263">
        <v>1</v>
      </c>
      <c r="B263">
        <v>2020</v>
      </c>
      <c r="C263" t="s">
        <v>117</v>
      </c>
      <c r="D263" t="s">
        <v>114</v>
      </c>
      <c r="E263" t="s">
        <v>118</v>
      </c>
      <c r="F263" s="57">
        <f>Tabelle4!R9</f>
        <v>7.7264700225552083</v>
      </c>
    </row>
    <row r="264" spans="1:6" x14ac:dyDescent="0.25">
      <c r="A264">
        <v>101</v>
      </c>
      <c r="B264">
        <v>2020</v>
      </c>
      <c r="C264" t="s">
        <v>119</v>
      </c>
      <c r="D264" t="s">
        <v>114</v>
      </c>
      <c r="E264" t="s">
        <v>120</v>
      </c>
      <c r="F264" s="57">
        <f>Tabelle4!R10</f>
        <v>1.547392163376637</v>
      </c>
    </row>
    <row r="265" spans="1:6" x14ac:dyDescent="0.25">
      <c r="A265">
        <v>102</v>
      </c>
      <c r="B265">
        <v>2020</v>
      </c>
      <c r="C265" t="s">
        <v>121</v>
      </c>
      <c r="D265" t="s">
        <v>114</v>
      </c>
      <c r="E265" t="s">
        <v>122</v>
      </c>
      <c r="F265" s="57">
        <f>Tabelle4!R11</f>
        <v>0.9144475722553459</v>
      </c>
    </row>
    <row r="266" spans="1:6" x14ac:dyDescent="0.25">
      <c r="A266">
        <v>103</v>
      </c>
      <c r="B266">
        <v>2020</v>
      </c>
      <c r="C266" t="s">
        <v>123</v>
      </c>
      <c r="D266" t="s">
        <v>114</v>
      </c>
      <c r="E266" t="s">
        <v>124</v>
      </c>
      <c r="F266" s="57">
        <f>Tabelle4!R12</f>
        <v>1.0216868031635573</v>
      </c>
    </row>
    <row r="267" spans="1:6" x14ac:dyDescent="0.25">
      <c r="A267">
        <v>151</v>
      </c>
      <c r="B267">
        <v>2020</v>
      </c>
      <c r="C267" t="s">
        <v>125</v>
      </c>
      <c r="D267" t="s">
        <v>114</v>
      </c>
      <c r="E267" t="s">
        <v>126</v>
      </c>
      <c r="F267" s="57">
        <f>Tabelle4!R13</f>
        <v>0.65450900168435533</v>
      </c>
    </row>
    <row r="268" spans="1:6" x14ac:dyDescent="0.25">
      <c r="A268">
        <v>153</v>
      </c>
      <c r="B268">
        <v>2020</v>
      </c>
      <c r="C268" t="s">
        <v>127</v>
      </c>
      <c r="D268" t="s">
        <v>114</v>
      </c>
      <c r="E268" t="s">
        <v>128</v>
      </c>
      <c r="F268" s="57">
        <f>Tabelle4!R14</f>
        <v>0.52279125067753041</v>
      </c>
    </row>
    <row r="269" spans="1:6" x14ac:dyDescent="0.25">
      <c r="A269">
        <v>154</v>
      </c>
      <c r="B269">
        <v>2020</v>
      </c>
      <c r="C269" t="s">
        <v>129</v>
      </c>
      <c r="D269" t="s">
        <v>114</v>
      </c>
      <c r="E269" t="s">
        <v>130</v>
      </c>
      <c r="F269" s="57">
        <f>Tabelle4!R15</f>
        <v>0.31530665174642586</v>
      </c>
    </row>
    <row r="270" spans="1:6" x14ac:dyDescent="0.25">
      <c r="A270">
        <v>155</v>
      </c>
      <c r="B270">
        <v>2020</v>
      </c>
      <c r="C270" t="s">
        <v>131</v>
      </c>
      <c r="D270" t="s">
        <v>114</v>
      </c>
      <c r="E270" t="s">
        <v>132</v>
      </c>
      <c r="F270" s="57">
        <f>Tabelle4!R16</f>
        <v>0.42662563600440612</v>
      </c>
    </row>
    <row r="271" spans="1:6" x14ac:dyDescent="0.25">
      <c r="A271">
        <v>157</v>
      </c>
      <c r="B271">
        <v>2020</v>
      </c>
      <c r="C271" t="s">
        <v>133</v>
      </c>
      <c r="D271" t="s">
        <v>114</v>
      </c>
      <c r="E271" t="s">
        <v>134</v>
      </c>
      <c r="F271" s="57">
        <f>Tabelle4!R17</f>
        <v>0.56300596226810973</v>
      </c>
    </row>
    <row r="272" spans="1:6" x14ac:dyDescent="0.25">
      <c r="A272">
        <v>158</v>
      </c>
      <c r="B272">
        <v>2020</v>
      </c>
      <c r="C272" t="s">
        <v>135</v>
      </c>
      <c r="D272" t="s">
        <v>114</v>
      </c>
      <c r="E272" t="s">
        <v>136</v>
      </c>
      <c r="F272" s="57">
        <f>Tabelle4!R18</f>
        <v>0.36076676050099371</v>
      </c>
    </row>
    <row r="273" spans="1:6" x14ac:dyDescent="0.25">
      <c r="A273">
        <v>159</v>
      </c>
      <c r="B273">
        <v>2020</v>
      </c>
      <c r="C273" t="s">
        <v>137</v>
      </c>
      <c r="D273" t="s">
        <v>114</v>
      </c>
      <c r="E273" t="s">
        <v>138</v>
      </c>
      <c r="F273" s="57">
        <f>Tabelle4!R19</f>
        <v>1.3999382208778464</v>
      </c>
    </row>
    <row r="274" spans="1:6" x14ac:dyDescent="0.25">
      <c r="A274">
        <v>2</v>
      </c>
      <c r="B274">
        <v>2020</v>
      </c>
      <c r="C274" t="s">
        <v>139</v>
      </c>
      <c r="D274" t="s">
        <v>114</v>
      </c>
      <c r="E274" t="s">
        <v>140</v>
      </c>
      <c r="F274" s="57">
        <f>Tabelle4!R20</f>
        <v>14.023277906969966</v>
      </c>
    </row>
    <row r="275" spans="1:6" x14ac:dyDescent="0.25">
      <c r="A275">
        <v>241</v>
      </c>
      <c r="B275">
        <v>2020</v>
      </c>
      <c r="C275" t="s">
        <v>141</v>
      </c>
      <c r="D275" t="s">
        <v>114</v>
      </c>
      <c r="E275" t="s">
        <v>142</v>
      </c>
      <c r="F275" s="57">
        <f>Tabelle4!R21</f>
        <v>9.8252117100577578</v>
      </c>
    </row>
    <row r="276" spans="1:6" x14ac:dyDescent="0.25">
      <c r="A276">
        <v>241001</v>
      </c>
      <c r="B276">
        <v>2020</v>
      </c>
      <c r="C276" t="s">
        <v>143</v>
      </c>
      <c r="D276" t="s">
        <v>114</v>
      </c>
      <c r="E276" t="s">
        <v>144</v>
      </c>
      <c r="F276" s="57">
        <f>Tabelle4!R22</f>
        <v>6.0887404635765447</v>
      </c>
    </row>
    <row r="277" spans="1:6" x14ac:dyDescent="0.25">
      <c r="A277">
        <v>241999</v>
      </c>
      <c r="B277">
        <v>2020</v>
      </c>
      <c r="C277" t="s">
        <v>145</v>
      </c>
      <c r="D277" t="s">
        <v>114</v>
      </c>
      <c r="E277" t="s">
        <v>146</v>
      </c>
      <c r="F277" s="57">
        <f>Tabelle4!R23</f>
        <v>6.0887404635765447</v>
      </c>
    </row>
    <row r="278" spans="1:6" x14ac:dyDescent="0.25">
      <c r="A278">
        <v>251</v>
      </c>
      <c r="B278">
        <v>2020</v>
      </c>
      <c r="C278" t="s">
        <v>147</v>
      </c>
      <c r="D278" t="s">
        <v>114</v>
      </c>
      <c r="E278" t="s">
        <v>148</v>
      </c>
      <c r="F278" s="57">
        <f>Tabelle4!R24</f>
        <v>0.72619609625886616</v>
      </c>
    </row>
    <row r="279" spans="1:6" x14ac:dyDescent="0.25">
      <c r="A279">
        <v>252</v>
      </c>
      <c r="B279">
        <v>2020</v>
      </c>
      <c r="C279" t="s">
        <v>149</v>
      </c>
      <c r="D279" t="s">
        <v>114</v>
      </c>
      <c r="E279" t="s">
        <v>150</v>
      </c>
      <c r="F279" s="57">
        <f>Tabelle4!R25</f>
        <v>0.89055187406384229</v>
      </c>
    </row>
    <row r="280" spans="1:6" x14ac:dyDescent="0.25">
      <c r="A280">
        <v>254</v>
      </c>
      <c r="B280">
        <v>2020</v>
      </c>
      <c r="C280" t="s">
        <v>151</v>
      </c>
      <c r="D280" t="s">
        <v>114</v>
      </c>
      <c r="E280" t="s">
        <v>152</v>
      </c>
      <c r="F280" s="57">
        <f>Tabelle4!R26</f>
        <v>1.184294115247204</v>
      </c>
    </row>
    <row r="281" spans="1:6" x14ac:dyDescent="0.25">
      <c r="A281">
        <v>255</v>
      </c>
      <c r="B281">
        <v>2020</v>
      </c>
      <c r="C281" t="s">
        <v>153</v>
      </c>
      <c r="D281" t="s">
        <v>114</v>
      </c>
      <c r="E281" t="s">
        <v>154</v>
      </c>
      <c r="F281" s="57">
        <f>Tabelle4!R27</f>
        <v>0.25061342005723308</v>
      </c>
    </row>
    <row r="282" spans="1:6" x14ac:dyDescent="0.25">
      <c r="A282">
        <v>256</v>
      </c>
      <c r="B282">
        <v>2020</v>
      </c>
      <c r="C282" t="s">
        <v>155</v>
      </c>
      <c r="D282" t="s">
        <v>114</v>
      </c>
      <c r="E282" t="s">
        <v>156</v>
      </c>
      <c r="F282" s="57">
        <f>Tabelle4!R28</f>
        <v>0.419631773119088</v>
      </c>
    </row>
    <row r="283" spans="1:6" x14ac:dyDescent="0.25">
      <c r="A283">
        <v>257</v>
      </c>
      <c r="B283">
        <v>2020</v>
      </c>
      <c r="C283" t="s">
        <v>157</v>
      </c>
      <c r="D283" t="s">
        <v>114</v>
      </c>
      <c r="E283" t="s">
        <v>158</v>
      </c>
      <c r="F283" s="57">
        <f>Tabelle4!R29</f>
        <v>0.72677891816597606</v>
      </c>
    </row>
    <row r="284" spans="1:6" x14ac:dyDescent="0.25">
      <c r="A284">
        <v>3</v>
      </c>
      <c r="B284">
        <v>2020</v>
      </c>
      <c r="C284" t="s">
        <v>159</v>
      </c>
      <c r="D284" t="s">
        <v>114</v>
      </c>
      <c r="E284" t="s">
        <v>160</v>
      </c>
      <c r="F284" s="57">
        <f>Tabelle4!R30</f>
        <v>5.8253049615628951</v>
      </c>
    </row>
    <row r="285" spans="1:6" x14ac:dyDescent="0.25">
      <c r="A285">
        <v>351</v>
      </c>
      <c r="B285">
        <v>2020</v>
      </c>
      <c r="C285" t="s">
        <v>161</v>
      </c>
      <c r="D285" t="s">
        <v>114</v>
      </c>
      <c r="E285" t="s">
        <v>162</v>
      </c>
      <c r="F285" s="57">
        <f>Tabelle4!R31</f>
        <v>0.60555196148712842</v>
      </c>
    </row>
    <row r="286" spans="1:6" x14ac:dyDescent="0.25">
      <c r="A286">
        <v>352</v>
      </c>
      <c r="B286">
        <v>2020</v>
      </c>
      <c r="C286" t="s">
        <v>163</v>
      </c>
      <c r="D286" t="s">
        <v>114</v>
      </c>
      <c r="E286" t="s">
        <v>164</v>
      </c>
      <c r="F286" s="57">
        <f>Tabelle4!R32</f>
        <v>0.67898752178296873</v>
      </c>
    </row>
    <row r="287" spans="1:6" x14ac:dyDescent="0.25">
      <c r="A287">
        <v>353</v>
      </c>
      <c r="B287">
        <v>2020</v>
      </c>
      <c r="C287" t="s">
        <v>165</v>
      </c>
      <c r="D287" t="s">
        <v>114</v>
      </c>
      <c r="E287" t="s">
        <v>166</v>
      </c>
      <c r="F287" s="57">
        <f>Tabelle4!R33</f>
        <v>1.0723923090821139</v>
      </c>
    </row>
    <row r="288" spans="1:6" x14ac:dyDescent="0.25">
      <c r="A288">
        <v>354</v>
      </c>
      <c r="B288">
        <v>2020</v>
      </c>
      <c r="C288" t="s">
        <v>167</v>
      </c>
      <c r="D288" t="s">
        <v>114</v>
      </c>
      <c r="E288" t="s">
        <v>168</v>
      </c>
      <c r="F288" s="57">
        <f>Tabelle4!R34</f>
        <v>0.10315947755844246</v>
      </c>
    </row>
    <row r="289" spans="1:6" x14ac:dyDescent="0.25">
      <c r="A289">
        <v>355</v>
      </c>
      <c r="B289">
        <v>2020</v>
      </c>
      <c r="C289" t="s">
        <v>169</v>
      </c>
      <c r="D289" t="s">
        <v>114</v>
      </c>
      <c r="E289" t="s">
        <v>170</v>
      </c>
      <c r="F289" s="57">
        <f>Tabelle4!R35</f>
        <v>0.50297530583579575</v>
      </c>
    </row>
    <row r="290" spans="1:6" x14ac:dyDescent="0.25">
      <c r="A290">
        <v>356</v>
      </c>
      <c r="B290">
        <v>2020</v>
      </c>
      <c r="C290" t="s">
        <v>171</v>
      </c>
      <c r="D290" t="s">
        <v>114</v>
      </c>
      <c r="E290" t="s">
        <v>172</v>
      </c>
      <c r="F290" s="57">
        <f>Tabelle4!R36</f>
        <v>0.34852750045168701</v>
      </c>
    </row>
    <row r="291" spans="1:6" x14ac:dyDescent="0.25">
      <c r="A291">
        <v>357</v>
      </c>
      <c r="B291">
        <v>2020</v>
      </c>
      <c r="C291" t="s">
        <v>173</v>
      </c>
      <c r="D291" t="s">
        <v>114</v>
      </c>
      <c r="E291" t="s">
        <v>174</v>
      </c>
      <c r="F291" s="57">
        <f>Tabelle4!R37</f>
        <v>0.51987714114198125</v>
      </c>
    </row>
    <row r="292" spans="1:6" x14ac:dyDescent="0.25">
      <c r="A292">
        <v>358</v>
      </c>
      <c r="B292">
        <v>2020</v>
      </c>
      <c r="C292" t="s">
        <v>175</v>
      </c>
      <c r="D292" t="s">
        <v>114</v>
      </c>
      <c r="E292" t="s">
        <v>176</v>
      </c>
      <c r="F292" s="57">
        <f>Tabelle4!R38</f>
        <v>0.50472377155712533</v>
      </c>
    </row>
    <row r="293" spans="1:6" x14ac:dyDescent="0.25">
      <c r="A293">
        <v>359</v>
      </c>
      <c r="B293">
        <v>2020</v>
      </c>
      <c r="C293" t="s">
        <v>177</v>
      </c>
      <c r="D293" t="s">
        <v>114</v>
      </c>
      <c r="E293" t="s">
        <v>178</v>
      </c>
      <c r="F293" s="57">
        <f>Tabelle4!R39</f>
        <v>0.71570530193088899</v>
      </c>
    </row>
    <row r="294" spans="1:6" x14ac:dyDescent="0.25">
      <c r="A294">
        <v>360</v>
      </c>
      <c r="B294">
        <v>2020</v>
      </c>
      <c r="C294" t="s">
        <v>179</v>
      </c>
      <c r="D294" t="s">
        <v>114</v>
      </c>
      <c r="E294" t="s">
        <v>180</v>
      </c>
      <c r="F294" s="57">
        <f>Tabelle4!R40</f>
        <v>0.21797539325908183</v>
      </c>
    </row>
    <row r="295" spans="1:6" x14ac:dyDescent="0.25">
      <c r="A295">
        <v>361</v>
      </c>
      <c r="B295">
        <v>2020</v>
      </c>
      <c r="C295" t="s">
        <v>181</v>
      </c>
      <c r="D295" t="s">
        <v>114</v>
      </c>
      <c r="E295" t="s">
        <v>182</v>
      </c>
      <c r="F295" s="57">
        <f>Tabelle4!R41</f>
        <v>0.55601209938279161</v>
      </c>
    </row>
    <row r="296" spans="1:6" x14ac:dyDescent="0.25">
      <c r="A296">
        <v>4</v>
      </c>
      <c r="B296">
        <v>2020</v>
      </c>
      <c r="C296" t="s">
        <v>183</v>
      </c>
      <c r="D296" t="s">
        <v>114</v>
      </c>
      <c r="E296" t="s">
        <v>184</v>
      </c>
      <c r="F296" s="57">
        <f>Tabelle4!R42</f>
        <v>10.71459794030738</v>
      </c>
    </row>
    <row r="297" spans="1:6" x14ac:dyDescent="0.25">
      <c r="A297">
        <v>401</v>
      </c>
      <c r="B297">
        <v>2020</v>
      </c>
      <c r="C297" t="s">
        <v>185</v>
      </c>
      <c r="D297" t="s">
        <v>114</v>
      </c>
      <c r="E297" t="s">
        <v>186</v>
      </c>
      <c r="F297" s="57">
        <f>Tabelle4!R43</f>
        <v>0.56300596226810973</v>
      </c>
    </row>
    <row r="298" spans="1:6" x14ac:dyDescent="0.25">
      <c r="A298">
        <v>402</v>
      </c>
      <c r="B298">
        <v>2020</v>
      </c>
      <c r="C298" t="s">
        <v>187</v>
      </c>
      <c r="D298" t="s">
        <v>114</v>
      </c>
      <c r="E298" t="s">
        <v>188</v>
      </c>
      <c r="F298" s="57">
        <f>Tabelle4!R44</f>
        <v>0.16901835306185489</v>
      </c>
    </row>
    <row r="299" spans="1:6" x14ac:dyDescent="0.25">
      <c r="A299">
        <v>403</v>
      </c>
      <c r="B299">
        <v>2020</v>
      </c>
      <c r="C299" t="s">
        <v>189</v>
      </c>
      <c r="D299" t="s">
        <v>114</v>
      </c>
      <c r="E299" t="s">
        <v>190</v>
      </c>
      <c r="F299" s="57">
        <f>Tabelle4!R45</f>
        <v>0.6649997960123325</v>
      </c>
    </row>
    <row r="300" spans="1:6" x14ac:dyDescent="0.25">
      <c r="A300">
        <v>404</v>
      </c>
      <c r="B300">
        <v>2020</v>
      </c>
      <c r="C300" t="s">
        <v>191</v>
      </c>
      <c r="D300" t="s">
        <v>114</v>
      </c>
      <c r="E300" t="s">
        <v>192</v>
      </c>
      <c r="F300" s="57">
        <f>Tabelle4!R46</f>
        <v>1.1446622255637344</v>
      </c>
    </row>
    <row r="301" spans="1:6" x14ac:dyDescent="0.25">
      <c r="A301">
        <v>405</v>
      </c>
      <c r="B301">
        <v>2020</v>
      </c>
      <c r="C301" t="s">
        <v>193</v>
      </c>
      <c r="D301" t="s">
        <v>114</v>
      </c>
      <c r="E301" t="s">
        <v>194</v>
      </c>
      <c r="F301" s="57">
        <f>Tabelle4!R47</f>
        <v>0.25993857057099062</v>
      </c>
    </row>
    <row r="302" spans="1:6" x14ac:dyDescent="0.25">
      <c r="A302">
        <v>451</v>
      </c>
      <c r="B302">
        <v>2020</v>
      </c>
      <c r="C302" t="s">
        <v>195</v>
      </c>
      <c r="D302" t="s">
        <v>114</v>
      </c>
      <c r="E302" t="s">
        <v>196</v>
      </c>
      <c r="F302" s="57">
        <f>Tabelle4!R48</f>
        <v>0.29432506309047146</v>
      </c>
    </row>
    <row r="303" spans="1:6" x14ac:dyDescent="0.25">
      <c r="A303">
        <v>452</v>
      </c>
      <c r="B303">
        <v>2020</v>
      </c>
      <c r="C303" t="s">
        <v>197</v>
      </c>
      <c r="D303" t="s">
        <v>114</v>
      </c>
      <c r="E303" t="s">
        <v>198</v>
      </c>
      <c r="F303" s="57">
        <f>Tabelle4!R49</f>
        <v>0.41088944451244036</v>
      </c>
    </row>
    <row r="304" spans="1:6" x14ac:dyDescent="0.25">
      <c r="A304">
        <v>453</v>
      </c>
      <c r="B304">
        <v>2020</v>
      </c>
      <c r="C304" t="s">
        <v>199</v>
      </c>
      <c r="D304" t="s">
        <v>114</v>
      </c>
      <c r="E304" t="s">
        <v>200</v>
      </c>
      <c r="F304" s="57">
        <f>Tabelle4!R50</f>
        <v>0.62303661870042371</v>
      </c>
    </row>
    <row r="305" spans="1:6" x14ac:dyDescent="0.25">
      <c r="A305">
        <v>454</v>
      </c>
      <c r="B305">
        <v>2020</v>
      </c>
      <c r="C305" t="s">
        <v>201</v>
      </c>
      <c r="D305" t="s">
        <v>114</v>
      </c>
      <c r="E305" t="s">
        <v>202</v>
      </c>
      <c r="F305" s="57">
        <f>Tabelle4!R51</f>
        <v>1.3626376188228162</v>
      </c>
    </row>
    <row r="306" spans="1:6" x14ac:dyDescent="0.25">
      <c r="A306">
        <v>455</v>
      </c>
      <c r="B306">
        <v>2020</v>
      </c>
      <c r="C306" t="s">
        <v>203</v>
      </c>
      <c r="D306" t="s">
        <v>114</v>
      </c>
      <c r="E306" t="s">
        <v>204</v>
      </c>
      <c r="F306" s="57">
        <f>Tabelle4!R52</f>
        <v>0.20165637986000617</v>
      </c>
    </row>
    <row r="307" spans="1:6" x14ac:dyDescent="0.25">
      <c r="A307">
        <v>456</v>
      </c>
      <c r="B307">
        <v>2020</v>
      </c>
      <c r="C307" t="s">
        <v>205</v>
      </c>
      <c r="D307" t="s">
        <v>114</v>
      </c>
      <c r="E307" t="s">
        <v>206</v>
      </c>
      <c r="F307" s="57">
        <f>Tabelle4!R53</f>
        <v>1.2938646337838546</v>
      </c>
    </row>
    <row r="308" spans="1:6" x14ac:dyDescent="0.25">
      <c r="A308">
        <v>457</v>
      </c>
      <c r="B308">
        <v>2020</v>
      </c>
      <c r="C308" t="s">
        <v>207</v>
      </c>
      <c r="D308" t="s">
        <v>114</v>
      </c>
      <c r="E308" t="s">
        <v>208</v>
      </c>
      <c r="F308" s="57">
        <f>Tabelle4!R54</f>
        <v>0.5746624004103067</v>
      </c>
    </row>
    <row r="309" spans="1:6" x14ac:dyDescent="0.25">
      <c r="A309">
        <v>458</v>
      </c>
      <c r="B309">
        <v>2020</v>
      </c>
      <c r="C309" t="s">
        <v>209</v>
      </c>
      <c r="D309" t="s">
        <v>114</v>
      </c>
      <c r="E309" t="s">
        <v>210</v>
      </c>
      <c r="F309" s="57">
        <f>Tabelle4!R55</f>
        <v>0.38874221204226622</v>
      </c>
    </row>
    <row r="310" spans="1:6" x14ac:dyDescent="0.25">
      <c r="A310">
        <v>459</v>
      </c>
      <c r="B310">
        <v>2020</v>
      </c>
      <c r="C310" t="s">
        <v>211</v>
      </c>
      <c r="D310" t="s">
        <v>114</v>
      </c>
      <c r="E310" t="s">
        <v>212</v>
      </c>
      <c r="F310" s="57">
        <f>Tabelle4!R56</f>
        <v>1.5182510680211447</v>
      </c>
    </row>
    <row r="311" spans="1:6" x14ac:dyDescent="0.25">
      <c r="A311">
        <v>460</v>
      </c>
      <c r="B311">
        <v>2020</v>
      </c>
      <c r="C311" t="s">
        <v>213</v>
      </c>
      <c r="D311" t="s">
        <v>114</v>
      </c>
      <c r="E311" t="s">
        <v>214</v>
      </c>
      <c r="F311" s="57">
        <f>Tabelle4!R57</f>
        <v>0.77223902692054391</v>
      </c>
    </row>
    <row r="312" spans="1:6" x14ac:dyDescent="0.25">
      <c r="A312">
        <v>461</v>
      </c>
      <c r="B312">
        <v>2020</v>
      </c>
      <c r="C312" t="s">
        <v>215</v>
      </c>
      <c r="D312" t="s">
        <v>114</v>
      </c>
      <c r="E312" t="s">
        <v>216</v>
      </c>
      <c r="F312" s="57">
        <f>Tabelle4!R58</f>
        <v>0.36776062338631182</v>
      </c>
    </row>
    <row r="313" spans="1:6" x14ac:dyDescent="0.25">
      <c r="A313">
        <v>462</v>
      </c>
      <c r="B313">
        <v>2020</v>
      </c>
      <c r="C313" t="s">
        <v>217</v>
      </c>
      <c r="D313" t="s">
        <v>114</v>
      </c>
      <c r="E313" t="s">
        <v>218</v>
      </c>
      <c r="F313" s="57">
        <f>Tabelle4!R59</f>
        <v>0.10374229946555232</v>
      </c>
    </row>
    <row r="314" spans="1:6" x14ac:dyDescent="0.25">
      <c r="F314" s="54" t="s">
        <v>219</v>
      </c>
    </row>
    <row r="315" spans="1:6" x14ac:dyDescent="0.25">
      <c r="F315" s="54" t="s">
        <v>219</v>
      </c>
    </row>
    <row r="316" spans="1:6" x14ac:dyDescent="0.25">
      <c r="F316" s="54" t="s">
        <v>219</v>
      </c>
    </row>
    <row r="317" spans="1:6" x14ac:dyDescent="0.25">
      <c r="F317" s="54" t="s">
        <v>219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1EE1-FE94-4CBE-8C67-E334C7657987}">
  <sheetPr codeName="Tabelle6"/>
  <dimension ref="A1:L319"/>
  <sheetViews>
    <sheetView tabSelected="1" topLeftCell="B4" workbookViewId="0">
      <selection activeCell="B1" sqref="B1:F313"/>
    </sheetView>
  </sheetViews>
  <sheetFormatPr baseColWidth="10" defaultRowHeight="15" x14ac:dyDescent="0.25"/>
  <cols>
    <col min="6" max="6" width="27" style="54" bestFit="1" customWidth="1"/>
  </cols>
  <sheetData>
    <row r="1" spans="1:12" x14ac:dyDescent="0.25">
      <c r="A1" s="54" t="s">
        <v>13</v>
      </c>
      <c r="B1" t="s">
        <v>23</v>
      </c>
      <c r="C1" t="s">
        <v>24</v>
      </c>
      <c r="D1" t="s">
        <v>107</v>
      </c>
      <c r="E1" t="s">
        <v>27</v>
      </c>
      <c r="F1" s="54" t="s">
        <v>26</v>
      </c>
    </row>
    <row r="2" spans="1:12" x14ac:dyDescent="0.25">
      <c r="A2" s="54">
        <v>0</v>
      </c>
      <c r="B2">
        <v>2020</v>
      </c>
      <c r="C2" t="s">
        <v>115</v>
      </c>
      <c r="D2" t="s">
        <v>109</v>
      </c>
      <c r="E2" t="s">
        <v>116</v>
      </c>
      <c r="F2" s="54" t="s">
        <v>221</v>
      </c>
      <c r="G2" s="57"/>
      <c r="H2" s="57"/>
      <c r="I2" s="57"/>
      <c r="J2" s="57"/>
      <c r="K2" s="57"/>
      <c r="L2" s="57"/>
    </row>
    <row r="3" spans="1:12" x14ac:dyDescent="0.25">
      <c r="A3">
        <v>1</v>
      </c>
      <c r="B3">
        <v>2020</v>
      </c>
      <c r="C3" t="s">
        <v>117</v>
      </c>
      <c r="D3" t="s">
        <v>109</v>
      </c>
      <c r="E3" t="s">
        <v>118</v>
      </c>
      <c r="F3" s="54" t="s">
        <v>222</v>
      </c>
      <c r="G3" s="57"/>
      <c r="H3" s="57"/>
      <c r="I3" s="57"/>
      <c r="J3" s="57"/>
      <c r="K3" s="57"/>
      <c r="L3" s="57"/>
    </row>
    <row r="4" spans="1:12" x14ac:dyDescent="0.25">
      <c r="A4">
        <v>101</v>
      </c>
      <c r="B4">
        <v>2020</v>
      </c>
      <c r="C4" t="s">
        <v>119</v>
      </c>
      <c r="D4" t="s">
        <v>109</v>
      </c>
      <c r="E4" t="s">
        <v>120</v>
      </c>
      <c r="F4" s="54" t="s">
        <v>223</v>
      </c>
      <c r="G4" s="57"/>
      <c r="H4" s="57"/>
      <c r="I4" s="57"/>
      <c r="J4" s="57"/>
      <c r="K4" s="57"/>
      <c r="L4" s="57"/>
    </row>
    <row r="5" spans="1:12" x14ac:dyDescent="0.25">
      <c r="A5">
        <v>102</v>
      </c>
      <c r="B5">
        <v>2020</v>
      </c>
      <c r="C5" t="s">
        <v>121</v>
      </c>
      <c r="D5" t="s">
        <v>109</v>
      </c>
      <c r="E5" t="s">
        <v>122</v>
      </c>
      <c r="F5" s="54" t="s">
        <v>224</v>
      </c>
      <c r="G5" s="57"/>
      <c r="H5" s="57"/>
      <c r="I5" s="57"/>
      <c r="J5" s="57"/>
      <c r="K5" s="57"/>
      <c r="L5" s="57"/>
    </row>
    <row r="6" spans="1:12" x14ac:dyDescent="0.25">
      <c r="A6">
        <v>103</v>
      </c>
      <c r="B6">
        <v>2020</v>
      </c>
      <c r="C6" t="s">
        <v>123</v>
      </c>
      <c r="D6" t="s">
        <v>109</v>
      </c>
      <c r="E6" t="s">
        <v>124</v>
      </c>
      <c r="F6" s="54" t="s">
        <v>224</v>
      </c>
      <c r="G6" s="57"/>
      <c r="H6" s="57"/>
      <c r="I6" s="57"/>
      <c r="J6" s="57"/>
      <c r="K6" s="57"/>
      <c r="L6" s="57"/>
    </row>
    <row r="7" spans="1:12" x14ac:dyDescent="0.25">
      <c r="A7">
        <v>151</v>
      </c>
      <c r="B7">
        <v>2020</v>
      </c>
      <c r="C7" t="s">
        <v>125</v>
      </c>
      <c r="D7" t="s">
        <v>109</v>
      </c>
      <c r="E7" t="s">
        <v>126</v>
      </c>
      <c r="F7" s="54" t="s">
        <v>225</v>
      </c>
      <c r="G7" s="57"/>
      <c r="H7" s="57"/>
      <c r="I7" s="57"/>
      <c r="J7" s="57"/>
      <c r="K7" s="57"/>
      <c r="L7" s="57"/>
    </row>
    <row r="8" spans="1:12" x14ac:dyDescent="0.25">
      <c r="A8">
        <v>153</v>
      </c>
      <c r="B8">
        <v>2020</v>
      </c>
      <c r="C8" t="s">
        <v>127</v>
      </c>
      <c r="D8" t="s">
        <v>109</v>
      </c>
      <c r="E8" t="s">
        <v>128</v>
      </c>
      <c r="F8" s="54" t="s">
        <v>224</v>
      </c>
      <c r="G8" s="57"/>
      <c r="H8" s="57"/>
      <c r="I8" s="57"/>
      <c r="J8" s="57"/>
      <c r="K8" s="57"/>
      <c r="L8" s="57"/>
    </row>
    <row r="9" spans="1:12" x14ac:dyDescent="0.25">
      <c r="A9">
        <v>154</v>
      </c>
      <c r="B9">
        <v>2020</v>
      </c>
      <c r="C9" t="s">
        <v>129</v>
      </c>
      <c r="D9" t="s">
        <v>109</v>
      </c>
      <c r="E9" t="s">
        <v>130</v>
      </c>
      <c r="F9" s="54" t="s">
        <v>226</v>
      </c>
      <c r="G9" s="57"/>
      <c r="H9" s="57"/>
      <c r="I9" s="57"/>
      <c r="J9" s="57"/>
      <c r="K9" s="57"/>
      <c r="L9" s="57"/>
    </row>
    <row r="10" spans="1:12" x14ac:dyDescent="0.25">
      <c r="A10">
        <v>155</v>
      </c>
      <c r="B10">
        <v>2020</v>
      </c>
      <c r="C10" t="s">
        <v>131</v>
      </c>
      <c r="D10" t="s">
        <v>109</v>
      </c>
      <c r="E10" t="s">
        <v>132</v>
      </c>
      <c r="F10" s="54" t="s">
        <v>227</v>
      </c>
      <c r="G10" s="57"/>
      <c r="H10" s="57"/>
      <c r="I10" s="57"/>
      <c r="J10" s="57"/>
      <c r="K10" s="57"/>
      <c r="L10" s="57"/>
    </row>
    <row r="11" spans="1:12" x14ac:dyDescent="0.25">
      <c r="A11">
        <v>157</v>
      </c>
      <c r="B11">
        <v>2020</v>
      </c>
      <c r="C11" t="s">
        <v>133</v>
      </c>
      <c r="D11" t="s">
        <v>109</v>
      </c>
      <c r="E11" t="s">
        <v>134</v>
      </c>
      <c r="F11" s="54" t="s">
        <v>228</v>
      </c>
      <c r="G11" s="57"/>
      <c r="H11" s="57"/>
      <c r="I11" s="57"/>
      <c r="J11" s="57"/>
      <c r="K11" s="57"/>
      <c r="L11" s="57"/>
    </row>
    <row r="12" spans="1:12" x14ac:dyDescent="0.25">
      <c r="A12">
        <v>158</v>
      </c>
      <c r="B12">
        <v>2020</v>
      </c>
      <c r="C12" t="s">
        <v>135</v>
      </c>
      <c r="D12" t="s">
        <v>109</v>
      </c>
      <c r="E12" t="s">
        <v>136</v>
      </c>
      <c r="F12" s="54" t="s">
        <v>229</v>
      </c>
      <c r="G12" s="57"/>
      <c r="H12" s="57"/>
      <c r="I12" s="57"/>
      <c r="J12" s="57"/>
      <c r="K12" s="57"/>
      <c r="L12" s="57"/>
    </row>
    <row r="13" spans="1:12" x14ac:dyDescent="0.25">
      <c r="A13">
        <v>159</v>
      </c>
      <c r="B13">
        <v>2020</v>
      </c>
      <c r="C13" t="s">
        <v>137</v>
      </c>
      <c r="D13" t="s">
        <v>109</v>
      </c>
      <c r="E13" t="s">
        <v>138</v>
      </c>
      <c r="F13" s="54" t="s">
        <v>230</v>
      </c>
      <c r="G13" s="57"/>
      <c r="H13" s="57"/>
      <c r="I13" s="57"/>
      <c r="J13" s="57"/>
      <c r="K13" s="57"/>
      <c r="L13" s="57"/>
    </row>
    <row r="14" spans="1:12" x14ac:dyDescent="0.25">
      <c r="A14">
        <v>2</v>
      </c>
      <c r="B14">
        <v>2020</v>
      </c>
      <c r="C14" t="s">
        <v>139</v>
      </c>
      <c r="D14" t="s">
        <v>109</v>
      </c>
      <c r="E14" t="s">
        <v>140</v>
      </c>
      <c r="F14" s="54" t="s">
        <v>231</v>
      </c>
      <c r="G14" s="57"/>
      <c r="H14" s="57"/>
      <c r="I14" s="57"/>
      <c r="J14" s="57"/>
      <c r="K14" s="57"/>
      <c r="L14" s="57"/>
    </row>
    <row r="15" spans="1:12" x14ac:dyDescent="0.25">
      <c r="A15">
        <v>241</v>
      </c>
      <c r="B15">
        <v>2020</v>
      </c>
      <c r="C15" t="s">
        <v>141</v>
      </c>
      <c r="D15" t="s">
        <v>109</v>
      </c>
      <c r="E15" t="s">
        <v>142</v>
      </c>
      <c r="F15" s="54" t="s">
        <v>232</v>
      </c>
      <c r="G15" s="57"/>
      <c r="H15" s="57"/>
      <c r="I15" s="57"/>
      <c r="J15" s="57"/>
      <c r="K15" s="57"/>
      <c r="L15" s="57"/>
    </row>
    <row r="16" spans="1:12" x14ac:dyDescent="0.25">
      <c r="A16">
        <v>241001</v>
      </c>
      <c r="B16">
        <v>2020</v>
      </c>
      <c r="C16" t="s">
        <v>143</v>
      </c>
      <c r="D16" t="s">
        <v>109</v>
      </c>
      <c r="E16" t="s">
        <v>144</v>
      </c>
      <c r="F16" s="54" t="s">
        <v>233</v>
      </c>
      <c r="G16" s="57"/>
      <c r="H16" s="57"/>
      <c r="I16" s="57"/>
      <c r="J16" s="57"/>
      <c r="K16" s="57"/>
      <c r="L16" s="57"/>
    </row>
    <row r="17" spans="1:12" x14ac:dyDescent="0.25">
      <c r="A17">
        <v>241999</v>
      </c>
      <c r="B17">
        <v>2020</v>
      </c>
      <c r="C17" t="s">
        <v>145</v>
      </c>
      <c r="D17" t="s">
        <v>109</v>
      </c>
      <c r="E17" t="s">
        <v>146</v>
      </c>
      <c r="F17" s="54" t="s">
        <v>233</v>
      </c>
      <c r="G17" s="57"/>
      <c r="H17" s="57"/>
      <c r="I17" s="57"/>
      <c r="J17" s="57"/>
      <c r="K17" s="57"/>
      <c r="L17" s="57"/>
    </row>
    <row r="18" spans="1:12" x14ac:dyDescent="0.25">
      <c r="A18">
        <v>251</v>
      </c>
      <c r="B18">
        <v>2020</v>
      </c>
      <c r="C18" t="s">
        <v>147</v>
      </c>
      <c r="D18" t="s">
        <v>109</v>
      </c>
      <c r="E18" t="s">
        <v>148</v>
      </c>
      <c r="F18" s="54" t="s">
        <v>234</v>
      </c>
      <c r="G18" s="57"/>
      <c r="H18" s="57"/>
      <c r="I18" s="57"/>
      <c r="J18" s="57"/>
      <c r="K18" s="57"/>
      <c r="L18" s="57"/>
    </row>
    <row r="19" spans="1:12" x14ac:dyDescent="0.25">
      <c r="A19">
        <v>252</v>
      </c>
      <c r="B19">
        <v>2020</v>
      </c>
      <c r="C19" t="s">
        <v>149</v>
      </c>
      <c r="D19" t="s">
        <v>109</v>
      </c>
      <c r="E19" t="s">
        <v>150</v>
      </c>
      <c r="F19" s="54" t="s">
        <v>235</v>
      </c>
      <c r="G19" s="57"/>
      <c r="H19" s="57"/>
      <c r="I19" s="57"/>
      <c r="J19" s="57"/>
      <c r="K19" s="57"/>
      <c r="L19" s="57"/>
    </row>
    <row r="20" spans="1:12" x14ac:dyDescent="0.25">
      <c r="A20">
        <v>254</v>
      </c>
      <c r="B20">
        <v>2020</v>
      </c>
      <c r="C20" t="s">
        <v>151</v>
      </c>
      <c r="D20" t="s">
        <v>109</v>
      </c>
      <c r="E20" t="s">
        <v>152</v>
      </c>
      <c r="F20" s="54" t="s">
        <v>236</v>
      </c>
      <c r="G20" s="57"/>
      <c r="H20" s="57"/>
      <c r="I20" s="57"/>
      <c r="J20" s="57"/>
      <c r="K20" s="57"/>
      <c r="L20" s="57"/>
    </row>
    <row r="21" spans="1:12" x14ac:dyDescent="0.25">
      <c r="A21">
        <v>255</v>
      </c>
      <c r="B21">
        <v>2020</v>
      </c>
      <c r="C21" t="s">
        <v>153</v>
      </c>
      <c r="D21" t="s">
        <v>109</v>
      </c>
      <c r="E21" t="s">
        <v>154</v>
      </c>
      <c r="F21" s="54" t="s">
        <v>237</v>
      </c>
      <c r="G21" s="57"/>
      <c r="H21" s="57"/>
      <c r="I21" s="57"/>
      <c r="J21" s="57"/>
      <c r="K21" s="57"/>
      <c r="L21" s="57"/>
    </row>
    <row r="22" spans="1:12" x14ac:dyDescent="0.25">
      <c r="A22">
        <v>256</v>
      </c>
      <c r="B22">
        <v>2020</v>
      </c>
      <c r="C22" t="s">
        <v>155</v>
      </c>
      <c r="D22" t="s">
        <v>109</v>
      </c>
      <c r="E22" t="s">
        <v>156</v>
      </c>
      <c r="F22" s="54" t="s">
        <v>225</v>
      </c>
      <c r="G22" s="57"/>
      <c r="H22" s="57"/>
      <c r="I22" s="57"/>
      <c r="J22" s="57"/>
      <c r="K22" s="57"/>
      <c r="L22" s="57"/>
    </row>
    <row r="23" spans="1:12" x14ac:dyDescent="0.25">
      <c r="A23">
        <v>257</v>
      </c>
      <c r="B23">
        <v>2020</v>
      </c>
      <c r="C23" t="s">
        <v>157</v>
      </c>
      <c r="D23" t="s">
        <v>109</v>
      </c>
      <c r="E23" t="s">
        <v>158</v>
      </c>
      <c r="F23" s="54" t="s">
        <v>235</v>
      </c>
      <c r="G23" s="57"/>
      <c r="H23" s="57"/>
      <c r="I23" s="57"/>
      <c r="J23" s="57"/>
      <c r="K23" s="57"/>
      <c r="L23" s="57"/>
    </row>
    <row r="24" spans="1:12" x14ac:dyDescent="0.25">
      <c r="A24">
        <v>3</v>
      </c>
      <c r="B24">
        <v>2020</v>
      </c>
      <c r="C24" t="s">
        <v>159</v>
      </c>
      <c r="D24" t="s">
        <v>109</v>
      </c>
      <c r="E24" t="s">
        <v>160</v>
      </c>
      <c r="F24" s="54" t="s">
        <v>238</v>
      </c>
      <c r="G24" s="57"/>
      <c r="H24" s="57"/>
      <c r="I24" s="57"/>
      <c r="J24" s="57"/>
      <c r="K24" s="57"/>
      <c r="L24" s="57"/>
    </row>
    <row r="25" spans="1:12" x14ac:dyDescent="0.25">
      <c r="A25">
        <v>351</v>
      </c>
      <c r="B25">
        <v>2020</v>
      </c>
      <c r="C25" t="s">
        <v>161</v>
      </c>
      <c r="D25" t="s">
        <v>109</v>
      </c>
      <c r="E25" t="s">
        <v>162</v>
      </c>
      <c r="F25" s="54" t="s">
        <v>235</v>
      </c>
      <c r="G25" s="57"/>
      <c r="H25" s="57"/>
      <c r="I25" s="57"/>
      <c r="J25" s="57"/>
      <c r="K25" s="57"/>
      <c r="L25" s="57"/>
    </row>
    <row r="26" spans="1:12" x14ac:dyDescent="0.25">
      <c r="A26">
        <v>352</v>
      </c>
      <c r="B26">
        <v>2020</v>
      </c>
      <c r="C26" t="s">
        <v>163</v>
      </c>
      <c r="D26" t="s">
        <v>109</v>
      </c>
      <c r="E26" t="s">
        <v>164</v>
      </c>
      <c r="F26" s="54" t="s">
        <v>228</v>
      </c>
      <c r="G26" s="57"/>
      <c r="H26" s="57"/>
      <c r="I26" s="57"/>
      <c r="J26" s="57"/>
      <c r="K26" s="57"/>
      <c r="L26" s="57"/>
    </row>
    <row r="27" spans="1:12" x14ac:dyDescent="0.25">
      <c r="A27">
        <v>353</v>
      </c>
      <c r="B27">
        <v>2020</v>
      </c>
      <c r="C27" t="s">
        <v>165</v>
      </c>
      <c r="D27" t="s">
        <v>109</v>
      </c>
      <c r="E27" t="s">
        <v>166</v>
      </c>
      <c r="F27" s="54" t="s">
        <v>223</v>
      </c>
      <c r="G27" s="57"/>
      <c r="H27" s="57"/>
      <c r="I27" s="57"/>
      <c r="J27" s="57"/>
      <c r="K27" s="57"/>
      <c r="L27" s="57"/>
    </row>
    <row r="28" spans="1:12" x14ac:dyDescent="0.25">
      <c r="A28">
        <v>354</v>
      </c>
      <c r="B28">
        <v>2020</v>
      </c>
      <c r="C28" t="s">
        <v>167</v>
      </c>
      <c r="D28" t="s">
        <v>109</v>
      </c>
      <c r="E28" t="s">
        <v>168</v>
      </c>
      <c r="F28" s="54" t="s">
        <v>239</v>
      </c>
      <c r="G28" s="57"/>
      <c r="H28" s="57"/>
      <c r="I28" s="57"/>
      <c r="J28" s="57"/>
      <c r="K28" s="57"/>
      <c r="L28" s="57"/>
    </row>
    <row r="29" spans="1:12" x14ac:dyDescent="0.25">
      <c r="A29">
        <v>355</v>
      </c>
      <c r="B29">
        <v>2020</v>
      </c>
      <c r="C29" t="s">
        <v>169</v>
      </c>
      <c r="D29" t="s">
        <v>109</v>
      </c>
      <c r="E29" t="s">
        <v>170</v>
      </c>
      <c r="F29" s="54" t="s">
        <v>235</v>
      </c>
      <c r="G29" s="57"/>
      <c r="H29" s="57"/>
      <c r="I29" s="57"/>
      <c r="J29" s="57"/>
      <c r="K29" s="57"/>
      <c r="L29" s="57"/>
    </row>
    <row r="30" spans="1:12" x14ac:dyDescent="0.25">
      <c r="A30">
        <v>356</v>
      </c>
      <c r="B30">
        <v>2020</v>
      </c>
      <c r="C30" t="s">
        <v>171</v>
      </c>
      <c r="D30" t="s">
        <v>109</v>
      </c>
      <c r="E30" t="s">
        <v>172</v>
      </c>
      <c r="F30" s="54" t="s">
        <v>229</v>
      </c>
      <c r="G30" s="57"/>
      <c r="H30" s="57"/>
      <c r="I30" s="57"/>
      <c r="J30" s="57"/>
      <c r="K30" s="57"/>
      <c r="L30" s="57"/>
    </row>
    <row r="31" spans="1:12" x14ac:dyDescent="0.25">
      <c r="A31">
        <v>357</v>
      </c>
      <c r="B31">
        <v>2020</v>
      </c>
      <c r="C31" t="s">
        <v>173</v>
      </c>
      <c r="D31" t="s">
        <v>109</v>
      </c>
      <c r="E31" t="s">
        <v>174</v>
      </c>
      <c r="F31" s="54" t="s">
        <v>240</v>
      </c>
      <c r="G31" s="57"/>
      <c r="H31" s="57"/>
      <c r="I31" s="57"/>
      <c r="J31" s="57"/>
      <c r="K31" s="57"/>
      <c r="L31" s="57"/>
    </row>
    <row r="32" spans="1:12" x14ac:dyDescent="0.25">
      <c r="A32">
        <v>358</v>
      </c>
      <c r="B32">
        <v>2020</v>
      </c>
      <c r="C32" t="s">
        <v>175</v>
      </c>
      <c r="D32" t="s">
        <v>109</v>
      </c>
      <c r="E32" t="s">
        <v>176</v>
      </c>
      <c r="F32" s="54" t="s">
        <v>241</v>
      </c>
      <c r="G32" s="57"/>
      <c r="H32" s="57"/>
      <c r="I32" s="57"/>
      <c r="J32" s="57"/>
      <c r="K32" s="57"/>
      <c r="L32" s="57"/>
    </row>
    <row r="33" spans="1:12" x14ac:dyDescent="0.25">
      <c r="A33">
        <v>359</v>
      </c>
      <c r="B33">
        <v>2020</v>
      </c>
      <c r="C33" t="s">
        <v>177</v>
      </c>
      <c r="D33" t="s">
        <v>109</v>
      </c>
      <c r="E33" t="s">
        <v>178</v>
      </c>
      <c r="F33" s="54" t="s">
        <v>242</v>
      </c>
      <c r="G33" s="57"/>
      <c r="H33" s="57"/>
      <c r="I33" s="57"/>
      <c r="J33" s="57"/>
      <c r="K33" s="57"/>
      <c r="L33" s="57"/>
    </row>
    <row r="34" spans="1:12" x14ac:dyDescent="0.25">
      <c r="A34">
        <v>360</v>
      </c>
      <c r="B34">
        <v>2020</v>
      </c>
      <c r="C34" t="s">
        <v>179</v>
      </c>
      <c r="D34" t="s">
        <v>109</v>
      </c>
      <c r="E34" t="s">
        <v>180</v>
      </c>
      <c r="F34" s="54" t="s">
        <v>226</v>
      </c>
      <c r="G34" s="57"/>
      <c r="H34" s="57"/>
      <c r="I34" s="57"/>
      <c r="J34" s="57"/>
      <c r="K34" s="57"/>
      <c r="L34" s="57"/>
    </row>
    <row r="35" spans="1:12" x14ac:dyDescent="0.25">
      <c r="A35">
        <v>361</v>
      </c>
      <c r="B35">
        <v>2020</v>
      </c>
      <c r="C35" t="s">
        <v>181</v>
      </c>
      <c r="D35" t="s">
        <v>109</v>
      </c>
      <c r="E35" t="s">
        <v>182</v>
      </c>
      <c r="F35" s="54" t="s">
        <v>225</v>
      </c>
      <c r="G35" s="57"/>
      <c r="H35" s="57"/>
      <c r="I35" s="57"/>
      <c r="J35" s="57"/>
      <c r="K35" s="57"/>
      <c r="L35" s="57"/>
    </row>
    <row r="36" spans="1:12" x14ac:dyDescent="0.25">
      <c r="A36">
        <v>4</v>
      </c>
      <c r="B36">
        <v>2020</v>
      </c>
      <c r="C36" t="s">
        <v>183</v>
      </c>
      <c r="D36" t="s">
        <v>109</v>
      </c>
      <c r="E36" t="s">
        <v>184</v>
      </c>
      <c r="F36" s="54" t="s">
        <v>243</v>
      </c>
      <c r="G36" s="57"/>
      <c r="H36" s="57"/>
      <c r="I36" s="57"/>
      <c r="J36" s="57"/>
      <c r="K36" s="57"/>
      <c r="L36" s="57"/>
    </row>
    <row r="37" spans="1:12" x14ac:dyDescent="0.25">
      <c r="A37">
        <v>401</v>
      </c>
      <c r="B37">
        <v>2020</v>
      </c>
      <c r="C37" t="s">
        <v>185</v>
      </c>
      <c r="D37" t="s">
        <v>109</v>
      </c>
      <c r="E37" t="s">
        <v>186</v>
      </c>
      <c r="F37" s="54" t="s">
        <v>225</v>
      </c>
      <c r="G37" s="57"/>
      <c r="H37" s="57"/>
      <c r="I37" s="57"/>
      <c r="J37" s="57"/>
      <c r="K37" s="57"/>
      <c r="L37" s="57"/>
    </row>
    <row r="38" spans="1:12" x14ac:dyDescent="0.25">
      <c r="A38">
        <v>402</v>
      </c>
      <c r="B38">
        <v>2020</v>
      </c>
      <c r="C38" t="s">
        <v>187</v>
      </c>
      <c r="D38" t="s">
        <v>109</v>
      </c>
      <c r="E38" t="s">
        <v>188</v>
      </c>
      <c r="F38" s="54" t="s">
        <v>227</v>
      </c>
      <c r="G38" s="57"/>
      <c r="H38" s="57"/>
      <c r="I38" s="57"/>
      <c r="J38" s="57"/>
      <c r="K38" s="57"/>
      <c r="L38" s="57"/>
    </row>
    <row r="39" spans="1:12" x14ac:dyDescent="0.25">
      <c r="A39">
        <v>403</v>
      </c>
      <c r="B39">
        <v>2020</v>
      </c>
      <c r="C39" t="s">
        <v>189</v>
      </c>
      <c r="D39" t="s">
        <v>109</v>
      </c>
      <c r="E39" t="s">
        <v>190</v>
      </c>
      <c r="F39" s="54" t="s">
        <v>236</v>
      </c>
      <c r="G39" s="57"/>
      <c r="H39" s="57"/>
      <c r="I39" s="57"/>
      <c r="J39" s="57"/>
      <c r="K39" s="57"/>
      <c r="L39" s="57"/>
    </row>
    <row r="40" spans="1:12" x14ac:dyDescent="0.25">
      <c r="A40">
        <v>404</v>
      </c>
      <c r="B40">
        <v>2020</v>
      </c>
      <c r="C40" t="s">
        <v>191</v>
      </c>
      <c r="D40" t="s">
        <v>109</v>
      </c>
      <c r="E40" t="s">
        <v>192</v>
      </c>
      <c r="F40" s="54" t="s">
        <v>236</v>
      </c>
      <c r="G40" s="57"/>
      <c r="H40" s="57"/>
      <c r="I40" s="57"/>
      <c r="J40" s="57"/>
      <c r="K40" s="57"/>
      <c r="L40" s="57"/>
    </row>
    <row r="41" spans="1:12" x14ac:dyDescent="0.25">
      <c r="A41">
        <v>405</v>
      </c>
      <c r="B41">
        <v>2020</v>
      </c>
      <c r="C41" t="s">
        <v>193</v>
      </c>
      <c r="D41" t="s">
        <v>109</v>
      </c>
      <c r="E41" t="s">
        <v>194</v>
      </c>
      <c r="F41" s="54" t="s">
        <v>227</v>
      </c>
      <c r="G41" s="57"/>
      <c r="H41" s="57"/>
      <c r="I41" s="57"/>
      <c r="J41" s="57"/>
      <c r="K41" s="57"/>
      <c r="L41" s="57"/>
    </row>
    <row r="42" spans="1:12" x14ac:dyDescent="0.25">
      <c r="A42">
        <v>451</v>
      </c>
      <c r="B42">
        <v>2020</v>
      </c>
      <c r="C42" t="s">
        <v>195</v>
      </c>
      <c r="D42" t="s">
        <v>109</v>
      </c>
      <c r="E42" t="s">
        <v>196</v>
      </c>
      <c r="F42" s="54" t="s">
        <v>225</v>
      </c>
      <c r="G42" s="57"/>
      <c r="H42" s="57"/>
      <c r="I42" s="57"/>
      <c r="J42" s="57"/>
      <c r="K42" s="57"/>
      <c r="L42" s="57"/>
    </row>
    <row r="43" spans="1:12" x14ac:dyDescent="0.25">
      <c r="A43">
        <v>452</v>
      </c>
      <c r="B43">
        <v>2020</v>
      </c>
      <c r="C43" t="s">
        <v>197</v>
      </c>
      <c r="D43" t="s">
        <v>109</v>
      </c>
      <c r="E43" t="s">
        <v>198</v>
      </c>
      <c r="F43" s="54" t="s">
        <v>228</v>
      </c>
      <c r="G43" s="57"/>
      <c r="H43" s="57"/>
      <c r="I43" s="57"/>
      <c r="J43" s="57"/>
      <c r="K43" s="57"/>
      <c r="L43" s="57"/>
    </row>
    <row r="44" spans="1:12" x14ac:dyDescent="0.25">
      <c r="A44">
        <v>453</v>
      </c>
      <c r="B44">
        <v>2020</v>
      </c>
      <c r="C44" t="s">
        <v>199</v>
      </c>
      <c r="D44" t="s">
        <v>109</v>
      </c>
      <c r="E44" t="s">
        <v>200</v>
      </c>
      <c r="F44" s="54" t="s">
        <v>241</v>
      </c>
      <c r="G44" s="57"/>
      <c r="H44" s="57"/>
      <c r="I44" s="57"/>
      <c r="J44" s="57"/>
      <c r="K44" s="57"/>
      <c r="L44" s="57"/>
    </row>
    <row r="45" spans="1:12" x14ac:dyDescent="0.25">
      <c r="A45">
        <v>454</v>
      </c>
      <c r="B45">
        <v>2020</v>
      </c>
      <c r="C45" t="s">
        <v>201</v>
      </c>
      <c r="D45" t="s">
        <v>109</v>
      </c>
      <c r="E45" t="s">
        <v>202</v>
      </c>
      <c r="F45" s="54" t="s">
        <v>244</v>
      </c>
      <c r="G45" s="57"/>
      <c r="H45" s="57"/>
      <c r="I45" s="57"/>
      <c r="J45" s="57"/>
      <c r="K45" s="57"/>
      <c r="L45" s="57"/>
    </row>
    <row r="46" spans="1:12" x14ac:dyDescent="0.25">
      <c r="A46">
        <v>455</v>
      </c>
      <c r="B46">
        <v>2020</v>
      </c>
      <c r="C46" t="s">
        <v>203</v>
      </c>
      <c r="D46" t="s">
        <v>109</v>
      </c>
      <c r="E46" t="s">
        <v>204</v>
      </c>
      <c r="F46" s="54" t="s">
        <v>229</v>
      </c>
      <c r="G46" s="57"/>
      <c r="H46" s="57"/>
      <c r="I46" s="57"/>
      <c r="J46" s="57"/>
      <c r="K46" s="57"/>
      <c r="L46" s="57"/>
    </row>
    <row r="47" spans="1:12" x14ac:dyDescent="0.25">
      <c r="A47">
        <v>456</v>
      </c>
      <c r="B47">
        <v>2020</v>
      </c>
      <c r="C47" t="s">
        <v>205</v>
      </c>
      <c r="D47" t="s">
        <v>109</v>
      </c>
      <c r="E47" t="s">
        <v>206</v>
      </c>
      <c r="F47" s="54" t="s">
        <v>240</v>
      </c>
      <c r="G47" s="57"/>
      <c r="H47" s="57"/>
      <c r="I47" s="57"/>
      <c r="J47" s="57"/>
      <c r="K47" s="57"/>
      <c r="L47" s="57"/>
    </row>
    <row r="48" spans="1:12" x14ac:dyDescent="0.25">
      <c r="A48">
        <v>457</v>
      </c>
      <c r="B48">
        <v>2020</v>
      </c>
      <c r="C48" t="s">
        <v>207</v>
      </c>
      <c r="D48" t="s">
        <v>109</v>
      </c>
      <c r="E48" t="s">
        <v>208</v>
      </c>
      <c r="F48" s="54" t="s">
        <v>224</v>
      </c>
      <c r="G48" s="57"/>
      <c r="H48" s="57"/>
      <c r="I48" s="57"/>
      <c r="J48" s="57"/>
      <c r="K48" s="57"/>
      <c r="L48" s="57"/>
    </row>
    <row r="49" spans="1:12" x14ac:dyDescent="0.25">
      <c r="A49">
        <v>458</v>
      </c>
      <c r="B49">
        <v>2020</v>
      </c>
      <c r="C49" t="s">
        <v>209</v>
      </c>
      <c r="D49" t="s">
        <v>109</v>
      </c>
      <c r="E49" t="s">
        <v>210</v>
      </c>
      <c r="F49" s="54" t="s">
        <v>234</v>
      </c>
      <c r="G49" s="57"/>
      <c r="H49" s="57"/>
      <c r="I49" s="57"/>
      <c r="J49" s="57"/>
      <c r="K49" s="57"/>
      <c r="L49" s="57"/>
    </row>
    <row r="50" spans="1:12" x14ac:dyDescent="0.25">
      <c r="A50">
        <v>459</v>
      </c>
      <c r="B50">
        <v>2020</v>
      </c>
      <c r="C50" t="s">
        <v>211</v>
      </c>
      <c r="D50" t="s">
        <v>109</v>
      </c>
      <c r="E50" t="s">
        <v>212</v>
      </c>
      <c r="F50" s="54" t="s">
        <v>245</v>
      </c>
      <c r="G50" s="57"/>
      <c r="H50" s="57"/>
      <c r="I50" s="57"/>
      <c r="J50" s="57"/>
      <c r="K50" s="57"/>
      <c r="L50" s="57"/>
    </row>
    <row r="51" spans="1:12" x14ac:dyDescent="0.25">
      <c r="A51">
        <v>460</v>
      </c>
      <c r="B51">
        <v>2020</v>
      </c>
      <c r="C51" t="s">
        <v>213</v>
      </c>
      <c r="D51" t="s">
        <v>109</v>
      </c>
      <c r="E51" t="s">
        <v>214</v>
      </c>
      <c r="F51" s="54" t="s">
        <v>246</v>
      </c>
      <c r="G51" s="57"/>
      <c r="H51" s="57"/>
      <c r="I51" s="57"/>
      <c r="J51" s="57"/>
      <c r="K51" s="57"/>
      <c r="L51" s="57"/>
    </row>
    <row r="52" spans="1:12" x14ac:dyDescent="0.25">
      <c r="A52">
        <v>461</v>
      </c>
      <c r="B52">
        <v>2020</v>
      </c>
      <c r="C52" t="s">
        <v>215</v>
      </c>
      <c r="D52" t="s">
        <v>109</v>
      </c>
      <c r="E52" t="s">
        <v>216</v>
      </c>
      <c r="F52" s="54" t="s">
        <v>227</v>
      </c>
      <c r="G52" s="57"/>
      <c r="H52" s="57"/>
      <c r="I52" s="57"/>
      <c r="J52" s="57"/>
      <c r="K52" s="57"/>
      <c r="L52" s="57"/>
    </row>
    <row r="53" spans="1:12" x14ac:dyDescent="0.25">
      <c r="A53">
        <v>462</v>
      </c>
      <c r="B53">
        <v>2020</v>
      </c>
      <c r="C53" t="s">
        <v>217</v>
      </c>
      <c r="D53" t="s">
        <v>109</v>
      </c>
      <c r="E53" t="s">
        <v>218</v>
      </c>
      <c r="F53" s="54" t="s">
        <v>239</v>
      </c>
      <c r="G53" s="57"/>
      <c r="H53" s="57"/>
      <c r="I53" s="57"/>
      <c r="J53" s="57"/>
      <c r="K53" s="57"/>
      <c r="L53" s="57"/>
    </row>
    <row r="54" spans="1:12" x14ac:dyDescent="0.25">
      <c r="A54">
        <v>0</v>
      </c>
      <c r="B54">
        <v>2020</v>
      </c>
      <c r="C54" t="s">
        <v>115</v>
      </c>
      <c r="D54" t="s">
        <v>110</v>
      </c>
      <c r="E54" t="s">
        <v>116</v>
      </c>
      <c r="F54" s="54" t="s">
        <v>247</v>
      </c>
      <c r="G54" s="57"/>
      <c r="H54" s="57"/>
      <c r="I54" s="57"/>
      <c r="J54" s="57"/>
      <c r="K54" s="57"/>
      <c r="L54" s="57"/>
    </row>
    <row r="55" spans="1:12" x14ac:dyDescent="0.25">
      <c r="A55">
        <v>1</v>
      </c>
      <c r="B55">
        <v>2020</v>
      </c>
      <c r="C55" t="s">
        <v>117</v>
      </c>
      <c r="D55" t="s">
        <v>110</v>
      </c>
      <c r="E55" t="s">
        <v>118</v>
      </c>
      <c r="F55" s="54" t="s">
        <v>248</v>
      </c>
      <c r="G55" s="57"/>
      <c r="H55" s="57"/>
      <c r="I55" s="57"/>
      <c r="J55" s="57"/>
      <c r="K55" s="57"/>
      <c r="L55" s="57"/>
    </row>
    <row r="56" spans="1:12" x14ac:dyDescent="0.25">
      <c r="A56">
        <v>101</v>
      </c>
      <c r="B56">
        <v>2020</v>
      </c>
      <c r="C56" t="s">
        <v>119</v>
      </c>
      <c r="D56" t="s">
        <v>110</v>
      </c>
      <c r="E56" t="s">
        <v>120</v>
      </c>
      <c r="F56" s="54" t="s">
        <v>249</v>
      </c>
      <c r="G56" s="57"/>
      <c r="H56" s="57"/>
      <c r="I56" s="57"/>
      <c r="J56" s="57"/>
      <c r="K56" s="57"/>
      <c r="L56" s="57"/>
    </row>
    <row r="57" spans="1:12" x14ac:dyDescent="0.25">
      <c r="A57">
        <v>102</v>
      </c>
      <c r="B57">
        <v>2020</v>
      </c>
      <c r="C57" t="s">
        <v>121</v>
      </c>
      <c r="D57" t="s">
        <v>110</v>
      </c>
      <c r="E57" t="s">
        <v>122</v>
      </c>
      <c r="F57" s="54" t="s">
        <v>250</v>
      </c>
      <c r="G57" s="57"/>
      <c r="H57" s="57"/>
      <c r="I57" s="57"/>
      <c r="J57" s="57"/>
      <c r="K57" s="57"/>
      <c r="L57" s="57"/>
    </row>
    <row r="58" spans="1:12" x14ac:dyDescent="0.25">
      <c r="A58">
        <v>103</v>
      </c>
      <c r="B58">
        <v>2020</v>
      </c>
      <c r="C58" t="s">
        <v>123</v>
      </c>
      <c r="D58" t="s">
        <v>110</v>
      </c>
      <c r="E58" t="s">
        <v>124</v>
      </c>
      <c r="F58" s="54" t="s">
        <v>251</v>
      </c>
      <c r="G58" s="57"/>
      <c r="H58" s="57"/>
      <c r="I58" s="57"/>
      <c r="J58" s="57"/>
      <c r="K58" s="57"/>
      <c r="L58" s="57"/>
    </row>
    <row r="59" spans="1:12" x14ac:dyDescent="0.25">
      <c r="A59">
        <v>151</v>
      </c>
      <c r="B59">
        <v>2020</v>
      </c>
      <c r="C59" t="s">
        <v>125</v>
      </c>
      <c r="D59" t="s">
        <v>110</v>
      </c>
      <c r="E59" t="s">
        <v>126</v>
      </c>
      <c r="F59" s="54" t="s">
        <v>252</v>
      </c>
      <c r="G59" s="57"/>
      <c r="H59" s="57"/>
      <c r="I59" s="57"/>
      <c r="J59" s="57"/>
      <c r="K59" s="57"/>
      <c r="L59" s="57"/>
    </row>
    <row r="60" spans="1:12" x14ac:dyDescent="0.25">
      <c r="A60">
        <v>153</v>
      </c>
      <c r="B60">
        <v>2020</v>
      </c>
      <c r="C60" t="s">
        <v>127</v>
      </c>
      <c r="D60" t="s">
        <v>110</v>
      </c>
      <c r="E60" t="s">
        <v>128</v>
      </c>
      <c r="F60" s="54" t="s">
        <v>253</v>
      </c>
      <c r="G60" s="57"/>
      <c r="H60" s="57"/>
      <c r="I60" s="57"/>
      <c r="J60" s="57"/>
      <c r="K60" s="57"/>
      <c r="L60" s="57"/>
    </row>
    <row r="61" spans="1:12" x14ac:dyDescent="0.25">
      <c r="A61">
        <v>154</v>
      </c>
      <c r="B61">
        <v>2020</v>
      </c>
      <c r="C61" t="s">
        <v>129</v>
      </c>
      <c r="D61" t="s">
        <v>110</v>
      </c>
      <c r="E61" t="s">
        <v>130</v>
      </c>
      <c r="F61" s="54" t="s">
        <v>241</v>
      </c>
      <c r="G61" s="57"/>
      <c r="H61" s="57"/>
      <c r="I61" s="57"/>
      <c r="J61" s="57"/>
      <c r="K61" s="57"/>
      <c r="L61" s="57"/>
    </row>
    <row r="62" spans="1:12" x14ac:dyDescent="0.25">
      <c r="A62">
        <v>155</v>
      </c>
      <c r="B62">
        <v>2020</v>
      </c>
      <c r="C62" t="s">
        <v>131</v>
      </c>
      <c r="D62" t="s">
        <v>110</v>
      </c>
      <c r="E62" t="s">
        <v>132</v>
      </c>
      <c r="F62" s="54" t="s">
        <v>254</v>
      </c>
      <c r="G62" s="57"/>
      <c r="H62" s="57"/>
      <c r="I62" s="57"/>
      <c r="J62" s="57"/>
      <c r="K62" s="57"/>
      <c r="L62" s="57"/>
    </row>
    <row r="63" spans="1:12" x14ac:dyDescent="0.25">
      <c r="A63">
        <v>157</v>
      </c>
      <c r="B63">
        <v>2020</v>
      </c>
      <c r="C63" t="s">
        <v>133</v>
      </c>
      <c r="D63" t="s">
        <v>110</v>
      </c>
      <c r="E63" t="s">
        <v>134</v>
      </c>
      <c r="F63" s="54" t="s">
        <v>255</v>
      </c>
      <c r="G63" s="57"/>
      <c r="H63" s="57"/>
      <c r="I63" s="57"/>
      <c r="J63" s="57"/>
      <c r="K63" s="57"/>
      <c r="L63" s="57"/>
    </row>
    <row r="64" spans="1:12" x14ac:dyDescent="0.25">
      <c r="A64">
        <v>158</v>
      </c>
      <c r="B64">
        <v>2020</v>
      </c>
      <c r="C64" t="s">
        <v>135</v>
      </c>
      <c r="D64" t="s">
        <v>110</v>
      </c>
      <c r="E64" t="s">
        <v>136</v>
      </c>
      <c r="F64" s="54" t="s">
        <v>246</v>
      </c>
      <c r="G64" s="57"/>
      <c r="H64" s="57"/>
      <c r="I64" s="57"/>
      <c r="J64" s="57"/>
      <c r="K64" s="57"/>
      <c r="L64" s="57"/>
    </row>
    <row r="65" spans="1:12" x14ac:dyDescent="0.25">
      <c r="A65">
        <v>159</v>
      </c>
      <c r="B65">
        <v>2020</v>
      </c>
      <c r="C65" t="s">
        <v>137</v>
      </c>
      <c r="D65" t="s">
        <v>110</v>
      </c>
      <c r="E65" t="s">
        <v>138</v>
      </c>
      <c r="F65" s="54" t="s">
        <v>256</v>
      </c>
      <c r="G65" s="57"/>
      <c r="H65" s="57"/>
      <c r="I65" s="57"/>
      <c r="J65" s="57"/>
      <c r="K65" s="57"/>
      <c r="L65" s="57"/>
    </row>
    <row r="66" spans="1:12" x14ac:dyDescent="0.25">
      <c r="A66">
        <v>2</v>
      </c>
      <c r="B66">
        <v>2020</v>
      </c>
      <c r="C66" t="s">
        <v>139</v>
      </c>
      <c r="D66" t="s">
        <v>110</v>
      </c>
      <c r="E66" t="s">
        <v>140</v>
      </c>
      <c r="F66" s="54" t="s">
        <v>257</v>
      </c>
      <c r="G66" s="57"/>
      <c r="H66" s="57"/>
      <c r="I66" s="57"/>
      <c r="J66" s="57"/>
      <c r="K66" s="57"/>
      <c r="L66" s="57"/>
    </row>
    <row r="67" spans="1:12" x14ac:dyDescent="0.25">
      <c r="A67">
        <v>241</v>
      </c>
      <c r="B67">
        <v>2020</v>
      </c>
      <c r="C67" t="s">
        <v>141</v>
      </c>
      <c r="D67" t="s">
        <v>110</v>
      </c>
      <c r="E67" t="s">
        <v>142</v>
      </c>
      <c r="F67" s="54" t="s">
        <v>258</v>
      </c>
      <c r="G67" s="57"/>
      <c r="H67" s="57"/>
      <c r="I67" s="57"/>
      <c r="J67" s="57"/>
      <c r="K67" s="57"/>
      <c r="L67" s="57"/>
    </row>
    <row r="68" spans="1:12" x14ac:dyDescent="0.25">
      <c r="A68">
        <v>241001</v>
      </c>
      <c r="B68">
        <v>2020</v>
      </c>
      <c r="C68" t="s">
        <v>143</v>
      </c>
      <c r="D68" t="s">
        <v>110</v>
      </c>
      <c r="E68" t="s">
        <v>144</v>
      </c>
      <c r="F68" s="54" t="s">
        <v>259</v>
      </c>
      <c r="G68" s="57"/>
      <c r="H68" s="57"/>
      <c r="I68" s="57"/>
      <c r="J68" s="57"/>
      <c r="K68" s="57"/>
      <c r="L68" s="57"/>
    </row>
    <row r="69" spans="1:12" x14ac:dyDescent="0.25">
      <c r="A69">
        <v>241999</v>
      </c>
      <c r="B69">
        <v>2020</v>
      </c>
      <c r="C69" t="s">
        <v>145</v>
      </c>
      <c r="D69" t="s">
        <v>110</v>
      </c>
      <c r="E69" t="s">
        <v>146</v>
      </c>
      <c r="F69" s="54" t="s">
        <v>259</v>
      </c>
      <c r="G69" s="57"/>
      <c r="H69" s="57"/>
      <c r="I69" s="57"/>
      <c r="J69" s="57"/>
      <c r="K69" s="57"/>
      <c r="L69" s="57"/>
    </row>
    <row r="70" spans="1:12" x14ac:dyDescent="0.25">
      <c r="A70">
        <v>251</v>
      </c>
      <c r="B70">
        <v>2020</v>
      </c>
      <c r="C70" t="s">
        <v>147</v>
      </c>
      <c r="D70" t="s">
        <v>110</v>
      </c>
      <c r="E70" t="s">
        <v>148</v>
      </c>
      <c r="F70" s="54" t="s">
        <v>251</v>
      </c>
      <c r="G70" s="57"/>
      <c r="H70" s="57"/>
      <c r="I70" s="57"/>
      <c r="J70" s="57"/>
      <c r="K70" s="57"/>
      <c r="L70" s="57"/>
    </row>
    <row r="71" spans="1:12" x14ac:dyDescent="0.25">
      <c r="A71">
        <v>252</v>
      </c>
      <c r="B71">
        <v>2020</v>
      </c>
      <c r="C71" t="s">
        <v>149</v>
      </c>
      <c r="D71" t="s">
        <v>110</v>
      </c>
      <c r="E71" t="s">
        <v>150</v>
      </c>
      <c r="F71" s="54" t="s">
        <v>260</v>
      </c>
      <c r="G71" s="57"/>
      <c r="H71" s="57"/>
      <c r="I71" s="57"/>
      <c r="J71" s="57"/>
      <c r="K71" s="57"/>
      <c r="L71" s="57"/>
    </row>
    <row r="72" spans="1:12" x14ac:dyDescent="0.25">
      <c r="A72">
        <v>254</v>
      </c>
      <c r="B72">
        <v>2020</v>
      </c>
      <c r="C72" t="s">
        <v>151</v>
      </c>
      <c r="D72" t="s">
        <v>110</v>
      </c>
      <c r="E72" t="s">
        <v>152</v>
      </c>
      <c r="F72" s="54" t="s">
        <v>261</v>
      </c>
      <c r="G72" s="57"/>
      <c r="H72" s="57"/>
      <c r="I72" s="57"/>
      <c r="J72" s="57"/>
      <c r="K72" s="57"/>
      <c r="L72" s="57"/>
    </row>
    <row r="73" spans="1:12" x14ac:dyDescent="0.25">
      <c r="A73">
        <v>255</v>
      </c>
      <c r="B73">
        <v>2020</v>
      </c>
      <c r="C73" t="s">
        <v>153</v>
      </c>
      <c r="D73" t="s">
        <v>110</v>
      </c>
      <c r="E73" t="s">
        <v>154</v>
      </c>
      <c r="F73" s="54" t="s">
        <v>240</v>
      </c>
      <c r="G73" s="57"/>
      <c r="H73" s="57"/>
      <c r="I73" s="57"/>
      <c r="J73" s="57"/>
      <c r="K73" s="57"/>
      <c r="L73" s="57"/>
    </row>
    <row r="74" spans="1:12" x14ac:dyDescent="0.25">
      <c r="A74">
        <v>256</v>
      </c>
      <c r="B74">
        <v>2020</v>
      </c>
      <c r="C74" t="s">
        <v>155</v>
      </c>
      <c r="D74" t="s">
        <v>110</v>
      </c>
      <c r="E74" t="s">
        <v>156</v>
      </c>
      <c r="F74" s="54" t="s">
        <v>262</v>
      </c>
      <c r="G74" s="57"/>
      <c r="H74" s="57"/>
      <c r="I74" s="57"/>
      <c r="J74" s="57"/>
      <c r="K74" s="57"/>
      <c r="L74" s="57"/>
    </row>
    <row r="75" spans="1:12" x14ac:dyDescent="0.25">
      <c r="A75">
        <v>257</v>
      </c>
      <c r="B75">
        <v>2020</v>
      </c>
      <c r="C75" t="s">
        <v>157</v>
      </c>
      <c r="D75" t="s">
        <v>110</v>
      </c>
      <c r="E75" t="s">
        <v>158</v>
      </c>
      <c r="F75" s="54" t="s">
        <v>263</v>
      </c>
      <c r="G75" s="57"/>
      <c r="H75" s="57"/>
      <c r="I75" s="57"/>
      <c r="J75" s="57"/>
      <c r="K75" s="57"/>
      <c r="L75" s="57"/>
    </row>
    <row r="76" spans="1:12" x14ac:dyDescent="0.25">
      <c r="A76">
        <v>3</v>
      </c>
      <c r="B76">
        <v>2020</v>
      </c>
      <c r="C76" t="s">
        <v>159</v>
      </c>
      <c r="D76" t="s">
        <v>110</v>
      </c>
      <c r="E76" t="s">
        <v>160</v>
      </c>
      <c r="F76" s="54" t="s">
        <v>264</v>
      </c>
      <c r="G76" s="57"/>
      <c r="H76" s="57"/>
      <c r="I76" s="57"/>
      <c r="J76" s="57"/>
      <c r="K76" s="57"/>
      <c r="L76" s="57"/>
    </row>
    <row r="77" spans="1:12" x14ac:dyDescent="0.25">
      <c r="A77">
        <v>351</v>
      </c>
      <c r="B77">
        <v>2020</v>
      </c>
      <c r="C77" t="s">
        <v>161</v>
      </c>
      <c r="D77" t="s">
        <v>110</v>
      </c>
      <c r="E77" t="s">
        <v>162</v>
      </c>
      <c r="F77" s="54" t="s">
        <v>265</v>
      </c>
      <c r="G77" s="57"/>
      <c r="H77" s="57"/>
      <c r="I77" s="57"/>
      <c r="J77" s="57"/>
      <c r="K77" s="57"/>
      <c r="L77" s="57"/>
    </row>
    <row r="78" spans="1:12" x14ac:dyDescent="0.25">
      <c r="A78">
        <v>352</v>
      </c>
      <c r="B78">
        <v>2020</v>
      </c>
      <c r="C78" t="s">
        <v>163</v>
      </c>
      <c r="D78" t="s">
        <v>110</v>
      </c>
      <c r="E78" t="s">
        <v>164</v>
      </c>
      <c r="F78" s="54" t="s">
        <v>266</v>
      </c>
      <c r="G78" s="57"/>
      <c r="H78" s="57"/>
      <c r="I78" s="57"/>
      <c r="J78" s="57"/>
      <c r="K78" s="57"/>
      <c r="L78" s="57"/>
    </row>
    <row r="79" spans="1:12" x14ac:dyDescent="0.25">
      <c r="A79">
        <v>353</v>
      </c>
      <c r="B79">
        <v>2020</v>
      </c>
      <c r="C79" t="s">
        <v>165</v>
      </c>
      <c r="D79" t="s">
        <v>110</v>
      </c>
      <c r="E79" t="s">
        <v>166</v>
      </c>
      <c r="F79" s="54" t="s">
        <v>267</v>
      </c>
      <c r="G79" s="57"/>
      <c r="H79" s="57"/>
      <c r="I79" s="57"/>
      <c r="J79" s="57"/>
      <c r="K79" s="57"/>
      <c r="L79" s="57"/>
    </row>
    <row r="80" spans="1:12" x14ac:dyDescent="0.25">
      <c r="A80">
        <v>354</v>
      </c>
      <c r="B80">
        <v>2020</v>
      </c>
      <c r="C80" t="s">
        <v>167</v>
      </c>
      <c r="D80" t="s">
        <v>110</v>
      </c>
      <c r="E80" t="s">
        <v>168</v>
      </c>
      <c r="F80" s="54" t="s">
        <v>228</v>
      </c>
      <c r="G80" s="57"/>
      <c r="H80" s="57"/>
      <c r="I80" s="57"/>
      <c r="J80" s="57"/>
      <c r="K80" s="57"/>
      <c r="L80" s="57"/>
    </row>
    <row r="81" spans="1:12" x14ac:dyDescent="0.25">
      <c r="A81">
        <v>355</v>
      </c>
      <c r="B81">
        <v>2020</v>
      </c>
      <c r="C81" t="s">
        <v>169</v>
      </c>
      <c r="D81" t="s">
        <v>110</v>
      </c>
      <c r="E81" t="s">
        <v>170</v>
      </c>
      <c r="F81" s="54" t="s">
        <v>268</v>
      </c>
      <c r="G81" s="57"/>
      <c r="H81" s="57"/>
      <c r="I81" s="57"/>
      <c r="J81" s="57"/>
      <c r="K81" s="57"/>
      <c r="L81" s="57"/>
    </row>
    <row r="82" spans="1:12" x14ac:dyDescent="0.25">
      <c r="A82">
        <v>356</v>
      </c>
      <c r="B82">
        <v>2020</v>
      </c>
      <c r="C82" t="s">
        <v>171</v>
      </c>
      <c r="D82" t="s">
        <v>110</v>
      </c>
      <c r="E82" t="s">
        <v>172</v>
      </c>
      <c r="F82" s="54" t="s">
        <v>242</v>
      </c>
      <c r="G82" s="57"/>
      <c r="H82" s="57"/>
      <c r="I82" s="57"/>
      <c r="J82" s="57"/>
      <c r="K82" s="57"/>
      <c r="L82" s="57"/>
    </row>
    <row r="83" spans="1:12" x14ac:dyDescent="0.25">
      <c r="A83">
        <v>357</v>
      </c>
      <c r="B83">
        <v>2020</v>
      </c>
      <c r="C83" t="s">
        <v>173</v>
      </c>
      <c r="D83" t="s">
        <v>110</v>
      </c>
      <c r="E83" t="s">
        <v>174</v>
      </c>
      <c r="F83" s="54" t="s">
        <v>268</v>
      </c>
      <c r="G83" s="57"/>
      <c r="H83" s="57"/>
      <c r="I83" s="57"/>
      <c r="J83" s="57"/>
      <c r="K83" s="57"/>
      <c r="L83" s="57"/>
    </row>
    <row r="84" spans="1:12" x14ac:dyDescent="0.25">
      <c r="A84">
        <v>358</v>
      </c>
      <c r="B84">
        <v>2020</v>
      </c>
      <c r="C84" t="s">
        <v>175</v>
      </c>
      <c r="D84" t="s">
        <v>110</v>
      </c>
      <c r="E84" t="s">
        <v>176</v>
      </c>
      <c r="F84" s="54" t="s">
        <v>265</v>
      </c>
      <c r="G84" s="57"/>
      <c r="H84" s="57"/>
      <c r="I84" s="57"/>
      <c r="J84" s="57"/>
      <c r="K84" s="57"/>
      <c r="L84" s="57"/>
    </row>
    <row r="85" spans="1:12" x14ac:dyDescent="0.25">
      <c r="A85">
        <v>359</v>
      </c>
      <c r="B85">
        <v>2020</v>
      </c>
      <c r="C85" t="s">
        <v>177</v>
      </c>
      <c r="D85" t="s">
        <v>110</v>
      </c>
      <c r="E85" t="s">
        <v>178</v>
      </c>
      <c r="F85" s="54" t="s">
        <v>269</v>
      </c>
      <c r="G85" s="57"/>
      <c r="H85" s="57"/>
      <c r="I85" s="57"/>
      <c r="J85" s="57"/>
      <c r="K85" s="57"/>
      <c r="L85" s="57"/>
    </row>
    <row r="86" spans="1:12" x14ac:dyDescent="0.25">
      <c r="A86">
        <v>360</v>
      </c>
      <c r="B86">
        <v>2020</v>
      </c>
      <c r="C86" t="s">
        <v>179</v>
      </c>
      <c r="D86" t="s">
        <v>110</v>
      </c>
      <c r="E86" t="s">
        <v>180</v>
      </c>
      <c r="F86" s="54" t="s">
        <v>236</v>
      </c>
      <c r="G86" s="57"/>
      <c r="H86" s="57"/>
      <c r="I86" s="57"/>
      <c r="J86" s="57"/>
      <c r="K86" s="57"/>
      <c r="L86" s="57"/>
    </row>
    <row r="87" spans="1:12" x14ac:dyDescent="0.25">
      <c r="A87">
        <v>361</v>
      </c>
      <c r="B87">
        <v>2020</v>
      </c>
      <c r="C87" t="s">
        <v>181</v>
      </c>
      <c r="D87" t="s">
        <v>110</v>
      </c>
      <c r="E87" t="s">
        <v>182</v>
      </c>
      <c r="F87" s="54" t="s">
        <v>262</v>
      </c>
      <c r="G87" s="57"/>
      <c r="H87" s="57"/>
      <c r="I87" s="57"/>
      <c r="J87" s="57"/>
      <c r="K87" s="57"/>
      <c r="L87" s="57"/>
    </row>
    <row r="88" spans="1:12" x14ac:dyDescent="0.25">
      <c r="A88">
        <v>4</v>
      </c>
      <c r="B88">
        <v>2020</v>
      </c>
      <c r="C88" t="s">
        <v>183</v>
      </c>
      <c r="D88" t="s">
        <v>110</v>
      </c>
      <c r="E88" t="s">
        <v>184</v>
      </c>
      <c r="F88" s="54" t="s">
        <v>270</v>
      </c>
      <c r="G88" s="57"/>
      <c r="H88" s="57"/>
      <c r="I88" s="57"/>
      <c r="J88" s="57"/>
      <c r="K88" s="57"/>
      <c r="L88" s="57"/>
    </row>
    <row r="89" spans="1:12" x14ac:dyDescent="0.25">
      <c r="A89">
        <v>401</v>
      </c>
      <c r="B89">
        <v>2020</v>
      </c>
      <c r="C89" t="s">
        <v>185</v>
      </c>
      <c r="D89" t="s">
        <v>110</v>
      </c>
      <c r="E89" t="s">
        <v>186</v>
      </c>
      <c r="F89" s="54" t="s">
        <v>252</v>
      </c>
      <c r="G89" s="57"/>
      <c r="H89" s="57"/>
      <c r="I89" s="57"/>
      <c r="J89" s="57"/>
      <c r="K89" s="57"/>
      <c r="L89" s="57"/>
    </row>
    <row r="90" spans="1:12" x14ac:dyDescent="0.25">
      <c r="A90">
        <v>402</v>
      </c>
      <c r="B90">
        <v>2020</v>
      </c>
      <c r="C90" t="s">
        <v>187</v>
      </c>
      <c r="D90" t="s">
        <v>110</v>
      </c>
      <c r="E90" t="s">
        <v>188</v>
      </c>
      <c r="F90" s="54" t="s">
        <v>271</v>
      </c>
      <c r="G90" s="57"/>
      <c r="H90" s="57"/>
      <c r="I90" s="57"/>
      <c r="J90" s="57"/>
      <c r="K90" s="57"/>
      <c r="L90" s="57"/>
    </row>
    <row r="91" spans="1:12" x14ac:dyDescent="0.25">
      <c r="A91">
        <v>403</v>
      </c>
      <c r="B91">
        <v>2020</v>
      </c>
      <c r="C91" t="s">
        <v>189</v>
      </c>
      <c r="D91" t="s">
        <v>110</v>
      </c>
      <c r="E91" t="s">
        <v>190</v>
      </c>
      <c r="F91" s="54" t="s">
        <v>272</v>
      </c>
      <c r="G91" s="57"/>
      <c r="H91" s="57"/>
      <c r="I91" s="57"/>
      <c r="J91" s="57"/>
      <c r="K91" s="57"/>
      <c r="L91" s="57"/>
    </row>
    <row r="92" spans="1:12" x14ac:dyDescent="0.25">
      <c r="A92">
        <v>404</v>
      </c>
      <c r="B92">
        <v>2020</v>
      </c>
      <c r="C92" t="s">
        <v>191</v>
      </c>
      <c r="D92" t="s">
        <v>110</v>
      </c>
      <c r="E92" t="s">
        <v>192</v>
      </c>
      <c r="F92" s="54" t="s">
        <v>261</v>
      </c>
      <c r="G92" s="57"/>
      <c r="H92" s="57"/>
      <c r="I92" s="57"/>
      <c r="J92" s="57"/>
      <c r="K92" s="57"/>
      <c r="L92" s="57"/>
    </row>
    <row r="93" spans="1:12" x14ac:dyDescent="0.25">
      <c r="A93">
        <v>405</v>
      </c>
      <c r="B93">
        <v>2020</v>
      </c>
      <c r="C93" t="s">
        <v>193</v>
      </c>
      <c r="D93" t="s">
        <v>110</v>
      </c>
      <c r="E93" t="s">
        <v>194</v>
      </c>
      <c r="F93" s="54" t="s">
        <v>273</v>
      </c>
      <c r="G93" s="57"/>
      <c r="H93" s="57"/>
      <c r="I93" s="57"/>
      <c r="J93" s="57"/>
      <c r="K93" s="57"/>
      <c r="L93" s="57"/>
    </row>
    <row r="94" spans="1:12" x14ac:dyDescent="0.25">
      <c r="A94">
        <v>451</v>
      </c>
      <c r="B94">
        <v>2020</v>
      </c>
      <c r="C94" t="s">
        <v>195</v>
      </c>
      <c r="D94" t="s">
        <v>110</v>
      </c>
      <c r="E94" t="s">
        <v>196</v>
      </c>
      <c r="F94" s="54" t="s">
        <v>254</v>
      </c>
      <c r="G94" s="57"/>
      <c r="H94" s="57"/>
      <c r="I94" s="57"/>
      <c r="J94" s="57"/>
      <c r="K94" s="57"/>
      <c r="L94" s="57"/>
    </row>
    <row r="95" spans="1:12" x14ac:dyDescent="0.25">
      <c r="A95">
        <v>452</v>
      </c>
      <c r="B95">
        <v>2020</v>
      </c>
      <c r="C95" t="s">
        <v>197</v>
      </c>
      <c r="D95" t="s">
        <v>110</v>
      </c>
      <c r="E95" t="s">
        <v>198</v>
      </c>
      <c r="F95" s="54" t="s">
        <v>274</v>
      </c>
      <c r="G95" s="57"/>
      <c r="H95" s="57"/>
      <c r="I95" s="57"/>
      <c r="J95" s="57"/>
      <c r="K95" s="57"/>
      <c r="L95" s="57"/>
    </row>
    <row r="96" spans="1:12" x14ac:dyDescent="0.25">
      <c r="A96">
        <v>453</v>
      </c>
      <c r="B96">
        <v>2020</v>
      </c>
      <c r="C96" t="s">
        <v>199</v>
      </c>
      <c r="D96" t="s">
        <v>110</v>
      </c>
      <c r="E96" t="s">
        <v>200</v>
      </c>
      <c r="F96" s="54" t="s">
        <v>232</v>
      </c>
      <c r="G96" s="57"/>
      <c r="H96" s="57"/>
      <c r="I96" s="57"/>
      <c r="J96" s="57"/>
      <c r="K96" s="57"/>
      <c r="L96" s="57"/>
    </row>
    <row r="97" spans="1:12" x14ac:dyDescent="0.25">
      <c r="A97">
        <v>454</v>
      </c>
      <c r="B97">
        <v>2020</v>
      </c>
      <c r="C97" t="s">
        <v>201</v>
      </c>
      <c r="D97" t="s">
        <v>110</v>
      </c>
      <c r="E97" t="s">
        <v>202</v>
      </c>
      <c r="F97" s="54" t="s">
        <v>275</v>
      </c>
      <c r="G97" s="57"/>
      <c r="H97" s="57"/>
      <c r="I97" s="57"/>
      <c r="J97" s="57"/>
      <c r="K97" s="57"/>
      <c r="L97" s="57"/>
    </row>
    <row r="98" spans="1:12" x14ac:dyDescent="0.25">
      <c r="A98">
        <v>455</v>
      </c>
      <c r="B98">
        <v>2020</v>
      </c>
      <c r="C98" t="s">
        <v>203</v>
      </c>
      <c r="D98" t="s">
        <v>110</v>
      </c>
      <c r="E98" t="s">
        <v>204</v>
      </c>
      <c r="F98" s="54" t="s">
        <v>240</v>
      </c>
      <c r="G98" s="57"/>
      <c r="H98" s="57"/>
      <c r="I98" s="57"/>
      <c r="J98" s="57"/>
      <c r="K98" s="57"/>
      <c r="L98" s="57"/>
    </row>
    <row r="99" spans="1:12" x14ac:dyDescent="0.25">
      <c r="A99">
        <v>456</v>
      </c>
      <c r="B99">
        <v>2020</v>
      </c>
      <c r="C99" t="s">
        <v>205</v>
      </c>
      <c r="D99" t="s">
        <v>110</v>
      </c>
      <c r="E99" t="s">
        <v>206</v>
      </c>
      <c r="F99" s="54" t="s">
        <v>276</v>
      </c>
      <c r="G99" s="57"/>
      <c r="H99" s="57"/>
      <c r="I99" s="57"/>
      <c r="J99" s="57"/>
      <c r="K99" s="57"/>
      <c r="L99" s="57"/>
    </row>
    <row r="100" spans="1:12" x14ac:dyDescent="0.25">
      <c r="A100">
        <v>457</v>
      </c>
      <c r="B100">
        <v>2020</v>
      </c>
      <c r="C100" t="s">
        <v>207</v>
      </c>
      <c r="D100" t="s">
        <v>110</v>
      </c>
      <c r="E100" t="s">
        <v>208</v>
      </c>
      <c r="F100" s="54" t="s">
        <v>244</v>
      </c>
      <c r="G100" s="57"/>
      <c r="H100" s="57"/>
      <c r="I100" s="57"/>
      <c r="J100" s="57"/>
      <c r="K100" s="57"/>
      <c r="L100" s="57"/>
    </row>
    <row r="101" spans="1:12" x14ac:dyDescent="0.25">
      <c r="A101">
        <v>458</v>
      </c>
      <c r="B101">
        <v>2020</v>
      </c>
      <c r="C101" t="s">
        <v>209</v>
      </c>
      <c r="D101" t="s">
        <v>110</v>
      </c>
      <c r="E101" t="s">
        <v>210</v>
      </c>
      <c r="F101" s="54" t="s">
        <v>277</v>
      </c>
      <c r="G101" s="57"/>
      <c r="H101" s="57"/>
      <c r="I101" s="57"/>
      <c r="J101" s="57"/>
      <c r="K101" s="57"/>
      <c r="L101" s="57"/>
    </row>
    <row r="102" spans="1:12" x14ac:dyDescent="0.25">
      <c r="A102">
        <v>459</v>
      </c>
      <c r="B102">
        <v>2020</v>
      </c>
      <c r="C102" t="s">
        <v>211</v>
      </c>
      <c r="D102" t="s">
        <v>110</v>
      </c>
      <c r="E102" t="s">
        <v>212</v>
      </c>
      <c r="F102" s="54" t="s">
        <v>278</v>
      </c>
      <c r="G102" s="57"/>
      <c r="H102" s="57"/>
      <c r="I102" s="57"/>
      <c r="J102" s="57"/>
      <c r="K102" s="57"/>
      <c r="L102" s="57"/>
    </row>
    <row r="103" spans="1:12" x14ac:dyDescent="0.25">
      <c r="A103">
        <v>460</v>
      </c>
      <c r="B103">
        <v>2020</v>
      </c>
      <c r="C103" t="s">
        <v>213</v>
      </c>
      <c r="D103" t="s">
        <v>110</v>
      </c>
      <c r="E103" t="s">
        <v>214</v>
      </c>
      <c r="F103" s="54" t="s">
        <v>269</v>
      </c>
      <c r="G103" s="57"/>
      <c r="H103" s="57"/>
      <c r="I103" s="57"/>
      <c r="J103" s="57"/>
      <c r="K103" s="57"/>
      <c r="L103" s="57"/>
    </row>
    <row r="104" spans="1:12" x14ac:dyDescent="0.25">
      <c r="A104">
        <v>461</v>
      </c>
      <c r="B104">
        <v>2020</v>
      </c>
      <c r="C104" t="s">
        <v>215</v>
      </c>
      <c r="D104" t="s">
        <v>110</v>
      </c>
      <c r="E104" t="s">
        <v>216</v>
      </c>
      <c r="F104" s="54" t="s">
        <v>246</v>
      </c>
      <c r="G104" s="57"/>
      <c r="H104" s="57"/>
      <c r="I104" s="57"/>
      <c r="J104" s="57"/>
      <c r="K104" s="57"/>
      <c r="L104" s="57"/>
    </row>
    <row r="105" spans="1:12" x14ac:dyDescent="0.25">
      <c r="A105">
        <v>462</v>
      </c>
      <c r="B105">
        <v>2020</v>
      </c>
      <c r="C105" t="s">
        <v>217</v>
      </c>
      <c r="D105" t="s">
        <v>110</v>
      </c>
      <c r="E105" t="s">
        <v>218</v>
      </c>
      <c r="F105" s="54" t="s">
        <v>235</v>
      </c>
      <c r="G105" s="57"/>
      <c r="H105" s="57"/>
      <c r="I105" s="57"/>
      <c r="J105" s="57"/>
      <c r="K105" s="57"/>
      <c r="L105" s="57"/>
    </row>
    <row r="106" spans="1:12" x14ac:dyDescent="0.25">
      <c r="A106">
        <v>0</v>
      </c>
      <c r="B106">
        <v>2020</v>
      </c>
      <c r="C106" t="s">
        <v>115</v>
      </c>
      <c r="D106" t="s">
        <v>111</v>
      </c>
      <c r="E106" t="s">
        <v>116</v>
      </c>
      <c r="F106" s="54" t="s">
        <v>279</v>
      </c>
      <c r="G106" s="57"/>
      <c r="H106" s="57"/>
      <c r="I106" s="57"/>
      <c r="J106" s="57"/>
      <c r="K106" s="57"/>
      <c r="L106" s="57"/>
    </row>
    <row r="107" spans="1:12" x14ac:dyDescent="0.25">
      <c r="A107">
        <v>1</v>
      </c>
      <c r="B107">
        <v>2020</v>
      </c>
      <c r="C107" t="s">
        <v>117</v>
      </c>
      <c r="D107" t="s">
        <v>111</v>
      </c>
      <c r="E107" t="s">
        <v>118</v>
      </c>
      <c r="F107" s="54" t="s">
        <v>280</v>
      </c>
      <c r="G107" s="57"/>
      <c r="H107" s="57"/>
      <c r="I107" s="57"/>
      <c r="J107" s="57"/>
      <c r="K107" s="57"/>
      <c r="L107" s="57"/>
    </row>
    <row r="108" spans="1:12" x14ac:dyDescent="0.25">
      <c r="A108">
        <v>101</v>
      </c>
      <c r="B108">
        <v>2020</v>
      </c>
      <c r="C108" t="s">
        <v>119</v>
      </c>
      <c r="D108" t="s">
        <v>111</v>
      </c>
      <c r="E108" t="s">
        <v>120</v>
      </c>
      <c r="F108" s="54" t="s">
        <v>232</v>
      </c>
      <c r="G108" s="57"/>
      <c r="H108" s="57"/>
      <c r="I108" s="57"/>
      <c r="J108" s="57"/>
      <c r="K108" s="57"/>
      <c r="L108" s="57"/>
    </row>
    <row r="109" spans="1:12" x14ac:dyDescent="0.25">
      <c r="A109">
        <v>102</v>
      </c>
      <c r="B109">
        <v>2020</v>
      </c>
      <c r="C109" t="s">
        <v>121</v>
      </c>
      <c r="D109" t="s">
        <v>111</v>
      </c>
      <c r="E109" t="s">
        <v>122</v>
      </c>
      <c r="F109" s="54" t="s">
        <v>232</v>
      </c>
      <c r="G109" s="57"/>
      <c r="H109" s="57"/>
      <c r="I109" s="57"/>
      <c r="J109" s="57"/>
      <c r="K109" s="57"/>
      <c r="L109" s="57"/>
    </row>
    <row r="110" spans="1:12" x14ac:dyDescent="0.25">
      <c r="A110">
        <v>103</v>
      </c>
      <c r="B110">
        <v>2020</v>
      </c>
      <c r="C110" t="s">
        <v>123</v>
      </c>
      <c r="D110" t="s">
        <v>111</v>
      </c>
      <c r="E110" t="s">
        <v>124</v>
      </c>
      <c r="F110" s="54" t="s">
        <v>281</v>
      </c>
      <c r="G110" s="57"/>
      <c r="H110" s="57"/>
      <c r="I110" s="57"/>
      <c r="J110" s="57"/>
      <c r="K110" s="57"/>
      <c r="L110" s="57"/>
    </row>
    <row r="111" spans="1:12" x14ac:dyDescent="0.25">
      <c r="A111">
        <v>151</v>
      </c>
      <c r="B111">
        <v>2020</v>
      </c>
      <c r="C111" t="s">
        <v>125</v>
      </c>
      <c r="D111" t="s">
        <v>111</v>
      </c>
      <c r="E111" t="s">
        <v>126</v>
      </c>
      <c r="F111" s="54" t="s">
        <v>274</v>
      </c>
      <c r="G111" s="57"/>
      <c r="H111" s="57"/>
      <c r="I111" s="57"/>
      <c r="J111" s="57"/>
      <c r="K111" s="57"/>
      <c r="L111" s="57"/>
    </row>
    <row r="112" spans="1:12" x14ac:dyDescent="0.25">
      <c r="A112">
        <v>153</v>
      </c>
      <c r="B112">
        <v>2020</v>
      </c>
      <c r="C112" t="s">
        <v>127</v>
      </c>
      <c r="D112" t="s">
        <v>111</v>
      </c>
      <c r="E112" t="s">
        <v>128</v>
      </c>
      <c r="F112" s="54" t="s">
        <v>277</v>
      </c>
      <c r="G112" s="57"/>
      <c r="H112" s="57"/>
      <c r="I112" s="57"/>
      <c r="J112" s="57"/>
      <c r="K112" s="57"/>
      <c r="L112" s="57"/>
    </row>
    <row r="113" spans="1:12" x14ac:dyDescent="0.25">
      <c r="A113">
        <v>154</v>
      </c>
      <c r="B113">
        <v>2020</v>
      </c>
      <c r="C113" t="s">
        <v>129</v>
      </c>
      <c r="D113" t="s">
        <v>111</v>
      </c>
      <c r="E113" t="s">
        <v>130</v>
      </c>
      <c r="F113" s="54" t="s">
        <v>271</v>
      </c>
      <c r="G113" s="57"/>
      <c r="H113" s="57"/>
      <c r="I113" s="57"/>
      <c r="J113" s="57"/>
      <c r="K113" s="57"/>
      <c r="L113" s="57"/>
    </row>
    <row r="114" spans="1:12" x14ac:dyDescent="0.25">
      <c r="A114">
        <v>155</v>
      </c>
      <c r="B114">
        <v>2020</v>
      </c>
      <c r="C114" t="s">
        <v>131</v>
      </c>
      <c r="D114" t="s">
        <v>111</v>
      </c>
      <c r="E114" t="s">
        <v>132</v>
      </c>
      <c r="F114" s="54" t="s">
        <v>230</v>
      </c>
      <c r="G114" s="57"/>
      <c r="H114" s="57"/>
      <c r="I114" s="57"/>
      <c r="J114" s="57"/>
      <c r="K114" s="57"/>
      <c r="L114" s="57"/>
    </row>
    <row r="115" spans="1:12" x14ac:dyDescent="0.25">
      <c r="A115">
        <v>157</v>
      </c>
      <c r="B115">
        <v>2020</v>
      </c>
      <c r="C115" t="s">
        <v>133</v>
      </c>
      <c r="D115" t="s">
        <v>111</v>
      </c>
      <c r="E115" t="s">
        <v>134</v>
      </c>
      <c r="F115" s="54" t="s">
        <v>265</v>
      </c>
      <c r="G115" s="57"/>
      <c r="H115" s="57"/>
      <c r="I115" s="57"/>
      <c r="J115" s="57"/>
      <c r="K115" s="57"/>
      <c r="L115" s="57"/>
    </row>
    <row r="116" spans="1:12" x14ac:dyDescent="0.25">
      <c r="A116">
        <v>158</v>
      </c>
      <c r="B116">
        <v>2020</v>
      </c>
      <c r="C116" t="s">
        <v>135</v>
      </c>
      <c r="D116" t="s">
        <v>111</v>
      </c>
      <c r="E116" t="s">
        <v>136</v>
      </c>
      <c r="F116" s="54" t="s">
        <v>273</v>
      </c>
      <c r="G116" s="57"/>
      <c r="H116" s="57"/>
      <c r="I116" s="57"/>
      <c r="J116" s="57"/>
      <c r="K116" s="57"/>
      <c r="L116" s="57"/>
    </row>
    <row r="117" spans="1:12" x14ac:dyDescent="0.25">
      <c r="A117">
        <v>159</v>
      </c>
      <c r="B117">
        <v>2020</v>
      </c>
      <c r="C117" t="s">
        <v>137</v>
      </c>
      <c r="D117" t="s">
        <v>111</v>
      </c>
      <c r="E117" t="s">
        <v>138</v>
      </c>
      <c r="F117" s="54" t="s">
        <v>282</v>
      </c>
      <c r="G117" s="57"/>
      <c r="H117" s="57"/>
      <c r="I117" s="57"/>
      <c r="J117" s="57"/>
      <c r="K117" s="57"/>
      <c r="L117" s="57"/>
    </row>
    <row r="118" spans="1:12" x14ac:dyDescent="0.25">
      <c r="A118">
        <v>2</v>
      </c>
      <c r="B118">
        <v>2020</v>
      </c>
      <c r="C118" t="s">
        <v>139</v>
      </c>
      <c r="D118" t="s">
        <v>111</v>
      </c>
      <c r="E118" t="s">
        <v>140</v>
      </c>
      <c r="F118" s="54" t="s">
        <v>283</v>
      </c>
      <c r="G118" s="57"/>
      <c r="H118" s="57"/>
      <c r="I118" s="57"/>
      <c r="J118" s="57"/>
      <c r="K118" s="57"/>
      <c r="L118" s="57"/>
    </row>
    <row r="119" spans="1:12" x14ac:dyDescent="0.25">
      <c r="A119">
        <v>241</v>
      </c>
      <c r="B119">
        <v>2020</v>
      </c>
      <c r="C119" t="s">
        <v>141</v>
      </c>
      <c r="D119" t="s">
        <v>111</v>
      </c>
      <c r="E119" t="s">
        <v>142</v>
      </c>
      <c r="F119" s="54" t="s">
        <v>280</v>
      </c>
      <c r="G119" s="57"/>
      <c r="H119" s="57"/>
      <c r="I119" s="57"/>
      <c r="J119" s="57"/>
      <c r="K119" s="57"/>
      <c r="L119" s="57"/>
    </row>
    <row r="120" spans="1:12" x14ac:dyDescent="0.25">
      <c r="A120">
        <v>241001</v>
      </c>
      <c r="B120">
        <v>2020</v>
      </c>
      <c r="C120" t="s">
        <v>143</v>
      </c>
      <c r="D120" t="s">
        <v>111</v>
      </c>
      <c r="E120" t="s">
        <v>144</v>
      </c>
      <c r="F120" s="54" t="s">
        <v>284</v>
      </c>
      <c r="G120" s="57"/>
      <c r="H120" s="57"/>
      <c r="I120" s="57"/>
      <c r="J120" s="57"/>
      <c r="K120" s="57"/>
      <c r="L120" s="57"/>
    </row>
    <row r="121" spans="1:12" x14ac:dyDescent="0.25">
      <c r="A121">
        <v>241999</v>
      </c>
      <c r="B121">
        <v>2020</v>
      </c>
      <c r="C121" t="s">
        <v>145</v>
      </c>
      <c r="D121" t="s">
        <v>111</v>
      </c>
      <c r="E121" t="s">
        <v>146</v>
      </c>
      <c r="F121" s="54" t="s">
        <v>284</v>
      </c>
      <c r="G121" s="57"/>
      <c r="H121" s="57"/>
      <c r="I121" s="57"/>
      <c r="J121" s="57"/>
      <c r="K121" s="57"/>
      <c r="L121" s="57"/>
    </row>
    <row r="122" spans="1:12" x14ac:dyDescent="0.25">
      <c r="A122">
        <v>251</v>
      </c>
      <c r="B122">
        <v>2020</v>
      </c>
      <c r="C122" t="s">
        <v>147</v>
      </c>
      <c r="D122" t="s">
        <v>111</v>
      </c>
      <c r="E122" t="s">
        <v>148</v>
      </c>
      <c r="F122" s="54" t="s">
        <v>285</v>
      </c>
      <c r="G122" s="57"/>
      <c r="H122" s="57"/>
      <c r="I122" s="57"/>
      <c r="J122" s="57"/>
      <c r="K122" s="57"/>
      <c r="L122" s="57"/>
    </row>
    <row r="123" spans="1:12" x14ac:dyDescent="0.25">
      <c r="A123">
        <v>252</v>
      </c>
      <c r="B123">
        <v>2020</v>
      </c>
      <c r="C123" t="s">
        <v>149</v>
      </c>
      <c r="D123" t="s">
        <v>111</v>
      </c>
      <c r="E123" t="s">
        <v>150</v>
      </c>
      <c r="F123" s="54" t="s">
        <v>251</v>
      </c>
      <c r="G123" s="57"/>
      <c r="H123" s="57"/>
      <c r="I123" s="57"/>
      <c r="J123" s="57"/>
      <c r="K123" s="57"/>
      <c r="L123" s="57"/>
    </row>
    <row r="124" spans="1:12" x14ac:dyDescent="0.25">
      <c r="A124">
        <v>254</v>
      </c>
      <c r="B124">
        <v>2020</v>
      </c>
      <c r="C124" t="s">
        <v>151</v>
      </c>
      <c r="D124" t="s">
        <v>111</v>
      </c>
      <c r="E124" t="s">
        <v>152</v>
      </c>
      <c r="F124" s="54" t="s">
        <v>286</v>
      </c>
      <c r="G124" s="57"/>
      <c r="H124" s="57"/>
      <c r="I124" s="57"/>
      <c r="J124" s="57"/>
      <c r="K124" s="57"/>
      <c r="L124" s="57"/>
    </row>
    <row r="125" spans="1:12" x14ac:dyDescent="0.25">
      <c r="A125">
        <v>255</v>
      </c>
      <c r="B125">
        <v>2020</v>
      </c>
      <c r="C125" t="s">
        <v>153</v>
      </c>
      <c r="D125" t="s">
        <v>111</v>
      </c>
      <c r="E125" t="s">
        <v>154</v>
      </c>
      <c r="F125" s="54" t="s">
        <v>224</v>
      </c>
      <c r="G125" s="57"/>
      <c r="H125" s="57"/>
      <c r="I125" s="57"/>
      <c r="J125" s="57"/>
      <c r="K125" s="57"/>
      <c r="L125" s="57"/>
    </row>
    <row r="126" spans="1:12" x14ac:dyDescent="0.25">
      <c r="A126">
        <v>256</v>
      </c>
      <c r="B126">
        <v>2020</v>
      </c>
      <c r="C126" t="s">
        <v>155</v>
      </c>
      <c r="D126" t="s">
        <v>111</v>
      </c>
      <c r="E126" t="s">
        <v>156</v>
      </c>
      <c r="F126" s="54" t="s">
        <v>260</v>
      </c>
      <c r="G126" s="57"/>
      <c r="H126" s="57"/>
      <c r="I126" s="57"/>
      <c r="J126" s="57"/>
      <c r="K126" s="57"/>
      <c r="L126" s="57"/>
    </row>
    <row r="127" spans="1:12" x14ac:dyDescent="0.25">
      <c r="A127">
        <v>257</v>
      </c>
      <c r="B127">
        <v>2020</v>
      </c>
      <c r="C127" t="s">
        <v>157</v>
      </c>
      <c r="D127" t="s">
        <v>111</v>
      </c>
      <c r="E127" t="s">
        <v>158</v>
      </c>
      <c r="F127" s="54" t="s">
        <v>287</v>
      </c>
      <c r="G127" s="57"/>
      <c r="H127" s="57"/>
      <c r="I127" s="57"/>
      <c r="J127" s="57"/>
      <c r="K127" s="57"/>
      <c r="L127" s="57"/>
    </row>
    <row r="128" spans="1:12" x14ac:dyDescent="0.25">
      <c r="A128">
        <v>3</v>
      </c>
      <c r="B128">
        <v>2020</v>
      </c>
      <c r="C128" t="s">
        <v>159</v>
      </c>
      <c r="D128" t="s">
        <v>111</v>
      </c>
      <c r="E128" t="s">
        <v>160</v>
      </c>
      <c r="F128" s="54" t="s">
        <v>288</v>
      </c>
      <c r="G128" s="57"/>
      <c r="H128" s="57"/>
      <c r="I128" s="57"/>
      <c r="J128" s="57"/>
      <c r="K128" s="57"/>
      <c r="L128" s="57"/>
    </row>
    <row r="129" spans="1:12" x14ac:dyDescent="0.25">
      <c r="A129">
        <v>351</v>
      </c>
      <c r="B129">
        <v>2020</v>
      </c>
      <c r="C129" t="s">
        <v>161</v>
      </c>
      <c r="D129" t="s">
        <v>111</v>
      </c>
      <c r="E129" t="s">
        <v>162</v>
      </c>
      <c r="F129" s="54" t="s">
        <v>289</v>
      </c>
      <c r="G129" s="57"/>
      <c r="H129" s="57"/>
      <c r="I129" s="57"/>
      <c r="J129" s="57"/>
      <c r="K129" s="57"/>
      <c r="L129" s="57"/>
    </row>
    <row r="130" spans="1:12" x14ac:dyDescent="0.25">
      <c r="A130">
        <v>352</v>
      </c>
      <c r="B130">
        <v>2020</v>
      </c>
      <c r="C130" t="s">
        <v>163</v>
      </c>
      <c r="D130" t="s">
        <v>111</v>
      </c>
      <c r="E130" t="s">
        <v>164</v>
      </c>
      <c r="F130" s="54" t="s">
        <v>263</v>
      </c>
      <c r="G130" s="57"/>
      <c r="H130" s="57"/>
      <c r="I130" s="57"/>
      <c r="J130" s="57"/>
      <c r="K130" s="57"/>
      <c r="L130" s="57"/>
    </row>
    <row r="131" spans="1:12" x14ac:dyDescent="0.25">
      <c r="A131">
        <v>353</v>
      </c>
      <c r="B131">
        <v>2020</v>
      </c>
      <c r="C131" t="s">
        <v>165</v>
      </c>
      <c r="D131" t="s">
        <v>111</v>
      </c>
      <c r="E131" t="s">
        <v>166</v>
      </c>
      <c r="F131" s="54" t="s">
        <v>290</v>
      </c>
      <c r="G131" s="57"/>
      <c r="H131" s="57"/>
      <c r="I131" s="57"/>
      <c r="J131" s="57"/>
      <c r="K131" s="57"/>
      <c r="L131" s="57"/>
    </row>
    <row r="132" spans="1:12" x14ac:dyDescent="0.25">
      <c r="A132">
        <v>354</v>
      </c>
      <c r="B132">
        <v>2020</v>
      </c>
      <c r="C132" t="s">
        <v>167</v>
      </c>
      <c r="D132" t="s">
        <v>111</v>
      </c>
      <c r="E132" t="s">
        <v>168</v>
      </c>
      <c r="F132" s="54" t="s">
        <v>228</v>
      </c>
      <c r="G132" s="57"/>
      <c r="H132" s="57"/>
      <c r="I132" s="57"/>
      <c r="J132" s="57"/>
      <c r="K132" s="57"/>
      <c r="L132" s="57"/>
    </row>
    <row r="133" spans="1:12" x14ac:dyDescent="0.25">
      <c r="A133">
        <v>355</v>
      </c>
      <c r="B133">
        <v>2020</v>
      </c>
      <c r="C133" t="s">
        <v>169</v>
      </c>
      <c r="D133" t="s">
        <v>111</v>
      </c>
      <c r="E133" t="s">
        <v>170</v>
      </c>
      <c r="F133" s="54" t="s">
        <v>244</v>
      </c>
      <c r="G133" s="57"/>
      <c r="H133" s="57"/>
      <c r="I133" s="57"/>
      <c r="J133" s="57"/>
      <c r="K133" s="57"/>
      <c r="L133" s="57"/>
    </row>
    <row r="134" spans="1:12" x14ac:dyDescent="0.25">
      <c r="A134">
        <v>356</v>
      </c>
      <c r="B134">
        <v>2020</v>
      </c>
      <c r="C134" t="s">
        <v>171</v>
      </c>
      <c r="D134" t="s">
        <v>111</v>
      </c>
      <c r="E134" t="s">
        <v>172</v>
      </c>
      <c r="F134" s="54" t="s">
        <v>246</v>
      </c>
      <c r="G134" s="57"/>
      <c r="H134" s="57"/>
      <c r="I134" s="57"/>
      <c r="J134" s="57"/>
      <c r="K134" s="57"/>
      <c r="L134" s="57"/>
    </row>
    <row r="135" spans="1:12" x14ac:dyDescent="0.25">
      <c r="A135">
        <v>357</v>
      </c>
      <c r="B135">
        <v>2020</v>
      </c>
      <c r="C135" t="s">
        <v>173</v>
      </c>
      <c r="D135" t="s">
        <v>111</v>
      </c>
      <c r="E135" t="s">
        <v>174</v>
      </c>
      <c r="F135" s="54" t="s">
        <v>265</v>
      </c>
      <c r="G135" s="57"/>
      <c r="H135" s="57"/>
      <c r="I135" s="57"/>
      <c r="J135" s="57"/>
      <c r="K135" s="57"/>
      <c r="L135" s="57"/>
    </row>
    <row r="136" spans="1:12" x14ac:dyDescent="0.25">
      <c r="A136">
        <v>358</v>
      </c>
      <c r="B136">
        <v>2020</v>
      </c>
      <c r="C136" t="s">
        <v>175</v>
      </c>
      <c r="D136" t="s">
        <v>111</v>
      </c>
      <c r="E136" t="s">
        <v>176</v>
      </c>
      <c r="F136" s="54" t="s">
        <v>268</v>
      </c>
      <c r="G136" s="57"/>
      <c r="H136" s="57"/>
      <c r="I136" s="57"/>
      <c r="J136" s="57"/>
      <c r="K136" s="57"/>
      <c r="L136" s="57"/>
    </row>
    <row r="137" spans="1:12" x14ac:dyDescent="0.25">
      <c r="A137">
        <v>359</v>
      </c>
      <c r="B137">
        <v>2020</v>
      </c>
      <c r="C137" t="s">
        <v>177</v>
      </c>
      <c r="D137" t="s">
        <v>111</v>
      </c>
      <c r="E137" t="s">
        <v>178</v>
      </c>
      <c r="F137" s="54" t="s">
        <v>291</v>
      </c>
      <c r="G137" s="57"/>
      <c r="H137" s="57"/>
      <c r="I137" s="57"/>
      <c r="J137" s="57"/>
      <c r="K137" s="57"/>
      <c r="L137" s="57"/>
    </row>
    <row r="138" spans="1:12" x14ac:dyDescent="0.25">
      <c r="A138">
        <v>360</v>
      </c>
      <c r="B138">
        <v>2020</v>
      </c>
      <c r="C138" t="s">
        <v>179</v>
      </c>
      <c r="D138" t="s">
        <v>111</v>
      </c>
      <c r="E138" t="s">
        <v>180</v>
      </c>
      <c r="F138" s="54" t="s">
        <v>271</v>
      </c>
      <c r="G138" s="57"/>
      <c r="H138" s="57"/>
      <c r="I138" s="57"/>
      <c r="J138" s="57"/>
      <c r="K138" s="57"/>
      <c r="L138" s="57"/>
    </row>
    <row r="139" spans="1:12" x14ac:dyDescent="0.25">
      <c r="A139">
        <v>361</v>
      </c>
      <c r="B139">
        <v>2020</v>
      </c>
      <c r="C139" t="s">
        <v>181</v>
      </c>
      <c r="D139" t="s">
        <v>111</v>
      </c>
      <c r="E139" t="s">
        <v>182</v>
      </c>
      <c r="F139" s="54" t="s">
        <v>292</v>
      </c>
      <c r="G139" s="57"/>
      <c r="H139" s="57"/>
      <c r="I139" s="57"/>
      <c r="J139" s="57"/>
      <c r="K139" s="57"/>
      <c r="L139" s="57"/>
    </row>
    <row r="140" spans="1:12" x14ac:dyDescent="0.25">
      <c r="A140">
        <v>4</v>
      </c>
      <c r="B140">
        <v>2020</v>
      </c>
      <c r="C140" t="s">
        <v>183</v>
      </c>
      <c r="D140" t="s">
        <v>111</v>
      </c>
      <c r="E140" t="s">
        <v>184</v>
      </c>
      <c r="F140" s="54" t="s">
        <v>293</v>
      </c>
      <c r="G140" s="57"/>
      <c r="H140" s="57"/>
      <c r="I140" s="57"/>
      <c r="J140" s="57"/>
      <c r="K140" s="57"/>
      <c r="L140" s="57"/>
    </row>
    <row r="141" spans="1:12" x14ac:dyDescent="0.25">
      <c r="A141">
        <v>401</v>
      </c>
      <c r="B141">
        <v>2020</v>
      </c>
      <c r="C141" t="s">
        <v>185</v>
      </c>
      <c r="D141" t="s">
        <v>111</v>
      </c>
      <c r="E141" t="s">
        <v>186</v>
      </c>
      <c r="F141" s="54" t="s">
        <v>253</v>
      </c>
      <c r="G141" s="57"/>
      <c r="H141" s="57"/>
      <c r="I141" s="57"/>
      <c r="J141" s="57"/>
      <c r="K141" s="57"/>
      <c r="L141" s="57"/>
    </row>
    <row r="142" spans="1:12" x14ac:dyDescent="0.25">
      <c r="A142">
        <v>402</v>
      </c>
      <c r="B142">
        <v>2020</v>
      </c>
      <c r="C142" t="s">
        <v>187</v>
      </c>
      <c r="D142" t="s">
        <v>111</v>
      </c>
      <c r="E142" t="s">
        <v>188</v>
      </c>
      <c r="F142" s="54" t="s">
        <v>223</v>
      </c>
      <c r="G142" s="57"/>
      <c r="H142" s="57"/>
      <c r="I142" s="57"/>
      <c r="J142" s="57"/>
      <c r="K142" s="57"/>
      <c r="L142" s="57"/>
    </row>
    <row r="143" spans="1:12" x14ac:dyDescent="0.25">
      <c r="A143">
        <v>403</v>
      </c>
      <c r="B143">
        <v>2020</v>
      </c>
      <c r="C143" t="s">
        <v>189</v>
      </c>
      <c r="D143" t="s">
        <v>111</v>
      </c>
      <c r="E143" t="s">
        <v>190</v>
      </c>
      <c r="F143" s="54" t="s">
        <v>261</v>
      </c>
      <c r="G143" s="57"/>
      <c r="H143" s="57"/>
      <c r="I143" s="57"/>
      <c r="J143" s="57"/>
      <c r="K143" s="57"/>
      <c r="L143" s="57"/>
    </row>
    <row r="144" spans="1:12" x14ac:dyDescent="0.25">
      <c r="A144">
        <v>404</v>
      </c>
      <c r="B144">
        <v>2020</v>
      </c>
      <c r="C144" t="s">
        <v>191</v>
      </c>
      <c r="D144" t="s">
        <v>111</v>
      </c>
      <c r="E144" t="s">
        <v>192</v>
      </c>
      <c r="F144" s="54" t="s">
        <v>286</v>
      </c>
      <c r="G144" s="57"/>
      <c r="H144" s="57"/>
      <c r="I144" s="57"/>
      <c r="J144" s="57"/>
      <c r="K144" s="57"/>
      <c r="L144" s="57"/>
    </row>
    <row r="145" spans="1:12" x14ac:dyDescent="0.25">
      <c r="A145">
        <v>405</v>
      </c>
      <c r="B145">
        <v>2020</v>
      </c>
      <c r="C145" t="s">
        <v>193</v>
      </c>
      <c r="D145" t="s">
        <v>111</v>
      </c>
      <c r="E145" t="s">
        <v>194</v>
      </c>
      <c r="F145" s="54" t="s">
        <v>260</v>
      </c>
      <c r="G145" s="57"/>
      <c r="H145" s="57"/>
      <c r="I145" s="57"/>
      <c r="J145" s="57"/>
      <c r="K145" s="57"/>
      <c r="L145" s="57"/>
    </row>
    <row r="146" spans="1:12" x14ac:dyDescent="0.25">
      <c r="A146">
        <v>451</v>
      </c>
      <c r="B146">
        <v>2020</v>
      </c>
      <c r="C146" t="s">
        <v>195</v>
      </c>
      <c r="D146" t="s">
        <v>111</v>
      </c>
      <c r="E146" t="s">
        <v>196</v>
      </c>
      <c r="F146" s="54" t="s">
        <v>233</v>
      </c>
      <c r="G146" s="57"/>
      <c r="H146" s="57"/>
      <c r="I146" s="57"/>
      <c r="J146" s="57"/>
      <c r="K146" s="57"/>
      <c r="L146" s="57"/>
    </row>
    <row r="147" spans="1:12" x14ac:dyDescent="0.25">
      <c r="A147">
        <v>452</v>
      </c>
      <c r="B147">
        <v>2020</v>
      </c>
      <c r="C147" t="s">
        <v>197</v>
      </c>
      <c r="D147" t="s">
        <v>111</v>
      </c>
      <c r="E147" t="s">
        <v>198</v>
      </c>
      <c r="F147" s="54" t="s">
        <v>252</v>
      </c>
      <c r="G147" s="57"/>
      <c r="H147" s="57"/>
      <c r="I147" s="57"/>
      <c r="J147" s="57"/>
      <c r="K147" s="57"/>
      <c r="L147" s="57"/>
    </row>
    <row r="148" spans="1:12" x14ac:dyDescent="0.25">
      <c r="A148">
        <v>453</v>
      </c>
      <c r="B148">
        <v>2020</v>
      </c>
      <c r="C148" t="s">
        <v>199</v>
      </c>
      <c r="D148" t="s">
        <v>111</v>
      </c>
      <c r="E148" t="s">
        <v>200</v>
      </c>
      <c r="F148" s="54" t="s">
        <v>269</v>
      </c>
      <c r="G148" s="57"/>
      <c r="H148" s="57"/>
      <c r="I148" s="57"/>
      <c r="J148" s="57"/>
      <c r="K148" s="57"/>
      <c r="L148" s="57"/>
    </row>
    <row r="149" spans="1:12" x14ac:dyDescent="0.25">
      <c r="A149">
        <v>454</v>
      </c>
      <c r="B149">
        <v>2020</v>
      </c>
      <c r="C149" t="s">
        <v>201</v>
      </c>
      <c r="D149" t="s">
        <v>111</v>
      </c>
      <c r="E149" t="s">
        <v>202</v>
      </c>
      <c r="F149" s="54" t="s">
        <v>238</v>
      </c>
      <c r="G149" s="57"/>
      <c r="H149" s="57"/>
      <c r="I149" s="57"/>
      <c r="J149" s="57"/>
      <c r="K149" s="57"/>
      <c r="L149" s="57"/>
    </row>
    <row r="150" spans="1:12" x14ac:dyDescent="0.25">
      <c r="A150">
        <v>455</v>
      </c>
      <c r="B150">
        <v>2020</v>
      </c>
      <c r="C150" t="s">
        <v>203</v>
      </c>
      <c r="D150" t="s">
        <v>111</v>
      </c>
      <c r="E150" t="s">
        <v>204</v>
      </c>
      <c r="F150" s="54" t="s">
        <v>271</v>
      </c>
      <c r="G150" s="57"/>
      <c r="H150" s="57"/>
      <c r="I150" s="57"/>
      <c r="J150" s="57"/>
      <c r="K150" s="57"/>
      <c r="L150" s="57"/>
    </row>
    <row r="151" spans="1:12" x14ac:dyDescent="0.25">
      <c r="A151">
        <v>456</v>
      </c>
      <c r="B151">
        <v>2020</v>
      </c>
      <c r="C151" t="s">
        <v>205</v>
      </c>
      <c r="D151" t="s">
        <v>111</v>
      </c>
      <c r="E151" t="s">
        <v>206</v>
      </c>
      <c r="F151" s="54" t="s">
        <v>287</v>
      </c>
      <c r="G151" s="57"/>
      <c r="H151" s="57"/>
      <c r="I151" s="57"/>
      <c r="J151" s="57"/>
      <c r="K151" s="57"/>
      <c r="L151" s="57"/>
    </row>
    <row r="152" spans="1:12" x14ac:dyDescent="0.25">
      <c r="A152">
        <v>457</v>
      </c>
      <c r="B152">
        <v>2020</v>
      </c>
      <c r="C152" t="s">
        <v>207</v>
      </c>
      <c r="D152" t="s">
        <v>111</v>
      </c>
      <c r="E152" t="s">
        <v>208</v>
      </c>
      <c r="F152" s="54" t="s">
        <v>253</v>
      </c>
      <c r="G152" s="57"/>
      <c r="H152" s="57"/>
      <c r="I152" s="57"/>
      <c r="J152" s="57"/>
      <c r="K152" s="57"/>
      <c r="L152" s="57"/>
    </row>
    <row r="153" spans="1:12" x14ac:dyDescent="0.25">
      <c r="A153">
        <v>458</v>
      </c>
      <c r="B153">
        <v>2020</v>
      </c>
      <c r="C153" t="s">
        <v>209</v>
      </c>
      <c r="D153" t="s">
        <v>111</v>
      </c>
      <c r="E153" t="s">
        <v>210</v>
      </c>
      <c r="F153" s="54" t="s">
        <v>260</v>
      </c>
      <c r="G153" s="57"/>
      <c r="H153" s="57"/>
      <c r="I153" s="57"/>
      <c r="J153" s="57"/>
      <c r="K153" s="57"/>
      <c r="L153" s="57"/>
    </row>
    <row r="154" spans="1:12" x14ac:dyDescent="0.25">
      <c r="A154">
        <v>459</v>
      </c>
      <c r="B154">
        <v>2020</v>
      </c>
      <c r="C154" t="s">
        <v>211</v>
      </c>
      <c r="D154" t="s">
        <v>111</v>
      </c>
      <c r="E154" t="s">
        <v>212</v>
      </c>
      <c r="F154" s="54" t="s">
        <v>294</v>
      </c>
      <c r="G154" s="57"/>
      <c r="H154" s="57"/>
      <c r="I154" s="57"/>
      <c r="J154" s="57"/>
      <c r="K154" s="57"/>
      <c r="L154" s="57"/>
    </row>
    <row r="155" spans="1:12" x14ac:dyDescent="0.25">
      <c r="A155">
        <v>460</v>
      </c>
      <c r="B155">
        <v>2020</v>
      </c>
      <c r="C155" t="s">
        <v>213</v>
      </c>
      <c r="D155" t="s">
        <v>111</v>
      </c>
      <c r="E155" t="s">
        <v>214</v>
      </c>
      <c r="F155" s="54" t="s">
        <v>295</v>
      </c>
      <c r="G155" s="57"/>
      <c r="H155" s="57"/>
      <c r="I155" s="57"/>
      <c r="J155" s="57"/>
      <c r="K155" s="57"/>
      <c r="L155" s="57"/>
    </row>
    <row r="156" spans="1:12" x14ac:dyDescent="0.25">
      <c r="A156">
        <v>461</v>
      </c>
      <c r="B156">
        <v>2020</v>
      </c>
      <c r="C156" t="s">
        <v>215</v>
      </c>
      <c r="D156" t="s">
        <v>111</v>
      </c>
      <c r="E156" t="s">
        <v>216</v>
      </c>
      <c r="F156" s="54" t="s">
        <v>296</v>
      </c>
      <c r="G156" s="57"/>
      <c r="H156" s="57"/>
      <c r="I156" s="57"/>
      <c r="J156" s="57"/>
      <c r="K156" s="57"/>
      <c r="L156" s="57"/>
    </row>
    <row r="157" spans="1:12" x14ac:dyDescent="0.25">
      <c r="A157">
        <v>462</v>
      </c>
      <c r="B157">
        <v>2020</v>
      </c>
      <c r="C157" t="s">
        <v>217</v>
      </c>
      <c r="D157" t="s">
        <v>111</v>
      </c>
      <c r="E157" t="s">
        <v>218</v>
      </c>
      <c r="F157" s="54" t="s">
        <v>228</v>
      </c>
      <c r="G157" s="57"/>
      <c r="H157" s="57"/>
      <c r="I157" s="57"/>
      <c r="J157" s="57"/>
      <c r="K157" s="57"/>
      <c r="L157" s="57"/>
    </row>
    <row r="158" spans="1:12" x14ac:dyDescent="0.25">
      <c r="A158">
        <v>0</v>
      </c>
      <c r="B158">
        <v>2020</v>
      </c>
      <c r="C158" t="s">
        <v>115</v>
      </c>
      <c r="D158" t="s">
        <v>112</v>
      </c>
      <c r="E158" t="s">
        <v>116</v>
      </c>
      <c r="F158" s="54" t="s">
        <v>297</v>
      </c>
      <c r="G158" s="57"/>
      <c r="H158" s="57"/>
      <c r="I158" s="57"/>
      <c r="J158" s="57"/>
      <c r="K158" s="57"/>
      <c r="L158" s="57"/>
    </row>
    <row r="159" spans="1:12" x14ac:dyDescent="0.25">
      <c r="A159">
        <v>1</v>
      </c>
      <c r="B159">
        <v>2020</v>
      </c>
      <c r="C159" t="s">
        <v>117</v>
      </c>
      <c r="D159" t="s">
        <v>112</v>
      </c>
      <c r="E159" t="s">
        <v>118</v>
      </c>
      <c r="F159" s="54" t="s">
        <v>298</v>
      </c>
      <c r="G159" s="57"/>
      <c r="H159" s="57"/>
      <c r="I159" s="57"/>
      <c r="J159" s="57"/>
      <c r="K159" s="57"/>
      <c r="L159" s="57"/>
    </row>
    <row r="160" spans="1:12" x14ac:dyDescent="0.25">
      <c r="A160">
        <v>101</v>
      </c>
      <c r="B160">
        <v>2020</v>
      </c>
      <c r="C160" t="s">
        <v>119</v>
      </c>
      <c r="D160" t="s">
        <v>112</v>
      </c>
      <c r="E160" t="s">
        <v>120</v>
      </c>
      <c r="F160" s="54" t="s">
        <v>245</v>
      </c>
      <c r="G160" s="57"/>
      <c r="H160" s="57"/>
      <c r="I160" s="57"/>
      <c r="J160" s="57"/>
      <c r="K160" s="57"/>
      <c r="L160" s="57"/>
    </row>
    <row r="161" spans="1:12" x14ac:dyDescent="0.25">
      <c r="A161">
        <v>102</v>
      </c>
      <c r="B161">
        <v>2020</v>
      </c>
      <c r="C161" t="s">
        <v>121</v>
      </c>
      <c r="D161" t="s">
        <v>112</v>
      </c>
      <c r="E161" t="s">
        <v>122</v>
      </c>
      <c r="F161" s="54" t="s">
        <v>299</v>
      </c>
      <c r="G161" s="57"/>
      <c r="H161" s="57"/>
      <c r="I161" s="57"/>
      <c r="J161" s="57"/>
      <c r="K161" s="57"/>
      <c r="L161" s="57"/>
    </row>
    <row r="162" spans="1:12" x14ac:dyDescent="0.25">
      <c r="A162">
        <v>103</v>
      </c>
      <c r="B162">
        <v>2020</v>
      </c>
      <c r="C162" t="s">
        <v>123</v>
      </c>
      <c r="D162" t="s">
        <v>112</v>
      </c>
      <c r="E162" t="s">
        <v>124</v>
      </c>
      <c r="F162" s="54" t="s">
        <v>230</v>
      </c>
      <c r="G162" s="57"/>
      <c r="H162" s="57"/>
      <c r="I162" s="57"/>
      <c r="J162" s="57"/>
      <c r="K162" s="57"/>
      <c r="L162" s="57"/>
    </row>
    <row r="163" spans="1:12" x14ac:dyDescent="0.25">
      <c r="A163">
        <v>151</v>
      </c>
      <c r="B163">
        <v>2020</v>
      </c>
      <c r="C163" t="s">
        <v>125</v>
      </c>
      <c r="D163" t="s">
        <v>112</v>
      </c>
      <c r="E163" t="s">
        <v>126</v>
      </c>
      <c r="F163" s="54" t="s">
        <v>224</v>
      </c>
      <c r="G163" s="57"/>
      <c r="H163" s="57"/>
      <c r="I163" s="57"/>
      <c r="J163" s="57"/>
      <c r="K163" s="57"/>
      <c r="L163" s="57"/>
    </row>
    <row r="164" spans="1:12" x14ac:dyDescent="0.25">
      <c r="A164">
        <v>153</v>
      </c>
      <c r="B164">
        <v>2020</v>
      </c>
      <c r="C164" t="s">
        <v>127</v>
      </c>
      <c r="D164" t="s">
        <v>112</v>
      </c>
      <c r="E164" t="s">
        <v>128</v>
      </c>
      <c r="F164" s="54" t="s">
        <v>242</v>
      </c>
      <c r="G164" s="57"/>
      <c r="H164" s="57"/>
      <c r="I164" s="57"/>
      <c r="J164" s="57"/>
      <c r="K164" s="57"/>
      <c r="L164" s="57"/>
    </row>
    <row r="165" spans="1:12" x14ac:dyDescent="0.25">
      <c r="A165">
        <v>154</v>
      </c>
      <c r="B165">
        <v>2020</v>
      </c>
      <c r="C165" t="s">
        <v>129</v>
      </c>
      <c r="D165" t="s">
        <v>112</v>
      </c>
      <c r="E165" t="s">
        <v>130</v>
      </c>
      <c r="F165" s="54" t="s">
        <v>235</v>
      </c>
      <c r="G165" s="57"/>
      <c r="H165" s="57"/>
      <c r="I165" s="57"/>
      <c r="J165" s="57"/>
      <c r="K165" s="57"/>
      <c r="L165" s="57"/>
    </row>
    <row r="166" spans="1:12" x14ac:dyDescent="0.25">
      <c r="A166">
        <v>155</v>
      </c>
      <c r="B166">
        <v>2020</v>
      </c>
      <c r="C166" t="s">
        <v>131</v>
      </c>
      <c r="D166" t="s">
        <v>112</v>
      </c>
      <c r="E166" t="s">
        <v>132</v>
      </c>
      <c r="F166" s="54" t="s">
        <v>240</v>
      </c>
      <c r="G166" s="57"/>
      <c r="H166" s="57"/>
      <c r="I166" s="57"/>
      <c r="J166" s="57"/>
      <c r="K166" s="57"/>
      <c r="L166" s="57"/>
    </row>
    <row r="167" spans="1:12" x14ac:dyDescent="0.25">
      <c r="A167">
        <v>157</v>
      </c>
      <c r="B167">
        <v>2020</v>
      </c>
      <c r="C167" t="s">
        <v>133</v>
      </c>
      <c r="D167" t="s">
        <v>112</v>
      </c>
      <c r="E167" t="s">
        <v>134</v>
      </c>
      <c r="F167" s="54" t="s">
        <v>224</v>
      </c>
      <c r="G167" s="57"/>
      <c r="H167" s="57"/>
      <c r="I167" s="57"/>
      <c r="J167" s="57"/>
      <c r="K167" s="57"/>
      <c r="L167" s="57"/>
    </row>
    <row r="168" spans="1:12" x14ac:dyDescent="0.25">
      <c r="A168">
        <v>158</v>
      </c>
      <c r="B168">
        <v>2020</v>
      </c>
      <c r="C168" t="s">
        <v>135</v>
      </c>
      <c r="D168" t="s">
        <v>112</v>
      </c>
      <c r="E168" t="s">
        <v>136</v>
      </c>
      <c r="F168" s="54" t="s">
        <v>235</v>
      </c>
      <c r="G168" s="57"/>
      <c r="H168" s="57"/>
      <c r="I168" s="57"/>
      <c r="J168" s="57"/>
      <c r="K168" s="57"/>
      <c r="L168" s="57"/>
    </row>
    <row r="169" spans="1:12" x14ac:dyDescent="0.25">
      <c r="A169">
        <v>159</v>
      </c>
      <c r="B169">
        <v>2020</v>
      </c>
      <c r="C169" t="s">
        <v>137</v>
      </c>
      <c r="D169" t="s">
        <v>112</v>
      </c>
      <c r="E169" t="s">
        <v>138</v>
      </c>
      <c r="F169" s="54" t="s">
        <v>260</v>
      </c>
      <c r="G169" s="57"/>
      <c r="H169" s="57"/>
      <c r="I169" s="57"/>
      <c r="J169" s="57"/>
      <c r="K169" s="57"/>
      <c r="L169" s="57"/>
    </row>
    <row r="170" spans="1:12" x14ac:dyDescent="0.25">
      <c r="A170">
        <v>2</v>
      </c>
      <c r="B170">
        <v>2020</v>
      </c>
      <c r="C170" t="s">
        <v>139</v>
      </c>
      <c r="D170" t="s">
        <v>112</v>
      </c>
      <c r="E170" t="s">
        <v>140</v>
      </c>
      <c r="F170" s="54" t="s">
        <v>264</v>
      </c>
      <c r="G170" s="57"/>
      <c r="H170" s="57"/>
      <c r="I170" s="57"/>
      <c r="J170" s="57"/>
      <c r="K170" s="57"/>
      <c r="L170" s="57"/>
    </row>
    <row r="171" spans="1:12" x14ac:dyDescent="0.25">
      <c r="A171">
        <v>241</v>
      </c>
      <c r="B171">
        <v>2020</v>
      </c>
      <c r="C171" t="s">
        <v>141</v>
      </c>
      <c r="D171" t="s">
        <v>112</v>
      </c>
      <c r="E171" t="s">
        <v>142</v>
      </c>
      <c r="F171" s="54" t="s">
        <v>300</v>
      </c>
      <c r="G171" s="57"/>
      <c r="H171" s="57"/>
      <c r="I171" s="57"/>
      <c r="J171" s="57"/>
      <c r="K171" s="57"/>
      <c r="L171" s="57"/>
    </row>
    <row r="172" spans="1:12" x14ac:dyDescent="0.25">
      <c r="A172">
        <v>241001</v>
      </c>
      <c r="B172">
        <v>2020</v>
      </c>
      <c r="C172" t="s">
        <v>143</v>
      </c>
      <c r="D172" t="s">
        <v>112</v>
      </c>
      <c r="E172" t="s">
        <v>144</v>
      </c>
      <c r="F172" s="54" t="s">
        <v>301</v>
      </c>
      <c r="G172" s="57"/>
      <c r="H172" s="57"/>
      <c r="I172" s="57"/>
      <c r="J172" s="57"/>
      <c r="K172" s="57"/>
      <c r="L172" s="57"/>
    </row>
    <row r="173" spans="1:12" x14ac:dyDescent="0.25">
      <c r="A173">
        <v>241999</v>
      </c>
      <c r="B173">
        <v>2020</v>
      </c>
      <c r="C173" t="s">
        <v>145</v>
      </c>
      <c r="D173" t="s">
        <v>112</v>
      </c>
      <c r="E173" t="s">
        <v>146</v>
      </c>
      <c r="F173" s="54" t="s">
        <v>301</v>
      </c>
      <c r="G173" s="57"/>
      <c r="H173" s="57"/>
      <c r="I173" s="57"/>
      <c r="J173" s="57"/>
      <c r="K173" s="57"/>
      <c r="L173" s="57"/>
    </row>
    <row r="174" spans="1:12" x14ac:dyDescent="0.25">
      <c r="A174">
        <v>251</v>
      </c>
      <c r="B174">
        <v>2020</v>
      </c>
      <c r="C174" t="s">
        <v>147</v>
      </c>
      <c r="D174" t="s">
        <v>112</v>
      </c>
      <c r="E174" t="s">
        <v>148</v>
      </c>
      <c r="F174" s="54" t="s">
        <v>233</v>
      </c>
      <c r="G174" s="57"/>
      <c r="H174" s="57"/>
      <c r="I174" s="57"/>
      <c r="J174" s="57"/>
      <c r="K174" s="57"/>
      <c r="L174" s="57"/>
    </row>
    <row r="175" spans="1:12" x14ac:dyDescent="0.25">
      <c r="A175">
        <v>252</v>
      </c>
      <c r="B175">
        <v>2020</v>
      </c>
      <c r="C175" t="s">
        <v>149</v>
      </c>
      <c r="D175" t="s">
        <v>112</v>
      </c>
      <c r="E175" t="s">
        <v>150</v>
      </c>
      <c r="F175" s="54" t="s">
        <v>271</v>
      </c>
      <c r="G175" s="57"/>
      <c r="H175" s="57"/>
      <c r="I175" s="57"/>
      <c r="J175" s="57"/>
      <c r="K175" s="57"/>
      <c r="L175" s="57"/>
    </row>
    <row r="176" spans="1:12" x14ac:dyDescent="0.25">
      <c r="A176">
        <v>254</v>
      </c>
      <c r="B176">
        <v>2020</v>
      </c>
      <c r="C176" t="s">
        <v>151</v>
      </c>
      <c r="D176" t="s">
        <v>112</v>
      </c>
      <c r="E176" t="s">
        <v>152</v>
      </c>
      <c r="F176" s="54" t="s">
        <v>233</v>
      </c>
      <c r="G176" s="57"/>
      <c r="H176" s="57"/>
      <c r="I176" s="57"/>
      <c r="J176" s="57"/>
      <c r="K176" s="57"/>
      <c r="L176" s="57"/>
    </row>
    <row r="177" spans="1:12" x14ac:dyDescent="0.25">
      <c r="A177">
        <v>255</v>
      </c>
      <c r="B177">
        <v>2020</v>
      </c>
      <c r="C177" t="s">
        <v>153</v>
      </c>
      <c r="D177" t="s">
        <v>112</v>
      </c>
      <c r="E177" t="s">
        <v>154</v>
      </c>
      <c r="F177" s="54" t="s">
        <v>239</v>
      </c>
      <c r="G177" s="57"/>
      <c r="H177" s="57"/>
      <c r="I177" s="57"/>
      <c r="J177" s="57"/>
      <c r="K177" s="57"/>
      <c r="L177" s="57"/>
    </row>
    <row r="178" spans="1:12" x14ac:dyDescent="0.25">
      <c r="A178">
        <v>256</v>
      </c>
      <c r="B178">
        <v>2020</v>
      </c>
      <c r="C178" t="s">
        <v>155</v>
      </c>
      <c r="D178" t="s">
        <v>112</v>
      </c>
      <c r="E178" t="s">
        <v>156</v>
      </c>
      <c r="F178" s="54" t="s">
        <v>302</v>
      </c>
      <c r="G178" s="57"/>
      <c r="H178" s="57"/>
      <c r="I178" s="57"/>
      <c r="J178" s="57"/>
      <c r="K178" s="57"/>
      <c r="L178" s="57"/>
    </row>
    <row r="179" spans="1:12" x14ac:dyDescent="0.25">
      <c r="A179">
        <v>257</v>
      </c>
      <c r="B179">
        <v>2020</v>
      </c>
      <c r="C179" t="s">
        <v>157</v>
      </c>
      <c r="D179" t="s">
        <v>112</v>
      </c>
      <c r="E179" t="s">
        <v>158</v>
      </c>
      <c r="F179" s="54" t="s">
        <v>242</v>
      </c>
      <c r="G179" s="57"/>
      <c r="H179" s="57"/>
      <c r="I179" s="57"/>
      <c r="J179" s="57"/>
      <c r="K179" s="57"/>
      <c r="L179" s="57"/>
    </row>
    <row r="180" spans="1:12" x14ac:dyDescent="0.25">
      <c r="A180">
        <v>3</v>
      </c>
      <c r="B180">
        <v>2020</v>
      </c>
      <c r="C180" t="s">
        <v>159</v>
      </c>
      <c r="D180" t="s">
        <v>112</v>
      </c>
      <c r="E180" t="s">
        <v>160</v>
      </c>
      <c r="F180" s="54" t="s">
        <v>303</v>
      </c>
      <c r="G180" s="57"/>
      <c r="H180" s="57"/>
      <c r="I180" s="57"/>
      <c r="J180" s="57"/>
      <c r="K180" s="57"/>
      <c r="L180" s="57"/>
    </row>
    <row r="181" spans="1:12" x14ac:dyDescent="0.25">
      <c r="A181">
        <v>351</v>
      </c>
      <c r="B181">
        <v>2020</v>
      </c>
      <c r="C181" t="s">
        <v>161</v>
      </c>
      <c r="D181" t="s">
        <v>112</v>
      </c>
      <c r="E181" t="s">
        <v>162</v>
      </c>
      <c r="F181" s="54" t="s">
        <v>236</v>
      </c>
      <c r="G181" s="57"/>
      <c r="H181" s="57"/>
      <c r="I181" s="57"/>
      <c r="J181" s="57"/>
      <c r="K181" s="57"/>
      <c r="L181" s="57"/>
    </row>
    <row r="182" spans="1:12" x14ac:dyDescent="0.25">
      <c r="A182">
        <v>352</v>
      </c>
      <c r="B182">
        <v>2020</v>
      </c>
      <c r="C182" t="s">
        <v>163</v>
      </c>
      <c r="D182" t="s">
        <v>112</v>
      </c>
      <c r="E182" t="s">
        <v>164</v>
      </c>
      <c r="F182" s="54" t="s">
        <v>234</v>
      </c>
      <c r="G182" s="57"/>
      <c r="H182" s="57"/>
      <c r="I182" s="57"/>
      <c r="J182" s="57"/>
      <c r="K182" s="57"/>
      <c r="L182" s="57"/>
    </row>
    <row r="183" spans="1:12" x14ac:dyDescent="0.25">
      <c r="A183">
        <v>353</v>
      </c>
      <c r="B183">
        <v>2020</v>
      </c>
      <c r="C183" t="s">
        <v>165</v>
      </c>
      <c r="D183" t="s">
        <v>112</v>
      </c>
      <c r="E183" t="s">
        <v>166</v>
      </c>
      <c r="F183" s="54" t="s">
        <v>230</v>
      </c>
      <c r="G183" s="57"/>
      <c r="H183" s="57"/>
      <c r="I183" s="57"/>
      <c r="J183" s="57"/>
      <c r="K183" s="57"/>
      <c r="L183" s="57"/>
    </row>
    <row r="184" spans="1:12" x14ac:dyDescent="0.25">
      <c r="A184">
        <v>354</v>
      </c>
      <c r="B184">
        <v>2020</v>
      </c>
      <c r="C184" t="s">
        <v>167</v>
      </c>
      <c r="D184" t="s">
        <v>112</v>
      </c>
      <c r="E184" t="s">
        <v>168</v>
      </c>
      <c r="F184" s="54" t="s">
        <v>226</v>
      </c>
      <c r="G184" s="57"/>
      <c r="H184" s="57"/>
      <c r="I184" s="57"/>
      <c r="J184" s="57"/>
      <c r="K184" s="57"/>
      <c r="L184" s="57"/>
    </row>
    <row r="185" spans="1:12" x14ac:dyDescent="0.25">
      <c r="A185">
        <v>355</v>
      </c>
      <c r="B185">
        <v>2020</v>
      </c>
      <c r="C185" t="s">
        <v>169</v>
      </c>
      <c r="D185" t="s">
        <v>112</v>
      </c>
      <c r="E185" t="s">
        <v>170</v>
      </c>
      <c r="F185" s="54" t="s">
        <v>271</v>
      </c>
      <c r="G185" s="57"/>
      <c r="H185" s="57"/>
      <c r="I185" s="57"/>
      <c r="J185" s="57"/>
      <c r="K185" s="57"/>
      <c r="L185" s="57"/>
    </row>
    <row r="186" spans="1:12" x14ac:dyDescent="0.25">
      <c r="A186">
        <v>356</v>
      </c>
      <c r="B186">
        <v>2020</v>
      </c>
      <c r="C186" t="s">
        <v>171</v>
      </c>
      <c r="D186" t="s">
        <v>112</v>
      </c>
      <c r="E186" t="s">
        <v>172</v>
      </c>
      <c r="F186" s="54" t="s">
        <v>228</v>
      </c>
      <c r="G186" s="57"/>
      <c r="H186" s="57"/>
      <c r="I186" s="57"/>
      <c r="J186" s="57"/>
      <c r="K186" s="57"/>
      <c r="L186" s="57"/>
    </row>
    <row r="187" spans="1:12" x14ac:dyDescent="0.25">
      <c r="A187">
        <v>357</v>
      </c>
      <c r="B187">
        <v>2020</v>
      </c>
      <c r="C187" t="s">
        <v>173</v>
      </c>
      <c r="D187" t="s">
        <v>112</v>
      </c>
      <c r="E187" t="s">
        <v>174</v>
      </c>
      <c r="F187" s="54" t="s">
        <v>242</v>
      </c>
      <c r="G187" s="57"/>
      <c r="H187" s="57"/>
      <c r="I187" s="57"/>
      <c r="J187" s="57"/>
      <c r="K187" s="57"/>
      <c r="L187" s="57"/>
    </row>
    <row r="188" spans="1:12" x14ac:dyDescent="0.25">
      <c r="A188">
        <v>358</v>
      </c>
      <c r="B188">
        <v>2020</v>
      </c>
      <c r="C188" t="s">
        <v>175</v>
      </c>
      <c r="D188" t="s">
        <v>112</v>
      </c>
      <c r="E188" t="s">
        <v>176</v>
      </c>
      <c r="F188" s="54" t="s">
        <v>236</v>
      </c>
      <c r="G188" s="57"/>
      <c r="H188" s="57"/>
      <c r="I188" s="57"/>
      <c r="J188" s="57"/>
      <c r="K188" s="57"/>
      <c r="L188" s="57"/>
    </row>
    <row r="189" spans="1:12" x14ac:dyDescent="0.25">
      <c r="A189">
        <v>359</v>
      </c>
      <c r="B189">
        <v>2020</v>
      </c>
      <c r="C189" t="s">
        <v>177</v>
      </c>
      <c r="D189" t="s">
        <v>112</v>
      </c>
      <c r="E189" t="s">
        <v>178</v>
      </c>
      <c r="F189" s="54" t="s">
        <v>273</v>
      </c>
      <c r="G189" s="57"/>
      <c r="H189" s="57"/>
      <c r="I189" s="57"/>
      <c r="J189" s="57"/>
      <c r="K189" s="57"/>
      <c r="L189" s="57"/>
    </row>
    <row r="190" spans="1:12" x14ac:dyDescent="0.25">
      <c r="A190">
        <v>360</v>
      </c>
      <c r="B190">
        <v>2020</v>
      </c>
      <c r="C190" t="s">
        <v>179</v>
      </c>
      <c r="D190" t="s">
        <v>112</v>
      </c>
      <c r="E190" t="s">
        <v>180</v>
      </c>
      <c r="F190" s="54" t="s">
        <v>228</v>
      </c>
      <c r="G190" s="57"/>
      <c r="H190" s="57"/>
      <c r="I190" s="57"/>
      <c r="J190" s="57"/>
      <c r="K190" s="57"/>
      <c r="L190" s="57"/>
    </row>
    <row r="191" spans="1:12" x14ac:dyDescent="0.25">
      <c r="A191">
        <v>361</v>
      </c>
      <c r="B191">
        <v>2020</v>
      </c>
      <c r="C191" t="s">
        <v>181</v>
      </c>
      <c r="D191" t="s">
        <v>112</v>
      </c>
      <c r="E191" t="s">
        <v>182</v>
      </c>
      <c r="F191" s="54" t="s">
        <v>302</v>
      </c>
      <c r="G191" s="57"/>
      <c r="H191" s="57"/>
      <c r="I191" s="57"/>
      <c r="J191" s="57"/>
      <c r="K191" s="57"/>
      <c r="L191" s="57"/>
    </row>
    <row r="192" spans="1:12" x14ac:dyDescent="0.25">
      <c r="A192">
        <v>4</v>
      </c>
      <c r="B192">
        <v>2020</v>
      </c>
      <c r="C192" t="s">
        <v>183</v>
      </c>
      <c r="D192" t="s">
        <v>112</v>
      </c>
      <c r="E192" t="s">
        <v>184</v>
      </c>
      <c r="F192" s="54" t="s">
        <v>304</v>
      </c>
      <c r="G192" s="57"/>
      <c r="H192" s="57"/>
      <c r="I192" s="57"/>
      <c r="J192" s="57"/>
      <c r="K192" s="57"/>
      <c r="L192" s="57"/>
    </row>
    <row r="193" spans="1:12" x14ac:dyDescent="0.25">
      <c r="A193">
        <v>401</v>
      </c>
      <c r="B193">
        <v>2020</v>
      </c>
      <c r="C193" t="s">
        <v>185</v>
      </c>
      <c r="D193" t="s">
        <v>112</v>
      </c>
      <c r="E193" t="s">
        <v>186</v>
      </c>
      <c r="F193" s="54" t="s">
        <v>236</v>
      </c>
      <c r="G193" s="57"/>
      <c r="H193" s="57"/>
      <c r="I193" s="57"/>
      <c r="J193" s="57"/>
      <c r="K193" s="57"/>
      <c r="L193" s="57"/>
    </row>
    <row r="194" spans="1:12" x14ac:dyDescent="0.25">
      <c r="A194">
        <v>402</v>
      </c>
      <c r="B194">
        <v>2020</v>
      </c>
      <c r="C194" t="s">
        <v>187</v>
      </c>
      <c r="D194" t="s">
        <v>112</v>
      </c>
      <c r="E194" t="s">
        <v>188</v>
      </c>
      <c r="F194" s="54" t="s">
        <v>240</v>
      </c>
      <c r="G194" s="57"/>
      <c r="H194" s="57"/>
      <c r="I194" s="57"/>
      <c r="J194" s="57"/>
      <c r="K194" s="57"/>
      <c r="L194" s="57"/>
    </row>
    <row r="195" spans="1:12" x14ac:dyDescent="0.25">
      <c r="A195">
        <v>403</v>
      </c>
      <c r="B195">
        <v>2020</v>
      </c>
      <c r="C195" t="s">
        <v>189</v>
      </c>
      <c r="D195" t="s">
        <v>112</v>
      </c>
      <c r="E195" t="s">
        <v>190</v>
      </c>
      <c r="F195" s="54" t="s">
        <v>254</v>
      </c>
      <c r="G195" s="57"/>
      <c r="H195" s="57"/>
      <c r="I195" s="57"/>
      <c r="J195" s="57"/>
      <c r="K195" s="57"/>
      <c r="L195" s="57"/>
    </row>
    <row r="196" spans="1:12" x14ac:dyDescent="0.25">
      <c r="A196">
        <v>404</v>
      </c>
      <c r="B196">
        <v>2020</v>
      </c>
      <c r="C196" t="s">
        <v>191</v>
      </c>
      <c r="D196" t="s">
        <v>112</v>
      </c>
      <c r="E196" t="s">
        <v>192</v>
      </c>
      <c r="F196" s="54" t="s">
        <v>268</v>
      </c>
      <c r="G196" s="57"/>
      <c r="H196" s="57"/>
      <c r="I196" s="57"/>
      <c r="J196" s="57"/>
      <c r="K196" s="57"/>
      <c r="L196" s="57"/>
    </row>
    <row r="197" spans="1:12" x14ac:dyDescent="0.25">
      <c r="A197">
        <v>405</v>
      </c>
      <c r="B197">
        <v>2020</v>
      </c>
      <c r="C197" t="s">
        <v>193</v>
      </c>
      <c r="D197" t="s">
        <v>112</v>
      </c>
      <c r="E197" t="s">
        <v>194</v>
      </c>
      <c r="F197" s="54" t="s">
        <v>240</v>
      </c>
      <c r="G197" s="57"/>
      <c r="H197" s="57"/>
      <c r="I197" s="57"/>
      <c r="J197" s="57"/>
      <c r="K197" s="57"/>
      <c r="L197" s="57"/>
    </row>
    <row r="198" spans="1:12" x14ac:dyDescent="0.25">
      <c r="A198">
        <v>451</v>
      </c>
      <c r="B198">
        <v>2020</v>
      </c>
      <c r="C198" t="s">
        <v>195</v>
      </c>
      <c r="D198" t="s">
        <v>112</v>
      </c>
      <c r="E198" t="s">
        <v>196</v>
      </c>
      <c r="F198" s="54" t="s">
        <v>240</v>
      </c>
      <c r="G198" s="57"/>
      <c r="H198" s="57"/>
      <c r="I198" s="57"/>
      <c r="J198" s="57"/>
      <c r="K198" s="57"/>
      <c r="L198" s="57"/>
    </row>
    <row r="199" spans="1:12" x14ac:dyDescent="0.25">
      <c r="A199">
        <v>452</v>
      </c>
      <c r="B199">
        <v>2020</v>
      </c>
      <c r="C199" t="s">
        <v>197</v>
      </c>
      <c r="D199" t="s">
        <v>112</v>
      </c>
      <c r="E199" t="s">
        <v>198</v>
      </c>
      <c r="F199" s="54" t="s">
        <v>271</v>
      </c>
      <c r="G199" s="57"/>
      <c r="H199" s="57"/>
      <c r="I199" s="57"/>
      <c r="J199" s="57"/>
      <c r="K199" s="57"/>
      <c r="L199" s="57"/>
    </row>
    <row r="200" spans="1:12" x14ac:dyDescent="0.25">
      <c r="A200">
        <v>453</v>
      </c>
      <c r="B200">
        <v>2020</v>
      </c>
      <c r="C200" t="s">
        <v>199</v>
      </c>
      <c r="D200" t="s">
        <v>112</v>
      </c>
      <c r="E200" t="s">
        <v>200</v>
      </c>
      <c r="F200" s="54" t="s">
        <v>274</v>
      </c>
      <c r="G200" s="57"/>
      <c r="H200" s="57"/>
      <c r="I200" s="57"/>
      <c r="J200" s="57"/>
      <c r="K200" s="57"/>
      <c r="L200" s="57"/>
    </row>
    <row r="201" spans="1:12" x14ac:dyDescent="0.25">
      <c r="A201">
        <v>454</v>
      </c>
      <c r="B201">
        <v>2020</v>
      </c>
      <c r="C201" t="s">
        <v>201</v>
      </c>
      <c r="D201" t="s">
        <v>112</v>
      </c>
      <c r="E201" t="s">
        <v>202</v>
      </c>
      <c r="F201" s="54" t="s">
        <v>290</v>
      </c>
      <c r="G201" s="57"/>
      <c r="H201" s="57"/>
      <c r="I201" s="57"/>
      <c r="J201" s="57"/>
      <c r="K201" s="57"/>
      <c r="L201" s="57"/>
    </row>
    <row r="202" spans="1:12" x14ac:dyDescent="0.25">
      <c r="A202">
        <v>455</v>
      </c>
      <c r="B202">
        <v>2020</v>
      </c>
      <c r="C202" t="s">
        <v>203</v>
      </c>
      <c r="D202" t="s">
        <v>112</v>
      </c>
      <c r="E202" t="s">
        <v>204</v>
      </c>
      <c r="F202" s="54" t="s">
        <v>227</v>
      </c>
      <c r="G202" s="57"/>
      <c r="H202" s="57"/>
      <c r="I202" s="57"/>
      <c r="J202" s="57"/>
      <c r="K202" s="57"/>
      <c r="L202" s="57"/>
    </row>
    <row r="203" spans="1:12" x14ac:dyDescent="0.25">
      <c r="A203">
        <v>456</v>
      </c>
      <c r="B203">
        <v>2020</v>
      </c>
      <c r="C203" t="s">
        <v>205</v>
      </c>
      <c r="D203" t="s">
        <v>112</v>
      </c>
      <c r="E203" t="s">
        <v>206</v>
      </c>
      <c r="F203" s="54" t="s">
        <v>254</v>
      </c>
      <c r="G203" s="57"/>
      <c r="H203" s="57"/>
      <c r="I203" s="57"/>
      <c r="J203" s="57"/>
      <c r="K203" s="57"/>
      <c r="L203" s="57"/>
    </row>
    <row r="204" spans="1:12" x14ac:dyDescent="0.25">
      <c r="A204">
        <v>457</v>
      </c>
      <c r="B204">
        <v>2020</v>
      </c>
      <c r="C204" t="s">
        <v>207</v>
      </c>
      <c r="D204" t="s">
        <v>112</v>
      </c>
      <c r="E204" t="s">
        <v>208</v>
      </c>
      <c r="F204" s="54" t="s">
        <v>246</v>
      </c>
      <c r="G204" s="57"/>
      <c r="H204" s="57"/>
      <c r="I204" s="57"/>
      <c r="J204" s="57"/>
      <c r="K204" s="57"/>
      <c r="L204" s="57"/>
    </row>
    <row r="205" spans="1:12" x14ac:dyDescent="0.25">
      <c r="A205">
        <v>458</v>
      </c>
      <c r="B205">
        <v>2020</v>
      </c>
      <c r="C205" t="s">
        <v>209</v>
      </c>
      <c r="D205" t="s">
        <v>112</v>
      </c>
      <c r="E205" t="s">
        <v>210</v>
      </c>
      <c r="F205" s="54" t="s">
        <v>236</v>
      </c>
      <c r="G205" s="57"/>
      <c r="H205" s="57"/>
      <c r="I205" s="57"/>
      <c r="J205" s="57"/>
      <c r="K205" s="57"/>
      <c r="L205" s="57"/>
    </row>
    <row r="206" spans="1:12" x14ac:dyDescent="0.25">
      <c r="A206">
        <v>459</v>
      </c>
      <c r="B206">
        <v>2020</v>
      </c>
      <c r="C206" t="s">
        <v>211</v>
      </c>
      <c r="D206" t="s">
        <v>112</v>
      </c>
      <c r="E206" t="s">
        <v>212</v>
      </c>
      <c r="F206" s="54" t="s">
        <v>277</v>
      </c>
      <c r="G206" s="57"/>
      <c r="H206" s="57"/>
      <c r="I206" s="57"/>
      <c r="J206" s="57"/>
      <c r="K206" s="57"/>
      <c r="L206" s="57"/>
    </row>
    <row r="207" spans="1:12" x14ac:dyDescent="0.25">
      <c r="A207">
        <v>460</v>
      </c>
      <c r="B207">
        <v>2020</v>
      </c>
      <c r="C207" t="s">
        <v>213</v>
      </c>
      <c r="D207" t="s">
        <v>112</v>
      </c>
      <c r="E207" t="s">
        <v>214</v>
      </c>
      <c r="F207" s="54" t="s">
        <v>255</v>
      </c>
      <c r="G207" s="57"/>
      <c r="H207" s="57"/>
      <c r="I207" s="57"/>
      <c r="J207" s="57"/>
      <c r="K207" s="57"/>
      <c r="L207" s="57"/>
    </row>
    <row r="208" spans="1:12" x14ac:dyDescent="0.25">
      <c r="A208">
        <v>461</v>
      </c>
      <c r="B208">
        <v>2020</v>
      </c>
      <c r="C208" t="s">
        <v>215</v>
      </c>
      <c r="D208" t="s">
        <v>112</v>
      </c>
      <c r="E208" t="s">
        <v>216</v>
      </c>
      <c r="F208" s="54" t="s">
        <v>228</v>
      </c>
      <c r="G208" s="57"/>
      <c r="H208" s="57"/>
      <c r="I208" s="57"/>
      <c r="J208" s="57"/>
      <c r="K208" s="57"/>
      <c r="L208" s="57"/>
    </row>
    <row r="209" spans="1:12" x14ac:dyDescent="0.25">
      <c r="A209">
        <v>462</v>
      </c>
      <c r="B209">
        <v>2020</v>
      </c>
      <c r="C209" t="s">
        <v>217</v>
      </c>
      <c r="D209" t="s">
        <v>112</v>
      </c>
      <c r="E209" t="s">
        <v>218</v>
      </c>
      <c r="F209" s="54" t="s">
        <v>229</v>
      </c>
      <c r="G209" s="57"/>
      <c r="H209" s="57"/>
      <c r="I209" s="57"/>
      <c r="J209" s="57"/>
      <c r="K209" s="57"/>
      <c r="L209" s="57"/>
    </row>
    <row r="210" spans="1:12" x14ac:dyDescent="0.25">
      <c r="A210">
        <v>0</v>
      </c>
      <c r="B210">
        <v>2020</v>
      </c>
      <c r="C210" t="s">
        <v>115</v>
      </c>
      <c r="D210" t="s">
        <v>113</v>
      </c>
      <c r="E210" t="s">
        <v>116</v>
      </c>
      <c r="F210" s="54" t="s">
        <v>305</v>
      </c>
      <c r="G210" s="57"/>
      <c r="H210" s="57"/>
      <c r="I210" s="57"/>
      <c r="J210" s="57"/>
      <c r="K210" s="57"/>
      <c r="L210" s="57"/>
    </row>
    <row r="211" spans="1:12" x14ac:dyDescent="0.25">
      <c r="A211">
        <v>1</v>
      </c>
      <c r="B211">
        <v>2020</v>
      </c>
      <c r="C211" t="s">
        <v>117</v>
      </c>
      <c r="D211" t="s">
        <v>113</v>
      </c>
      <c r="E211" t="s">
        <v>118</v>
      </c>
      <c r="F211" s="54" t="s">
        <v>306</v>
      </c>
      <c r="G211" s="57"/>
      <c r="H211" s="57"/>
      <c r="I211" s="57"/>
      <c r="J211" s="57"/>
      <c r="K211" s="57"/>
      <c r="L211" s="57"/>
    </row>
    <row r="212" spans="1:12" x14ac:dyDescent="0.25">
      <c r="A212">
        <v>101</v>
      </c>
      <c r="B212">
        <v>2020</v>
      </c>
      <c r="C212" t="s">
        <v>119</v>
      </c>
      <c r="D212" t="s">
        <v>113</v>
      </c>
      <c r="E212" t="s">
        <v>120</v>
      </c>
      <c r="F212" s="54" t="s">
        <v>296</v>
      </c>
      <c r="G212" s="57"/>
      <c r="H212" s="57"/>
      <c r="I212" s="57"/>
      <c r="J212" s="57"/>
      <c r="K212" s="57"/>
      <c r="L212" s="57"/>
    </row>
    <row r="213" spans="1:12" x14ac:dyDescent="0.25">
      <c r="A213">
        <v>102</v>
      </c>
      <c r="B213">
        <v>2020</v>
      </c>
      <c r="C213" t="s">
        <v>121</v>
      </c>
      <c r="D213" t="s">
        <v>113</v>
      </c>
      <c r="E213" t="s">
        <v>122</v>
      </c>
      <c r="F213" s="54" t="s">
        <v>228</v>
      </c>
      <c r="G213" s="57"/>
      <c r="H213" s="57"/>
      <c r="I213" s="57"/>
      <c r="J213" s="57"/>
      <c r="K213" s="57"/>
      <c r="L213" s="57"/>
    </row>
    <row r="214" spans="1:12" x14ac:dyDescent="0.25">
      <c r="A214">
        <v>103</v>
      </c>
      <c r="B214">
        <v>2020</v>
      </c>
      <c r="C214" t="s">
        <v>123</v>
      </c>
      <c r="D214" t="s">
        <v>113</v>
      </c>
      <c r="E214" t="s">
        <v>124</v>
      </c>
      <c r="F214" s="54" t="s">
        <v>224</v>
      </c>
      <c r="G214" s="57"/>
      <c r="H214" s="57"/>
      <c r="I214" s="57"/>
      <c r="J214" s="57"/>
      <c r="K214" s="57"/>
      <c r="L214" s="57"/>
    </row>
    <row r="215" spans="1:12" x14ac:dyDescent="0.25">
      <c r="A215">
        <v>151</v>
      </c>
      <c r="B215">
        <v>2020</v>
      </c>
      <c r="C215" t="s">
        <v>125</v>
      </c>
      <c r="D215" t="s">
        <v>113</v>
      </c>
      <c r="E215" t="s">
        <v>126</v>
      </c>
      <c r="F215" s="54" t="s">
        <v>225</v>
      </c>
      <c r="G215" s="57"/>
      <c r="H215" s="57"/>
      <c r="I215" s="57"/>
      <c r="J215" s="57"/>
      <c r="K215" s="57"/>
      <c r="L215" s="57"/>
    </row>
    <row r="216" spans="1:12" x14ac:dyDescent="0.25">
      <c r="A216">
        <v>153</v>
      </c>
      <c r="B216">
        <v>2020</v>
      </c>
      <c r="C216" t="s">
        <v>127</v>
      </c>
      <c r="D216" t="s">
        <v>113</v>
      </c>
      <c r="E216" t="s">
        <v>128</v>
      </c>
      <c r="F216" s="54" t="s">
        <v>225</v>
      </c>
      <c r="G216" s="57"/>
      <c r="H216" s="57"/>
      <c r="I216" s="57"/>
      <c r="J216" s="57"/>
      <c r="K216" s="57"/>
      <c r="L216" s="57"/>
    </row>
    <row r="217" spans="1:12" x14ac:dyDescent="0.25">
      <c r="A217">
        <v>154</v>
      </c>
      <c r="B217">
        <v>2020</v>
      </c>
      <c r="C217" t="s">
        <v>129</v>
      </c>
      <c r="D217" t="s">
        <v>113</v>
      </c>
      <c r="E217" t="s">
        <v>130</v>
      </c>
      <c r="F217" s="54" t="s">
        <v>229</v>
      </c>
      <c r="G217" s="57"/>
      <c r="H217" s="57"/>
      <c r="I217" s="57"/>
      <c r="J217" s="57"/>
      <c r="K217" s="57"/>
      <c r="L217" s="57"/>
    </row>
    <row r="218" spans="1:12" x14ac:dyDescent="0.25">
      <c r="A218">
        <v>155</v>
      </c>
      <c r="B218">
        <v>2020</v>
      </c>
      <c r="C218" t="s">
        <v>131</v>
      </c>
      <c r="D218" t="s">
        <v>113</v>
      </c>
      <c r="E218" t="s">
        <v>132</v>
      </c>
      <c r="F218" s="54" t="s">
        <v>226</v>
      </c>
      <c r="G218" s="57"/>
      <c r="H218" s="57"/>
      <c r="I218" s="57"/>
      <c r="J218" s="57"/>
      <c r="K218" s="57"/>
      <c r="L218" s="57"/>
    </row>
    <row r="219" spans="1:12" x14ac:dyDescent="0.25">
      <c r="A219">
        <v>157</v>
      </c>
      <c r="B219">
        <v>2020</v>
      </c>
      <c r="C219" t="s">
        <v>133</v>
      </c>
      <c r="D219" t="s">
        <v>113</v>
      </c>
      <c r="E219" t="s">
        <v>134</v>
      </c>
      <c r="F219" s="54" t="s">
        <v>225</v>
      </c>
      <c r="G219" s="57"/>
      <c r="H219" s="57"/>
      <c r="I219" s="57"/>
      <c r="J219" s="57"/>
      <c r="K219" s="57"/>
      <c r="L219" s="57"/>
    </row>
    <row r="220" spans="1:12" x14ac:dyDescent="0.25">
      <c r="A220">
        <v>158</v>
      </c>
      <c r="B220">
        <v>2020</v>
      </c>
      <c r="C220" t="s">
        <v>135</v>
      </c>
      <c r="D220" t="s">
        <v>113</v>
      </c>
      <c r="E220" t="s">
        <v>136</v>
      </c>
      <c r="F220" s="54" t="s">
        <v>229</v>
      </c>
      <c r="G220" s="57"/>
      <c r="H220" s="57"/>
      <c r="I220" s="57"/>
      <c r="J220" s="57"/>
      <c r="K220" s="57"/>
      <c r="L220" s="57"/>
    </row>
    <row r="221" spans="1:12" x14ac:dyDescent="0.25">
      <c r="A221">
        <v>159</v>
      </c>
      <c r="B221">
        <v>2020</v>
      </c>
      <c r="C221" t="s">
        <v>137</v>
      </c>
      <c r="D221" t="s">
        <v>113</v>
      </c>
      <c r="E221" t="s">
        <v>138</v>
      </c>
      <c r="F221" s="54" t="s">
        <v>271</v>
      </c>
      <c r="G221" s="57"/>
      <c r="H221" s="57"/>
      <c r="I221" s="57"/>
      <c r="J221" s="57"/>
      <c r="K221" s="57"/>
      <c r="L221" s="57"/>
    </row>
    <row r="222" spans="1:12" x14ac:dyDescent="0.25">
      <c r="A222">
        <v>2</v>
      </c>
      <c r="B222">
        <v>2020</v>
      </c>
      <c r="C222" t="s">
        <v>139</v>
      </c>
      <c r="D222" t="s">
        <v>113</v>
      </c>
      <c r="E222" t="s">
        <v>140</v>
      </c>
      <c r="F222" s="54" t="s">
        <v>307</v>
      </c>
      <c r="G222" s="57"/>
      <c r="H222" s="57"/>
      <c r="I222" s="57"/>
      <c r="J222" s="57"/>
      <c r="K222" s="57"/>
      <c r="L222" s="57"/>
    </row>
    <row r="223" spans="1:12" x14ac:dyDescent="0.25">
      <c r="A223">
        <v>241</v>
      </c>
      <c r="B223">
        <v>2020</v>
      </c>
      <c r="C223" t="s">
        <v>141</v>
      </c>
      <c r="D223" t="s">
        <v>113</v>
      </c>
      <c r="E223" t="s">
        <v>142</v>
      </c>
      <c r="F223" s="54" t="s">
        <v>308</v>
      </c>
      <c r="G223" s="57"/>
      <c r="H223" s="57"/>
      <c r="I223" s="57"/>
      <c r="J223" s="57"/>
      <c r="K223" s="57"/>
      <c r="L223" s="57"/>
    </row>
    <row r="224" spans="1:12" x14ac:dyDescent="0.25">
      <c r="A224">
        <v>241001</v>
      </c>
      <c r="B224">
        <v>2020</v>
      </c>
      <c r="C224" t="s">
        <v>143</v>
      </c>
      <c r="D224" t="s">
        <v>113</v>
      </c>
      <c r="E224" t="s">
        <v>144</v>
      </c>
      <c r="F224" s="54" t="s">
        <v>256</v>
      </c>
      <c r="G224" s="57"/>
      <c r="H224" s="57"/>
      <c r="I224" s="57"/>
      <c r="J224" s="57"/>
      <c r="K224" s="57"/>
      <c r="L224" s="57"/>
    </row>
    <row r="225" spans="1:12" x14ac:dyDescent="0.25">
      <c r="A225">
        <v>241999</v>
      </c>
      <c r="B225">
        <v>2020</v>
      </c>
      <c r="C225" t="s">
        <v>145</v>
      </c>
      <c r="D225" t="s">
        <v>113</v>
      </c>
      <c r="E225" t="s">
        <v>146</v>
      </c>
      <c r="F225" s="54" t="s">
        <v>256</v>
      </c>
      <c r="G225" s="57"/>
      <c r="H225" s="57"/>
      <c r="I225" s="57"/>
      <c r="J225" s="57"/>
      <c r="K225" s="57"/>
      <c r="L225" s="57"/>
    </row>
    <row r="226" spans="1:12" x14ac:dyDescent="0.25">
      <c r="A226">
        <v>251</v>
      </c>
      <c r="B226">
        <v>2020</v>
      </c>
      <c r="C226" t="s">
        <v>147</v>
      </c>
      <c r="D226" t="s">
        <v>113</v>
      </c>
      <c r="E226" t="s">
        <v>148</v>
      </c>
      <c r="F226" s="54" t="s">
        <v>241</v>
      </c>
      <c r="G226" s="57"/>
      <c r="H226" s="57"/>
      <c r="I226" s="57"/>
      <c r="J226" s="57"/>
      <c r="K226" s="57"/>
      <c r="L226" s="57"/>
    </row>
    <row r="227" spans="1:12" x14ac:dyDescent="0.25">
      <c r="A227">
        <v>252</v>
      </c>
      <c r="B227">
        <v>2020</v>
      </c>
      <c r="C227" t="s">
        <v>149</v>
      </c>
      <c r="D227" t="s">
        <v>113</v>
      </c>
      <c r="E227" t="s">
        <v>150</v>
      </c>
      <c r="F227" s="54" t="s">
        <v>235</v>
      </c>
      <c r="G227" s="57"/>
      <c r="H227" s="57"/>
      <c r="I227" s="57"/>
      <c r="J227" s="57"/>
      <c r="K227" s="57"/>
      <c r="L227" s="57"/>
    </row>
    <row r="228" spans="1:12" x14ac:dyDescent="0.25">
      <c r="A228">
        <v>254</v>
      </c>
      <c r="B228">
        <v>2020</v>
      </c>
      <c r="C228" t="s">
        <v>151</v>
      </c>
      <c r="D228" t="s">
        <v>113</v>
      </c>
      <c r="E228" t="s">
        <v>152</v>
      </c>
      <c r="F228" s="54" t="s">
        <v>241</v>
      </c>
      <c r="G228" s="57"/>
      <c r="H228" s="57"/>
      <c r="I228" s="57"/>
      <c r="J228" s="57"/>
      <c r="K228" s="57"/>
      <c r="L228" s="57"/>
    </row>
    <row r="229" spans="1:12" x14ac:dyDescent="0.25">
      <c r="A229">
        <v>255</v>
      </c>
      <c r="B229">
        <v>2020</v>
      </c>
      <c r="C229" t="s">
        <v>153</v>
      </c>
      <c r="D229" t="s">
        <v>113</v>
      </c>
      <c r="E229" t="s">
        <v>154</v>
      </c>
      <c r="F229" s="54" t="s">
        <v>239</v>
      </c>
      <c r="G229" s="57"/>
      <c r="H229" s="57"/>
      <c r="I229" s="57"/>
      <c r="J229" s="57"/>
      <c r="K229" s="57"/>
      <c r="L229" s="57"/>
    </row>
    <row r="230" spans="1:12" x14ac:dyDescent="0.25">
      <c r="A230">
        <v>256</v>
      </c>
      <c r="B230">
        <v>2020</v>
      </c>
      <c r="C230" t="s">
        <v>155</v>
      </c>
      <c r="D230" t="s">
        <v>113</v>
      </c>
      <c r="E230" t="s">
        <v>156</v>
      </c>
      <c r="F230" s="54" t="s">
        <v>225</v>
      </c>
      <c r="G230" s="57"/>
      <c r="H230" s="57"/>
      <c r="I230" s="57"/>
      <c r="J230" s="57"/>
      <c r="K230" s="57"/>
      <c r="L230" s="57"/>
    </row>
    <row r="231" spans="1:12" x14ac:dyDescent="0.25">
      <c r="A231">
        <v>257</v>
      </c>
      <c r="B231">
        <v>2020</v>
      </c>
      <c r="C231" t="s">
        <v>157</v>
      </c>
      <c r="D231" t="s">
        <v>113</v>
      </c>
      <c r="E231" t="s">
        <v>158</v>
      </c>
      <c r="F231" s="54" t="s">
        <v>225</v>
      </c>
      <c r="G231" s="57"/>
      <c r="H231" s="57"/>
      <c r="I231" s="57"/>
      <c r="J231" s="57"/>
      <c r="K231" s="57"/>
      <c r="L231" s="57"/>
    </row>
    <row r="232" spans="1:12" x14ac:dyDescent="0.25">
      <c r="A232">
        <v>3</v>
      </c>
      <c r="B232">
        <v>2020</v>
      </c>
      <c r="C232" t="s">
        <v>159</v>
      </c>
      <c r="D232" t="s">
        <v>113</v>
      </c>
      <c r="E232" t="s">
        <v>160</v>
      </c>
      <c r="F232" s="54" t="s">
        <v>309</v>
      </c>
      <c r="G232" s="57"/>
      <c r="H232" s="57"/>
      <c r="I232" s="57"/>
      <c r="J232" s="57"/>
      <c r="K232" s="57"/>
      <c r="L232" s="57"/>
    </row>
    <row r="233" spans="1:12" x14ac:dyDescent="0.25">
      <c r="A233">
        <v>351</v>
      </c>
      <c r="B233">
        <v>2020</v>
      </c>
      <c r="C233" t="s">
        <v>161</v>
      </c>
      <c r="D233" t="s">
        <v>113</v>
      </c>
      <c r="E233" t="s">
        <v>162</v>
      </c>
      <c r="F233" s="54" t="s">
        <v>228</v>
      </c>
      <c r="G233" s="57"/>
      <c r="H233" s="57"/>
      <c r="I233" s="57"/>
      <c r="J233" s="57"/>
      <c r="K233" s="57"/>
      <c r="L233" s="57"/>
    </row>
    <row r="234" spans="1:12" x14ac:dyDescent="0.25">
      <c r="A234">
        <v>352</v>
      </c>
      <c r="B234">
        <v>2020</v>
      </c>
      <c r="C234" t="s">
        <v>163</v>
      </c>
      <c r="D234" t="s">
        <v>113</v>
      </c>
      <c r="E234" t="s">
        <v>164</v>
      </c>
      <c r="F234" s="54" t="s">
        <v>228</v>
      </c>
      <c r="G234" s="57"/>
      <c r="H234" s="57"/>
      <c r="I234" s="57"/>
      <c r="J234" s="57"/>
      <c r="K234" s="57"/>
      <c r="L234" s="57"/>
    </row>
    <row r="235" spans="1:12" x14ac:dyDescent="0.25">
      <c r="A235">
        <v>353</v>
      </c>
      <c r="B235">
        <v>2020</v>
      </c>
      <c r="C235" t="s">
        <v>165</v>
      </c>
      <c r="D235" t="s">
        <v>113</v>
      </c>
      <c r="E235" t="s">
        <v>166</v>
      </c>
      <c r="F235" s="54" t="s">
        <v>242</v>
      </c>
      <c r="G235" s="57"/>
      <c r="H235" s="57"/>
      <c r="I235" s="57"/>
      <c r="J235" s="57"/>
      <c r="K235" s="57"/>
      <c r="L235" s="57"/>
    </row>
    <row r="236" spans="1:12" x14ac:dyDescent="0.25">
      <c r="A236">
        <v>354</v>
      </c>
      <c r="B236">
        <v>2020</v>
      </c>
      <c r="C236" t="s">
        <v>167</v>
      </c>
      <c r="D236" t="s">
        <v>113</v>
      </c>
      <c r="E236" t="s">
        <v>168</v>
      </c>
      <c r="F236" s="54" t="s">
        <v>239</v>
      </c>
      <c r="G236" s="57"/>
      <c r="H236" s="57"/>
      <c r="I236" s="57"/>
      <c r="J236" s="57"/>
      <c r="K236" s="57"/>
      <c r="L236" s="57"/>
    </row>
    <row r="237" spans="1:12" x14ac:dyDescent="0.25">
      <c r="A237">
        <v>355</v>
      </c>
      <c r="B237">
        <v>2020</v>
      </c>
      <c r="C237" t="s">
        <v>169</v>
      </c>
      <c r="D237" t="s">
        <v>113</v>
      </c>
      <c r="E237" t="s">
        <v>170</v>
      </c>
      <c r="F237" s="54" t="s">
        <v>228</v>
      </c>
      <c r="G237" s="57"/>
      <c r="H237" s="57"/>
      <c r="I237" s="57"/>
      <c r="J237" s="57"/>
      <c r="K237" s="57"/>
      <c r="L237" s="57"/>
    </row>
    <row r="238" spans="1:12" x14ac:dyDescent="0.25">
      <c r="A238">
        <v>356</v>
      </c>
      <c r="B238">
        <v>2020</v>
      </c>
      <c r="C238" t="s">
        <v>171</v>
      </c>
      <c r="D238" t="s">
        <v>113</v>
      </c>
      <c r="E238" t="s">
        <v>172</v>
      </c>
      <c r="F238" s="54" t="s">
        <v>226</v>
      </c>
      <c r="G238" s="57"/>
      <c r="H238" s="57"/>
      <c r="I238" s="57"/>
      <c r="J238" s="57"/>
      <c r="K238" s="57"/>
      <c r="L238" s="57"/>
    </row>
    <row r="239" spans="1:12" x14ac:dyDescent="0.25">
      <c r="A239">
        <v>357</v>
      </c>
      <c r="B239">
        <v>2020</v>
      </c>
      <c r="C239" t="s">
        <v>173</v>
      </c>
      <c r="D239" t="s">
        <v>113</v>
      </c>
      <c r="E239" t="s">
        <v>174</v>
      </c>
      <c r="F239" s="54" t="s">
        <v>225</v>
      </c>
      <c r="G239" s="57"/>
      <c r="H239" s="57"/>
      <c r="I239" s="57"/>
      <c r="J239" s="57"/>
      <c r="K239" s="57"/>
      <c r="L239" s="57"/>
    </row>
    <row r="240" spans="1:12" x14ac:dyDescent="0.25">
      <c r="A240">
        <v>358</v>
      </c>
      <c r="B240">
        <v>2020</v>
      </c>
      <c r="C240" t="s">
        <v>175</v>
      </c>
      <c r="D240" t="s">
        <v>113</v>
      </c>
      <c r="E240" t="s">
        <v>176</v>
      </c>
      <c r="F240" s="54" t="s">
        <v>235</v>
      </c>
      <c r="G240" s="57"/>
      <c r="H240" s="57"/>
      <c r="I240" s="57"/>
      <c r="J240" s="57"/>
      <c r="K240" s="57"/>
      <c r="L240" s="57"/>
    </row>
    <row r="241" spans="1:12" x14ac:dyDescent="0.25">
      <c r="A241">
        <v>359</v>
      </c>
      <c r="B241">
        <v>2020</v>
      </c>
      <c r="C241" t="s">
        <v>177</v>
      </c>
      <c r="D241" t="s">
        <v>113</v>
      </c>
      <c r="E241" t="s">
        <v>178</v>
      </c>
      <c r="F241" s="54" t="s">
        <v>234</v>
      </c>
      <c r="G241" s="57"/>
      <c r="H241" s="57"/>
      <c r="I241" s="57"/>
      <c r="J241" s="57"/>
      <c r="K241" s="57"/>
      <c r="L241" s="57"/>
    </row>
    <row r="242" spans="1:12" x14ac:dyDescent="0.25">
      <c r="A242">
        <v>360</v>
      </c>
      <c r="B242">
        <v>2020</v>
      </c>
      <c r="C242" t="s">
        <v>179</v>
      </c>
      <c r="D242" t="s">
        <v>113</v>
      </c>
      <c r="E242" t="s">
        <v>180</v>
      </c>
      <c r="F242" s="54" t="s">
        <v>229</v>
      </c>
      <c r="G242" s="57"/>
      <c r="H242" s="57"/>
      <c r="I242" s="57"/>
      <c r="J242" s="57"/>
      <c r="K242" s="57"/>
      <c r="L242" s="57"/>
    </row>
    <row r="243" spans="1:12" x14ac:dyDescent="0.25">
      <c r="A243">
        <v>361</v>
      </c>
      <c r="B243">
        <v>2020</v>
      </c>
      <c r="C243" t="s">
        <v>181</v>
      </c>
      <c r="D243" t="s">
        <v>113</v>
      </c>
      <c r="E243" t="s">
        <v>182</v>
      </c>
      <c r="F243" s="54" t="s">
        <v>225</v>
      </c>
      <c r="G243" s="57"/>
      <c r="H243" s="57"/>
      <c r="I243" s="57"/>
      <c r="J243" s="57"/>
      <c r="K243" s="57"/>
      <c r="L243" s="57"/>
    </row>
    <row r="244" spans="1:12" x14ac:dyDescent="0.25">
      <c r="A244">
        <v>4</v>
      </c>
      <c r="B244">
        <v>2020</v>
      </c>
      <c r="C244" t="s">
        <v>183</v>
      </c>
      <c r="D244" t="s">
        <v>113</v>
      </c>
      <c r="E244" t="s">
        <v>184</v>
      </c>
      <c r="F244" s="54" t="s">
        <v>310</v>
      </c>
      <c r="G244" s="57"/>
      <c r="H244" s="57"/>
      <c r="I244" s="57"/>
      <c r="J244" s="57"/>
      <c r="K244" s="57"/>
      <c r="L244" s="57"/>
    </row>
    <row r="245" spans="1:12" x14ac:dyDescent="0.25">
      <c r="A245">
        <v>401</v>
      </c>
      <c r="B245">
        <v>2020</v>
      </c>
      <c r="C245" t="s">
        <v>185</v>
      </c>
      <c r="D245" t="s">
        <v>113</v>
      </c>
      <c r="E245" t="s">
        <v>186</v>
      </c>
      <c r="F245" s="54" t="s">
        <v>235</v>
      </c>
      <c r="G245" s="57"/>
      <c r="H245" s="57"/>
      <c r="I245" s="57"/>
      <c r="J245" s="57"/>
      <c r="K245" s="57"/>
      <c r="L245" s="57"/>
    </row>
    <row r="246" spans="1:12" x14ac:dyDescent="0.25">
      <c r="A246">
        <v>402</v>
      </c>
      <c r="B246">
        <v>2020</v>
      </c>
      <c r="C246" t="s">
        <v>187</v>
      </c>
      <c r="D246" t="s">
        <v>113</v>
      </c>
      <c r="E246" t="s">
        <v>188</v>
      </c>
      <c r="F246" s="54" t="s">
        <v>229</v>
      </c>
      <c r="G246" s="57"/>
      <c r="H246" s="57"/>
      <c r="I246" s="57"/>
      <c r="J246" s="57"/>
      <c r="K246" s="57"/>
      <c r="L246" s="57"/>
    </row>
    <row r="247" spans="1:12" x14ac:dyDescent="0.25">
      <c r="A247">
        <v>403</v>
      </c>
      <c r="B247">
        <v>2020</v>
      </c>
      <c r="C247" t="s">
        <v>189</v>
      </c>
      <c r="D247" t="s">
        <v>113</v>
      </c>
      <c r="E247" t="s">
        <v>190</v>
      </c>
      <c r="F247" s="54" t="s">
        <v>242</v>
      </c>
      <c r="G247" s="57"/>
      <c r="H247" s="57"/>
      <c r="I247" s="57"/>
      <c r="J247" s="57"/>
      <c r="K247" s="57"/>
      <c r="L247" s="57"/>
    </row>
    <row r="248" spans="1:12" x14ac:dyDescent="0.25">
      <c r="A248">
        <v>404</v>
      </c>
      <c r="B248">
        <v>2020</v>
      </c>
      <c r="C248" t="s">
        <v>191</v>
      </c>
      <c r="D248" t="s">
        <v>113</v>
      </c>
      <c r="E248" t="s">
        <v>192</v>
      </c>
      <c r="F248" s="54" t="s">
        <v>236</v>
      </c>
      <c r="G248" s="57"/>
      <c r="H248" s="57"/>
      <c r="I248" s="57"/>
      <c r="J248" s="57"/>
      <c r="K248" s="57"/>
      <c r="L248" s="57"/>
    </row>
    <row r="249" spans="1:12" x14ac:dyDescent="0.25">
      <c r="A249">
        <v>405</v>
      </c>
      <c r="B249">
        <v>2020</v>
      </c>
      <c r="C249" t="s">
        <v>193</v>
      </c>
      <c r="D249" t="s">
        <v>113</v>
      </c>
      <c r="E249" t="s">
        <v>194</v>
      </c>
      <c r="F249" s="54" t="s">
        <v>226</v>
      </c>
      <c r="G249" s="57"/>
      <c r="H249" s="57"/>
      <c r="I249" s="57"/>
      <c r="J249" s="57"/>
      <c r="K249" s="57"/>
      <c r="L249" s="57"/>
    </row>
    <row r="250" spans="1:12" x14ac:dyDescent="0.25">
      <c r="A250">
        <v>451</v>
      </c>
      <c r="B250">
        <v>2020</v>
      </c>
      <c r="C250" t="s">
        <v>195</v>
      </c>
      <c r="D250" t="s">
        <v>113</v>
      </c>
      <c r="E250" t="s">
        <v>196</v>
      </c>
      <c r="F250" s="54" t="s">
        <v>225</v>
      </c>
      <c r="G250" s="57"/>
      <c r="H250" s="57"/>
      <c r="I250" s="57"/>
      <c r="J250" s="57"/>
      <c r="K250" s="57"/>
      <c r="L250" s="57"/>
    </row>
    <row r="251" spans="1:12" x14ac:dyDescent="0.25">
      <c r="A251">
        <v>452</v>
      </c>
      <c r="B251">
        <v>2020</v>
      </c>
      <c r="C251" t="s">
        <v>197</v>
      </c>
      <c r="D251" t="s">
        <v>113</v>
      </c>
      <c r="E251" t="s">
        <v>198</v>
      </c>
      <c r="F251" s="54" t="s">
        <v>225</v>
      </c>
      <c r="G251" s="57"/>
      <c r="H251" s="57"/>
      <c r="I251" s="57"/>
      <c r="J251" s="57"/>
      <c r="K251" s="57"/>
      <c r="L251" s="57"/>
    </row>
    <row r="252" spans="1:12" x14ac:dyDescent="0.25">
      <c r="A252">
        <v>453</v>
      </c>
      <c r="B252">
        <v>2020</v>
      </c>
      <c r="C252" t="s">
        <v>199</v>
      </c>
      <c r="D252" t="s">
        <v>113</v>
      </c>
      <c r="E252" t="s">
        <v>200</v>
      </c>
      <c r="F252" s="54" t="s">
        <v>246</v>
      </c>
      <c r="G252" s="57"/>
      <c r="H252" s="57"/>
      <c r="I252" s="57"/>
      <c r="J252" s="57"/>
      <c r="K252" s="57"/>
      <c r="L252" s="57"/>
    </row>
    <row r="253" spans="1:12" x14ac:dyDescent="0.25">
      <c r="A253">
        <v>454</v>
      </c>
      <c r="B253">
        <v>2020</v>
      </c>
      <c r="C253" t="s">
        <v>201</v>
      </c>
      <c r="D253" t="s">
        <v>113</v>
      </c>
      <c r="E253" t="s">
        <v>202</v>
      </c>
      <c r="F253" s="54" t="s">
        <v>252</v>
      </c>
      <c r="G253" s="57"/>
      <c r="H253" s="57"/>
      <c r="I253" s="57"/>
      <c r="J253" s="57"/>
      <c r="K253" s="57"/>
      <c r="L253" s="57"/>
    </row>
    <row r="254" spans="1:12" x14ac:dyDescent="0.25">
      <c r="A254">
        <v>455</v>
      </c>
      <c r="B254">
        <v>2020</v>
      </c>
      <c r="C254" t="s">
        <v>203</v>
      </c>
      <c r="D254" t="s">
        <v>113</v>
      </c>
      <c r="E254" t="s">
        <v>204</v>
      </c>
      <c r="F254" s="54" t="s">
        <v>239</v>
      </c>
      <c r="G254" s="57"/>
      <c r="H254" s="57"/>
      <c r="I254" s="57"/>
      <c r="J254" s="57"/>
      <c r="K254" s="57"/>
      <c r="L254" s="57"/>
    </row>
    <row r="255" spans="1:12" x14ac:dyDescent="0.25">
      <c r="A255">
        <v>456</v>
      </c>
      <c r="B255">
        <v>2020</v>
      </c>
      <c r="C255" t="s">
        <v>205</v>
      </c>
      <c r="D255" t="s">
        <v>113</v>
      </c>
      <c r="E255" t="s">
        <v>206</v>
      </c>
      <c r="F255" s="54" t="s">
        <v>246</v>
      </c>
      <c r="G255" s="57"/>
      <c r="H255" s="57"/>
      <c r="I255" s="57"/>
      <c r="J255" s="57"/>
      <c r="K255" s="57"/>
      <c r="L255" s="57"/>
    </row>
    <row r="256" spans="1:12" x14ac:dyDescent="0.25">
      <c r="A256">
        <v>457</v>
      </c>
      <c r="B256">
        <v>2020</v>
      </c>
      <c r="C256" t="s">
        <v>207</v>
      </c>
      <c r="D256" t="s">
        <v>113</v>
      </c>
      <c r="E256" t="s">
        <v>208</v>
      </c>
      <c r="F256" s="54" t="s">
        <v>240</v>
      </c>
      <c r="G256" s="57"/>
      <c r="H256" s="57"/>
      <c r="I256" s="57"/>
      <c r="J256" s="57"/>
      <c r="K256" s="57"/>
      <c r="L256" s="57"/>
    </row>
    <row r="257" spans="1:12" x14ac:dyDescent="0.25">
      <c r="A257">
        <v>458</v>
      </c>
      <c r="B257">
        <v>2020</v>
      </c>
      <c r="C257" t="s">
        <v>209</v>
      </c>
      <c r="D257" t="s">
        <v>113</v>
      </c>
      <c r="E257" t="s">
        <v>210</v>
      </c>
      <c r="F257" s="54" t="s">
        <v>240</v>
      </c>
      <c r="G257" s="57"/>
      <c r="H257" s="57"/>
      <c r="I257" s="57"/>
      <c r="J257" s="57"/>
      <c r="K257" s="57"/>
      <c r="L257" s="57"/>
    </row>
    <row r="258" spans="1:12" x14ac:dyDescent="0.25">
      <c r="A258">
        <v>459</v>
      </c>
      <c r="B258">
        <v>2020</v>
      </c>
      <c r="C258" t="s">
        <v>211</v>
      </c>
      <c r="D258" t="s">
        <v>113</v>
      </c>
      <c r="E258" t="s">
        <v>212</v>
      </c>
      <c r="F258" s="54" t="s">
        <v>262</v>
      </c>
      <c r="G258" s="57"/>
      <c r="H258" s="57"/>
      <c r="I258" s="57"/>
      <c r="J258" s="57"/>
      <c r="K258" s="57"/>
      <c r="L258" s="57"/>
    </row>
    <row r="259" spans="1:12" x14ac:dyDescent="0.25">
      <c r="A259">
        <v>460</v>
      </c>
      <c r="B259">
        <v>2020</v>
      </c>
      <c r="C259" t="s">
        <v>213</v>
      </c>
      <c r="D259" t="s">
        <v>113</v>
      </c>
      <c r="E259" t="s">
        <v>214</v>
      </c>
      <c r="F259" s="54" t="s">
        <v>223</v>
      </c>
      <c r="G259" s="57"/>
      <c r="H259" s="57"/>
      <c r="I259" s="57"/>
      <c r="J259" s="57"/>
      <c r="K259" s="57"/>
      <c r="L259" s="57"/>
    </row>
    <row r="260" spans="1:12" x14ac:dyDescent="0.25">
      <c r="A260">
        <v>461</v>
      </c>
      <c r="B260">
        <v>2020</v>
      </c>
      <c r="C260" t="s">
        <v>215</v>
      </c>
      <c r="D260" t="s">
        <v>113</v>
      </c>
      <c r="E260" t="s">
        <v>216</v>
      </c>
      <c r="F260" s="54" t="s">
        <v>226</v>
      </c>
      <c r="G260" s="57"/>
      <c r="H260" s="57"/>
      <c r="I260" s="57"/>
      <c r="J260" s="57"/>
      <c r="K260" s="57"/>
      <c r="L260" s="57"/>
    </row>
    <row r="261" spans="1:12" x14ac:dyDescent="0.25">
      <c r="A261">
        <v>462</v>
      </c>
      <c r="B261">
        <v>2020</v>
      </c>
      <c r="C261" t="s">
        <v>217</v>
      </c>
      <c r="D261" t="s">
        <v>113</v>
      </c>
      <c r="E261" t="s">
        <v>218</v>
      </c>
      <c r="F261" s="54" t="s">
        <v>237</v>
      </c>
      <c r="G261" s="57"/>
      <c r="H261" s="57"/>
      <c r="I261" s="57"/>
      <c r="J261" s="57"/>
      <c r="K261" s="57"/>
      <c r="L261" s="57"/>
    </row>
    <row r="262" spans="1:12" x14ac:dyDescent="0.25">
      <c r="A262">
        <v>0</v>
      </c>
      <c r="B262">
        <v>2020</v>
      </c>
      <c r="C262" t="s">
        <v>115</v>
      </c>
      <c r="D262" t="s">
        <v>114</v>
      </c>
      <c r="E262" t="s">
        <v>116</v>
      </c>
      <c r="F262" s="54" t="s">
        <v>311</v>
      </c>
      <c r="G262" s="57"/>
      <c r="H262" s="57"/>
      <c r="I262" s="57"/>
      <c r="J262" s="57"/>
      <c r="K262" s="57"/>
      <c r="L262" s="57"/>
    </row>
    <row r="263" spans="1:12" x14ac:dyDescent="0.25">
      <c r="A263">
        <v>1</v>
      </c>
      <c r="B263">
        <v>2020</v>
      </c>
      <c r="C263" t="s">
        <v>117</v>
      </c>
      <c r="D263" t="s">
        <v>114</v>
      </c>
      <c r="E263" t="s">
        <v>118</v>
      </c>
      <c r="F263" s="54" t="s">
        <v>312</v>
      </c>
      <c r="G263" s="57"/>
      <c r="H263" s="57"/>
      <c r="I263" s="57"/>
      <c r="J263" s="57"/>
      <c r="K263" s="57"/>
      <c r="L263" s="57"/>
    </row>
    <row r="264" spans="1:12" x14ac:dyDescent="0.25">
      <c r="A264">
        <v>101</v>
      </c>
      <c r="B264">
        <v>2020</v>
      </c>
      <c r="C264" t="s">
        <v>119</v>
      </c>
      <c r="D264" t="s">
        <v>114</v>
      </c>
      <c r="E264" t="s">
        <v>120</v>
      </c>
      <c r="F264" s="54" t="s">
        <v>313</v>
      </c>
      <c r="G264" s="57"/>
      <c r="H264" s="57"/>
      <c r="I264" s="57"/>
      <c r="J264" s="57"/>
      <c r="K264" s="57"/>
      <c r="L264" s="57"/>
    </row>
    <row r="265" spans="1:12" x14ac:dyDescent="0.25">
      <c r="A265">
        <v>102</v>
      </c>
      <c r="B265">
        <v>2020</v>
      </c>
      <c r="C265" t="s">
        <v>121</v>
      </c>
      <c r="D265" t="s">
        <v>114</v>
      </c>
      <c r="E265" t="s">
        <v>122</v>
      </c>
      <c r="F265" s="54" t="s">
        <v>314</v>
      </c>
      <c r="G265" s="57"/>
      <c r="H265" s="57"/>
      <c r="I265" s="57"/>
      <c r="J265" s="57"/>
      <c r="K265" s="57"/>
      <c r="L265" s="57"/>
    </row>
    <row r="266" spans="1:12" x14ac:dyDescent="0.25">
      <c r="A266">
        <v>103</v>
      </c>
      <c r="B266">
        <v>2020</v>
      </c>
      <c r="C266" t="s">
        <v>123</v>
      </c>
      <c r="D266" t="s">
        <v>114</v>
      </c>
      <c r="E266" t="s">
        <v>124</v>
      </c>
      <c r="F266" s="54" t="s">
        <v>315</v>
      </c>
      <c r="G266" s="57"/>
      <c r="H266" s="57"/>
      <c r="I266" s="57"/>
      <c r="J266" s="57"/>
      <c r="K266" s="57"/>
      <c r="L266" s="57"/>
    </row>
    <row r="267" spans="1:12" x14ac:dyDescent="0.25">
      <c r="A267">
        <v>151</v>
      </c>
      <c r="B267">
        <v>2020</v>
      </c>
      <c r="C267" t="s">
        <v>125</v>
      </c>
      <c r="D267" t="s">
        <v>114</v>
      </c>
      <c r="E267" t="s">
        <v>126</v>
      </c>
      <c r="F267" s="54" t="s">
        <v>316</v>
      </c>
      <c r="G267" s="57"/>
      <c r="H267" s="57"/>
      <c r="I267" s="57"/>
      <c r="J267" s="57"/>
      <c r="K267" s="57"/>
      <c r="L267" s="57"/>
    </row>
    <row r="268" spans="1:12" x14ac:dyDescent="0.25">
      <c r="A268">
        <v>153</v>
      </c>
      <c r="B268">
        <v>2020</v>
      </c>
      <c r="C268" t="s">
        <v>127</v>
      </c>
      <c r="D268" t="s">
        <v>114</v>
      </c>
      <c r="E268" t="s">
        <v>128</v>
      </c>
      <c r="F268" s="54" t="s">
        <v>317</v>
      </c>
      <c r="G268" s="57"/>
      <c r="H268" s="57"/>
      <c r="I268" s="57"/>
      <c r="J268" s="57"/>
      <c r="K268" s="57"/>
      <c r="L268" s="57"/>
    </row>
    <row r="269" spans="1:12" x14ac:dyDescent="0.25">
      <c r="A269">
        <v>154</v>
      </c>
      <c r="B269">
        <v>2020</v>
      </c>
      <c r="C269" t="s">
        <v>129</v>
      </c>
      <c r="D269" t="s">
        <v>114</v>
      </c>
      <c r="E269" t="s">
        <v>130</v>
      </c>
      <c r="F269" s="54" t="s">
        <v>292</v>
      </c>
      <c r="G269" s="57"/>
      <c r="H269" s="57"/>
      <c r="I269" s="57"/>
      <c r="J269" s="57"/>
      <c r="K269" s="57"/>
      <c r="L269" s="57"/>
    </row>
    <row r="270" spans="1:12" x14ac:dyDescent="0.25">
      <c r="A270">
        <v>155</v>
      </c>
      <c r="B270">
        <v>2020</v>
      </c>
      <c r="C270" t="s">
        <v>131</v>
      </c>
      <c r="D270" t="s">
        <v>114</v>
      </c>
      <c r="E270" t="s">
        <v>132</v>
      </c>
      <c r="F270" s="54" t="s">
        <v>318</v>
      </c>
      <c r="G270" s="57"/>
      <c r="H270" s="57"/>
      <c r="I270" s="57"/>
      <c r="J270" s="57"/>
      <c r="K270" s="57"/>
      <c r="L270" s="57"/>
    </row>
    <row r="271" spans="1:12" x14ac:dyDescent="0.25">
      <c r="A271">
        <v>157</v>
      </c>
      <c r="B271">
        <v>2020</v>
      </c>
      <c r="C271" t="s">
        <v>133</v>
      </c>
      <c r="D271" t="s">
        <v>114</v>
      </c>
      <c r="E271" t="s">
        <v>134</v>
      </c>
      <c r="F271" s="54" t="s">
        <v>319</v>
      </c>
      <c r="G271" s="57"/>
      <c r="H271" s="57"/>
      <c r="I271" s="57"/>
      <c r="J271" s="57"/>
      <c r="K271" s="57"/>
      <c r="L271" s="57"/>
    </row>
    <row r="272" spans="1:12" x14ac:dyDescent="0.25">
      <c r="A272">
        <v>158</v>
      </c>
      <c r="B272">
        <v>2020</v>
      </c>
      <c r="C272" t="s">
        <v>135</v>
      </c>
      <c r="D272" t="s">
        <v>114</v>
      </c>
      <c r="E272" t="s">
        <v>136</v>
      </c>
      <c r="F272" s="54" t="s">
        <v>320</v>
      </c>
      <c r="G272" s="57"/>
      <c r="H272" s="57"/>
      <c r="I272" s="57"/>
      <c r="J272" s="57"/>
      <c r="K272" s="57"/>
      <c r="L272" s="57"/>
    </row>
    <row r="273" spans="1:12" x14ac:dyDescent="0.25">
      <c r="A273">
        <v>159</v>
      </c>
      <c r="B273">
        <v>2020</v>
      </c>
      <c r="C273" t="s">
        <v>137</v>
      </c>
      <c r="D273" t="s">
        <v>114</v>
      </c>
      <c r="E273" t="s">
        <v>138</v>
      </c>
      <c r="F273" s="54" t="s">
        <v>321</v>
      </c>
      <c r="G273" s="57"/>
      <c r="H273" s="57"/>
      <c r="I273" s="57"/>
      <c r="J273" s="57"/>
      <c r="K273" s="57"/>
      <c r="L273" s="57"/>
    </row>
    <row r="274" spans="1:12" x14ac:dyDescent="0.25">
      <c r="A274">
        <v>2</v>
      </c>
      <c r="B274">
        <v>2020</v>
      </c>
      <c r="C274" t="s">
        <v>139</v>
      </c>
      <c r="D274" t="s">
        <v>114</v>
      </c>
      <c r="E274" t="s">
        <v>140</v>
      </c>
      <c r="F274" s="54" t="s">
        <v>322</v>
      </c>
      <c r="G274" s="57"/>
      <c r="H274" s="57"/>
      <c r="I274" s="57"/>
      <c r="J274" s="57"/>
      <c r="K274" s="57"/>
      <c r="L274" s="57"/>
    </row>
    <row r="275" spans="1:12" x14ac:dyDescent="0.25">
      <c r="A275">
        <v>241</v>
      </c>
      <c r="B275">
        <v>2020</v>
      </c>
      <c r="C275" t="s">
        <v>141</v>
      </c>
      <c r="D275" t="s">
        <v>114</v>
      </c>
      <c r="E275" t="s">
        <v>142</v>
      </c>
      <c r="F275" s="54" t="s">
        <v>323</v>
      </c>
      <c r="G275" s="57"/>
      <c r="H275" s="57"/>
      <c r="I275" s="57"/>
      <c r="J275" s="57"/>
      <c r="K275" s="57"/>
      <c r="L275" s="57"/>
    </row>
    <row r="276" spans="1:12" x14ac:dyDescent="0.25">
      <c r="A276">
        <v>241001</v>
      </c>
      <c r="B276">
        <v>2020</v>
      </c>
      <c r="C276" t="s">
        <v>143</v>
      </c>
      <c r="D276" t="s">
        <v>114</v>
      </c>
      <c r="E276" t="s">
        <v>144</v>
      </c>
      <c r="F276" s="54" t="s">
        <v>324</v>
      </c>
      <c r="G276" s="57"/>
      <c r="H276" s="57"/>
      <c r="I276" s="57"/>
      <c r="J276" s="57"/>
      <c r="K276" s="57"/>
      <c r="L276" s="57"/>
    </row>
    <row r="277" spans="1:12" x14ac:dyDescent="0.25">
      <c r="A277">
        <v>241999</v>
      </c>
      <c r="B277">
        <v>2020</v>
      </c>
      <c r="C277" t="s">
        <v>145</v>
      </c>
      <c r="D277" t="s">
        <v>114</v>
      </c>
      <c r="E277" t="s">
        <v>146</v>
      </c>
      <c r="F277" s="54" t="s">
        <v>324</v>
      </c>
      <c r="G277" s="57"/>
      <c r="H277" s="57"/>
      <c r="I277" s="57"/>
      <c r="J277" s="57"/>
      <c r="K277" s="57"/>
      <c r="L277" s="57"/>
    </row>
    <row r="278" spans="1:12" x14ac:dyDescent="0.25">
      <c r="A278">
        <v>251</v>
      </c>
      <c r="B278">
        <v>2020</v>
      </c>
      <c r="C278" t="s">
        <v>147</v>
      </c>
      <c r="D278" t="s">
        <v>114</v>
      </c>
      <c r="E278" t="s">
        <v>148</v>
      </c>
      <c r="F278" s="54" t="s">
        <v>325</v>
      </c>
      <c r="G278" s="57"/>
      <c r="H278" s="57"/>
      <c r="I278" s="57"/>
      <c r="J278" s="57"/>
      <c r="K278" s="57"/>
      <c r="L278" s="57"/>
    </row>
    <row r="279" spans="1:12" x14ac:dyDescent="0.25">
      <c r="A279">
        <v>252</v>
      </c>
      <c r="B279">
        <v>2020</v>
      </c>
      <c r="C279" t="s">
        <v>149</v>
      </c>
      <c r="D279" t="s">
        <v>114</v>
      </c>
      <c r="E279" t="s">
        <v>150</v>
      </c>
      <c r="F279" s="54" t="s">
        <v>278</v>
      </c>
      <c r="G279" s="57"/>
      <c r="H279" s="57"/>
      <c r="I279" s="57"/>
      <c r="J279" s="57"/>
      <c r="K279" s="57"/>
      <c r="L279" s="57"/>
    </row>
    <row r="280" spans="1:12" x14ac:dyDescent="0.25">
      <c r="A280">
        <v>254</v>
      </c>
      <c r="B280">
        <v>2020</v>
      </c>
      <c r="C280" t="s">
        <v>151</v>
      </c>
      <c r="D280" t="s">
        <v>114</v>
      </c>
      <c r="E280" t="s">
        <v>152</v>
      </c>
      <c r="F280" s="54" t="s">
        <v>326</v>
      </c>
      <c r="G280" s="57"/>
      <c r="H280" s="57"/>
      <c r="I280" s="57"/>
      <c r="J280" s="57"/>
      <c r="K280" s="57"/>
      <c r="L280" s="57"/>
    </row>
    <row r="281" spans="1:12" x14ac:dyDescent="0.25">
      <c r="A281">
        <v>255</v>
      </c>
      <c r="B281">
        <v>2020</v>
      </c>
      <c r="C281" t="s">
        <v>153</v>
      </c>
      <c r="D281" t="s">
        <v>114</v>
      </c>
      <c r="E281" t="s">
        <v>154</v>
      </c>
      <c r="F281" s="54" t="s">
        <v>266</v>
      </c>
      <c r="G281" s="57"/>
      <c r="H281" s="57"/>
      <c r="I281" s="57"/>
      <c r="J281" s="57"/>
      <c r="K281" s="57"/>
      <c r="L281" s="57"/>
    </row>
    <row r="282" spans="1:12" x14ac:dyDescent="0.25">
      <c r="A282">
        <v>256</v>
      </c>
      <c r="B282">
        <v>2020</v>
      </c>
      <c r="C282" t="s">
        <v>155</v>
      </c>
      <c r="D282" t="s">
        <v>114</v>
      </c>
      <c r="E282" t="s">
        <v>156</v>
      </c>
      <c r="F282" s="54" t="s">
        <v>244</v>
      </c>
      <c r="G282" s="57"/>
      <c r="H282" s="57"/>
      <c r="I282" s="57"/>
      <c r="J282" s="57"/>
      <c r="K282" s="57"/>
      <c r="L282" s="57"/>
    </row>
    <row r="283" spans="1:12" x14ac:dyDescent="0.25">
      <c r="A283">
        <v>257</v>
      </c>
      <c r="B283">
        <v>2020</v>
      </c>
      <c r="C283" t="s">
        <v>157</v>
      </c>
      <c r="D283" t="s">
        <v>114</v>
      </c>
      <c r="E283" t="s">
        <v>158</v>
      </c>
      <c r="F283" s="54" t="s">
        <v>325</v>
      </c>
      <c r="G283" s="57"/>
      <c r="H283" s="57"/>
      <c r="I283" s="57"/>
      <c r="J283" s="57"/>
      <c r="K283" s="57"/>
      <c r="L283" s="57"/>
    </row>
    <row r="284" spans="1:12" x14ac:dyDescent="0.25">
      <c r="A284">
        <v>3</v>
      </c>
      <c r="B284">
        <v>2020</v>
      </c>
      <c r="C284" t="s">
        <v>159</v>
      </c>
      <c r="D284" t="s">
        <v>114</v>
      </c>
      <c r="E284" t="s">
        <v>160</v>
      </c>
      <c r="F284" s="54" t="s">
        <v>327</v>
      </c>
      <c r="G284" s="57"/>
      <c r="H284" s="57"/>
      <c r="I284" s="57"/>
      <c r="J284" s="57"/>
      <c r="K284" s="57"/>
      <c r="L284" s="57"/>
    </row>
    <row r="285" spans="1:12" x14ac:dyDescent="0.25">
      <c r="A285">
        <v>351</v>
      </c>
      <c r="B285">
        <v>2020</v>
      </c>
      <c r="C285" t="s">
        <v>161</v>
      </c>
      <c r="D285" t="s">
        <v>114</v>
      </c>
      <c r="E285" t="s">
        <v>162</v>
      </c>
      <c r="F285" s="54" t="s">
        <v>328</v>
      </c>
      <c r="G285" s="57"/>
      <c r="H285" s="57"/>
      <c r="I285" s="57"/>
      <c r="J285" s="57"/>
      <c r="K285" s="57"/>
      <c r="L285" s="57"/>
    </row>
    <row r="286" spans="1:12" x14ac:dyDescent="0.25">
      <c r="A286">
        <v>352</v>
      </c>
      <c r="B286">
        <v>2020</v>
      </c>
      <c r="C286" t="s">
        <v>163</v>
      </c>
      <c r="D286" t="s">
        <v>114</v>
      </c>
      <c r="E286" t="s">
        <v>164</v>
      </c>
      <c r="F286" s="54" t="s">
        <v>329</v>
      </c>
      <c r="G286" s="57"/>
      <c r="H286" s="57"/>
      <c r="I286" s="57"/>
      <c r="J286" s="57"/>
      <c r="K286" s="57"/>
      <c r="L286" s="57"/>
    </row>
    <row r="287" spans="1:12" x14ac:dyDescent="0.25">
      <c r="A287">
        <v>353</v>
      </c>
      <c r="B287">
        <v>2020</v>
      </c>
      <c r="C287" t="s">
        <v>165</v>
      </c>
      <c r="D287" t="s">
        <v>114</v>
      </c>
      <c r="E287" t="s">
        <v>166</v>
      </c>
      <c r="F287" s="54" t="s">
        <v>330</v>
      </c>
      <c r="G287" s="57"/>
      <c r="H287" s="57"/>
      <c r="I287" s="57"/>
      <c r="J287" s="57"/>
      <c r="K287" s="57"/>
      <c r="L287" s="57"/>
    </row>
    <row r="288" spans="1:12" x14ac:dyDescent="0.25">
      <c r="A288">
        <v>354</v>
      </c>
      <c r="B288">
        <v>2020</v>
      </c>
      <c r="C288" t="s">
        <v>167</v>
      </c>
      <c r="D288" t="s">
        <v>114</v>
      </c>
      <c r="E288" t="s">
        <v>168</v>
      </c>
      <c r="F288" s="54" t="s">
        <v>302</v>
      </c>
      <c r="G288" s="57"/>
      <c r="H288" s="57"/>
      <c r="I288" s="57"/>
      <c r="J288" s="57"/>
      <c r="K288" s="57"/>
      <c r="L288" s="57"/>
    </row>
    <row r="289" spans="1:12" x14ac:dyDescent="0.25">
      <c r="A289">
        <v>355</v>
      </c>
      <c r="B289">
        <v>2020</v>
      </c>
      <c r="C289" t="s">
        <v>169</v>
      </c>
      <c r="D289" t="s">
        <v>114</v>
      </c>
      <c r="E289" t="s">
        <v>170</v>
      </c>
      <c r="F289" s="54" t="s">
        <v>285</v>
      </c>
      <c r="G289" s="57"/>
      <c r="H289" s="57"/>
      <c r="I289" s="57"/>
      <c r="J289" s="57"/>
      <c r="K289" s="57"/>
      <c r="L289" s="57"/>
    </row>
    <row r="290" spans="1:12" x14ac:dyDescent="0.25">
      <c r="A290">
        <v>356</v>
      </c>
      <c r="B290">
        <v>2020</v>
      </c>
      <c r="C290" t="s">
        <v>171</v>
      </c>
      <c r="D290" t="s">
        <v>114</v>
      </c>
      <c r="E290" t="s">
        <v>172</v>
      </c>
      <c r="F290" s="54" t="s">
        <v>260</v>
      </c>
      <c r="G290" s="57"/>
      <c r="H290" s="57"/>
      <c r="I290" s="57"/>
      <c r="J290" s="57"/>
      <c r="K290" s="57"/>
      <c r="L290" s="57"/>
    </row>
    <row r="291" spans="1:12" x14ac:dyDescent="0.25">
      <c r="A291">
        <v>357</v>
      </c>
      <c r="B291">
        <v>2020</v>
      </c>
      <c r="C291" t="s">
        <v>173</v>
      </c>
      <c r="D291" t="s">
        <v>114</v>
      </c>
      <c r="E291" t="s">
        <v>174</v>
      </c>
      <c r="F291" s="54" t="s">
        <v>331</v>
      </c>
      <c r="G291" s="57"/>
      <c r="H291" s="57"/>
      <c r="I291" s="57"/>
      <c r="J291" s="57"/>
      <c r="K291" s="57"/>
      <c r="L291" s="57"/>
    </row>
    <row r="292" spans="1:12" x14ac:dyDescent="0.25">
      <c r="A292">
        <v>358</v>
      </c>
      <c r="B292">
        <v>2020</v>
      </c>
      <c r="C292" t="s">
        <v>175</v>
      </c>
      <c r="D292" t="s">
        <v>114</v>
      </c>
      <c r="E292" t="s">
        <v>176</v>
      </c>
      <c r="F292" s="54" t="s">
        <v>285</v>
      </c>
      <c r="G292" s="57"/>
      <c r="H292" s="57"/>
      <c r="I292" s="57"/>
      <c r="J292" s="57"/>
      <c r="K292" s="57"/>
      <c r="L292" s="57"/>
    </row>
    <row r="293" spans="1:12" x14ac:dyDescent="0.25">
      <c r="A293">
        <v>359</v>
      </c>
      <c r="B293">
        <v>2020</v>
      </c>
      <c r="C293" t="s">
        <v>177</v>
      </c>
      <c r="D293" t="s">
        <v>114</v>
      </c>
      <c r="E293" t="s">
        <v>178</v>
      </c>
      <c r="F293" s="54" t="s">
        <v>332</v>
      </c>
      <c r="G293" s="57"/>
      <c r="H293" s="57"/>
      <c r="I293" s="57"/>
      <c r="J293" s="57"/>
      <c r="K293" s="57"/>
      <c r="L293" s="57"/>
    </row>
    <row r="294" spans="1:12" x14ac:dyDescent="0.25">
      <c r="A294">
        <v>360</v>
      </c>
      <c r="B294">
        <v>2020</v>
      </c>
      <c r="C294" t="s">
        <v>179</v>
      </c>
      <c r="D294" t="s">
        <v>114</v>
      </c>
      <c r="E294" t="s">
        <v>180</v>
      </c>
      <c r="F294" s="54" t="s">
        <v>254</v>
      </c>
      <c r="G294" s="57"/>
      <c r="H294" s="57"/>
      <c r="I294" s="57"/>
      <c r="J294" s="57"/>
      <c r="K294" s="57"/>
      <c r="L294" s="57"/>
    </row>
    <row r="295" spans="1:12" x14ac:dyDescent="0.25">
      <c r="A295">
        <v>361</v>
      </c>
      <c r="B295">
        <v>2020</v>
      </c>
      <c r="C295" t="s">
        <v>181</v>
      </c>
      <c r="D295" t="s">
        <v>114</v>
      </c>
      <c r="E295" t="s">
        <v>182</v>
      </c>
      <c r="F295" s="54" t="s">
        <v>295</v>
      </c>
      <c r="G295" s="57"/>
      <c r="H295" s="57"/>
      <c r="I295" s="57"/>
      <c r="J295" s="57"/>
      <c r="K295" s="57"/>
      <c r="L295" s="57"/>
    </row>
    <row r="296" spans="1:12" x14ac:dyDescent="0.25">
      <c r="A296">
        <v>4</v>
      </c>
      <c r="B296">
        <v>2020</v>
      </c>
      <c r="C296" t="s">
        <v>183</v>
      </c>
      <c r="D296" t="s">
        <v>114</v>
      </c>
      <c r="E296" t="s">
        <v>184</v>
      </c>
      <c r="F296" s="54" t="s">
        <v>333</v>
      </c>
      <c r="G296" s="57"/>
      <c r="H296" s="57"/>
      <c r="I296" s="57"/>
      <c r="J296" s="57"/>
      <c r="K296" s="57"/>
      <c r="L296" s="57"/>
    </row>
    <row r="297" spans="1:12" x14ac:dyDescent="0.25">
      <c r="A297">
        <v>401</v>
      </c>
      <c r="B297">
        <v>2020</v>
      </c>
      <c r="C297" t="s">
        <v>185</v>
      </c>
      <c r="D297" t="s">
        <v>114</v>
      </c>
      <c r="E297" t="s">
        <v>186</v>
      </c>
      <c r="F297" s="54" t="s">
        <v>319</v>
      </c>
      <c r="G297" s="57"/>
      <c r="H297" s="57"/>
      <c r="I297" s="57"/>
      <c r="J297" s="57"/>
      <c r="K297" s="57"/>
      <c r="L297" s="57"/>
    </row>
    <row r="298" spans="1:12" x14ac:dyDescent="0.25">
      <c r="A298">
        <v>402</v>
      </c>
      <c r="B298">
        <v>2020</v>
      </c>
      <c r="C298" t="s">
        <v>187</v>
      </c>
      <c r="D298" t="s">
        <v>114</v>
      </c>
      <c r="E298" t="s">
        <v>188</v>
      </c>
      <c r="F298" s="54" t="s">
        <v>271</v>
      </c>
      <c r="G298" s="57"/>
      <c r="H298" s="57"/>
      <c r="I298" s="57"/>
      <c r="J298" s="57"/>
      <c r="K298" s="57"/>
      <c r="L298" s="57"/>
    </row>
    <row r="299" spans="1:12" x14ac:dyDescent="0.25">
      <c r="A299">
        <v>403</v>
      </c>
      <c r="B299">
        <v>2020</v>
      </c>
      <c r="C299" t="s">
        <v>189</v>
      </c>
      <c r="D299" t="s">
        <v>114</v>
      </c>
      <c r="E299" t="s">
        <v>190</v>
      </c>
      <c r="F299" s="54" t="s">
        <v>334</v>
      </c>
      <c r="G299" s="57"/>
      <c r="H299" s="57"/>
      <c r="I299" s="57"/>
      <c r="J299" s="57"/>
      <c r="K299" s="57"/>
      <c r="L299" s="57"/>
    </row>
    <row r="300" spans="1:12" x14ac:dyDescent="0.25">
      <c r="A300">
        <v>404</v>
      </c>
      <c r="B300">
        <v>2020</v>
      </c>
      <c r="C300" t="s">
        <v>191</v>
      </c>
      <c r="D300" t="s">
        <v>114</v>
      </c>
      <c r="E300" t="s">
        <v>192</v>
      </c>
      <c r="F300" s="54" t="s">
        <v>335</v>
      </c>
      <c r="G300" s="57"/>
      <c r="H300" s="57"/>
      <c r="I300" s="57"/>
      <c r="J300" s="57"/>
      <c r="K300" s="57"/>
      <c r="L300" s="57"/>
    </row>
    <row r="301" spans="1:12" x14ac:dyDescent="0.25">
      <c r="A301">
        <v>405</v>
      </c>
      <c r="B301">
        <v>2020</v>
      </c>
      <c r="C301" t="s">
        <v>193</v>
      </c>
      <c r="D301" t="s">
        <v>114</v>
      </c>
      <c r="E301" t="s">
        <v>194</v>
      </c>
      <c r="F301" s="54" t="s">
        <v>266</v>
      </c>
      <c r="G301" s="57"/>
      <c r="H301" s="57"/>
      <c r="I301" s="57"/>
      <c r="J301" s="57"/>
      <c r="K301" s="57"/>
      <c r="L301" s="57"/>
    </row>
    <row r="302" spans="1:12" x14ac:dyDescent="0.25">
      <c r="A302">
        <v>451</v>
      </c>
      <c r="B302">
        <v>2020</v>
      </c>
      <c r="C302" t="s">
        <v>195</v>
      </c>
      <c r="D302" t="s">
        <v>114</v>
      </c>
      <c r="E302" t="s">
        <v>196</v>
      </c>
      <c r="F302" s="54" t="s">
        <v>268</v>
      </c>
      <c r="G302" s="57"/>
      <c r="H302" s="57"/>
      <c r="I302" s="57"/>
      <c r="J302" s="57"/>
      <c r="K302" s="57"/>
      <c r="L302" s="57"/>
    </row>
    <row r="303" spans="1:12" x14ac:dyDescent="0.25">
      <c r="A303">
        <v>452</v>
      </c>
      <c r="B303">
        <v>2020</v>
      </c>
      <c r="C303" t="s">
        <v>197</v>
      </c>
      <c r="D303" t="s">
        <v>114</v>
      </c>
      <c r="E303" t="s">
        <v>198</v>
      </c>
      <c r="F303" s="54" t="s">
        <v>244</v>
      </c>
      <c r="G303" s="57"/>
      <c r="H303" s="57"/>
      <c r="I303" s="57"/>
      <c r="J303" s="57"/>
      <c r="K303" s="57"/>
      <c r="L303" s="57"/>
    </row>
    <row r="304" spans="1:12" x14ac:dyDescent="0.25">
      <c r="A304">
        <v>453</v>
      </c>
      <c r="B304">
        <v>2020</v>
      </c>
      <c r="C304" t="s">
        <v>199</v>
      </c>
      <c r="D304" t="s">
        <v>114</v>
      </c>
      <c r="E304" t="s">
        <v>200</v>
      </c>
      <c r="F304" s="54" t="s">
        <v>232</v>
      </c>
      <c r="G304" s="57"/>
      <c r="H304" s="57"/>
      <c r="I304" s="57"/>
      <c r="J304" s="57"/>
      <c r="K304" s="57"/>
      <c r="L304" s="57"/>
    </row>
    <row r="305" spans="1:12" x14ac:dyDescent="0.25">
      <c r="A305">
        <v>454</v>
      </c>
      <c r="B305">
        <v>2020</v>
      </c>
      <c r="C305" t="s">
        <v>201</v>
      </c>
      <c r="D305" t="s">
        <v>114</v>
      </c>
      <c r="E305" t="s">
        <v>202</v>
      </c>
      <c r="F305" s="54" t="s">
        <v>336</v>
      </c>
      <c r="G305" s="57"/>
      <c r="H305" s="57"/>
      <c r="I305" s="57"/>
      <c r="J305" s="57"/>
      <c r="K305" s="57"/>
      <c r="L305" s="57"/>
    </row>
    <row r="306" spans="1:12" x14ac:dyDescent="0.25">
      <c r="A306">
        <v>455</v>
      </c>
      <c r="B306">
        <v>2020</v>
      </c>
      <c r="C306" t="s">
        <v>203</v>
      </c>
      <c r="D306" t="s">
        <v>114</v>
      </c>
      <c r="E306" t="s">
        <v>204</v>
      </c>
      <c r="F306" s="54" t="s">
        <v>296</v>
      </c>
      <c r="G306" s="57"/>
      <c r="H306" s="57"/>
      <c r="I306" s="57"/>
      <c r="J306" s="57"/>
      <c r="K306" s="57"/>
      <c r="L306" s="57"/>
    </row>
    <row r="307" spans="1:12" x14ac:dyDescent="0.25">
      <c r="A307">
        <v>456</v>
      </c>
      <c r="B307">
        <v>2020</v>
      </c>
      <c r="C307" t="s">
        <v>205</v>
      </c>
      <c r="D307" t="s">
        <v>114</v>
      </c>
      <c r="E307" t="s">
        <v>206</v>
      </c>
      <c r="F307" s="54" t="s">
        <v>337</v>
      </c>
      <c r="G307" s="57"/>
      <c r="H307" s="57"/>
      <c r="I307" s="57"/>
      <c r="J307" s="57"/>
      <c r="K307" s="57"/>
      <c r="L307" s="57"/>
    </row>
    <row r="308" spans="1:12" x14ac:dyDescent="0.25">
      <c r="A308">
        <v>457</v>
      </c>
      <c r="B308">
        <v>2020</v>
      </c>
      <c r="C308" t="s">
        <v>207</v>
      </c>
      <c r="D308" t="s">
        <v>114</v>
      </c>
      <c r="E308" t="s">
        <v>208</v>
      </c>
      <c r="F308" s="54" t="s">
        <v>291</v>
      </c>
      <c r="G308" s="57"/>
      <c r="H308" s="57"/>
      <c r="I308" s="57"/>
      <c r="J308" s="57"/>
      <c r="K308" s="57"/>
      <c r="L308" s="57"/>
    </row>
    <row r="309" spans="1:12" x14ac:dyDescent="0.25">
      <c r="A309">
        <v>458</v>
      </c>
      <c r="B309">
        <v>2020</v>
      </c>
      <c r="C309" t="s">
        <v>209</v>
      </c>
      <c r="D309" t="s">
        <v>114</v>
      </c>
      <c r="E309" t="s">
        <v>210</v>
      </c>
      <c r="F309" s="54" t="s">
        <v>277</v>
      </c>
      <c r="G309" s="57"/>
      <c r="H309" s="57"/>
      <c r="I309" s="57"/>
      <c r="J309" s="57"/>
      <c r="K309" s="57"/>
      <c r="L309" s="57"/>
    </row>
    <row r="310" spans="1:12" x14ac:dyDescent="0.25">
      <c r="A310">
        <v>459</v>
      </c>
      <c r="B310">
        <v>2020</v>
      </c>
      <c r="C310" t="s">
        <v>211</v>
      </c>
      <c r="D310" t="s">
        <v>114</v>
      </c>
      <c r="E310" t="s">
        <v>212</v>
      </c>
      <c r="F310" s="54" t="s">
        <v>303</v>
      </c>
      <c r="G310" s="57"/>
      <c r="H310" s="57"/>
      <c r="I310" s="57"/>
      <c r="J310" s="57"/>
      <c r="K310" s="57"/>
      <c r="L310" s="57"/>
    </row>
    <row r="311" spans="1:12" x14ac:dyDescent="0.25">
      <c r="A311">
        <v>460</v>
      </c>
      <c r="B311">
        <v>2020</v>
      </c>
      <c r="C311" t="s">
        <v>213</v>
      </c>
      <c r="D311" t="s">
        <v>114</v>
      </c>
      <c r="E311" t="s">
        <v>214</v>
      </c>
      <c r="F311" s="54" t="s">
        <v>338</v>
      </c>
      <c r="G311" s="57"/>
      <c r="H311" s="57"/>
      <c r="I311" s="57"/>
      <c r="J311" s="57"/>
      <c r="K311" s="57"/>
      <c r="L311" s="57"/>
    </row>
    <row r="312" spans="1:12" x14ac:dyDescent="0.25">
      <c r="A312">
        <v>461</v>
      </c>
      <c r="B312">
        <v>2020</v>
      </c>
      <c r="C312" t="s">
        <v>215</v>
      </c>
      <c r="D312" t="s">
        <v>114</v>
      </c>
      <c r="E312" t="s">
        <v>216</v>
      </c>
      <c r="F312" s="54" t="s">
        <v>320</v>
      </c>
      <c r="G312" s="57"/>
      <c r="H312" s="57"/>
      <c r="I312" s="57"/>
      <c r="J312" s="57"/>
      <c r="K312" s="57"/>
      <c r="L312" s="57"/>
    </row>
    <row r="313" spans="1:12" x14ac:dyDescent="0.25">
      <c r="A313">
        <v>462</v>
      </c>
      <c r="B313">
        <v>2020</v>
      </c>
      <c r="C313" t="s">
        <v>217</v>
      </c>
      <c r="D313" t="s">
        <v>114</v>
      </c>
      <c r="E313" t="s">
        <v>218</v>
      </c>
      <c r="F313" s="54" t="s">
        <v>302</v>
      </c>
      <c r="G313" s="57"/>
      <c r="H313" s="57"/>
      <c r="I313" s="57"/>
      <c r="J313" s="57"/>
      <c r="K313" s="57"/>
      <c r="L313" s="57"/>
    </row>
    <row r="314" spans="1:12" x14ac:dyDescent="0.25">
      <c r="F314" s="54" t="s">
        <v>219</v>
      </c>
      <c r="G314" s="54"/>
      <c r="H314" s="54"/>
      <c r="I314" s="54"/>
      <c r="J314" s="54"/>
      <c r="K314" s="54"/>
      <c r="L314" s="54"/>
    </row>
    <row r="315" spans="1:12" x14ac:dyDescent="0.25">
      <c r="F315" s="54" t="s">
        <v>219</v>
      </c>
      <c r="G315" s="54"/>
      <c r="H315" s="54"/>
      <c r="I315" s="54"/>
      <c r="J315" s="54"/>
      <c r="K315" s="54"/>
      <c r="L315" s="54"/>
    </row>
    <row r="316" spans="1:12" x14ac:dyDescent="0.25">
      <c r="F316" s="54" t="s">
        <v>219</v>
      </c>
      <c r="G316" s="54"/>
      <c r="H316" s="54"/>
      <c r="I316" s="54"/>
      <c r="J316" s="54"/>
      <c r="K316" s="54"/>
      <c r="L316" s="54"/>
    </row>
    <row r="317" spans="1:12" x14ac:dyDescent="0.25">
      <c r="F317" s="54" t="s">
        <v>219</v>
      </c>
      <c r="G317" s="54"/>
      <c r="H317" s="54"/>
      <c r="I317" s="54"/>
      <c r="J317" s="54"/>
      <c r="K317" s="54"/>
      <c r="L317" s="54"/>
    </row>
    <row r="318" spans="1:12" x14ac:dyDescent="0.25">
      <c r="F318" s="54" t="s">
        <v>219</v>
      </c>
    </row>
    <row r="319" spans="1:12" x14ac:dyDescent="0.25">
      <c r="F319" s="54" t="s">
        <v>219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Tabelle1</vt:lpstr>
      <vt:lpstr>Tabelle3</vt:lpstr>
      <vt:lpstr>Tabelle4</vt:lpstr>
      <vt:lpstr>2020_1-2-3_CSV_Vorbereitung</vt:lpstr>
      <vt:lpstr>Tabelle5</vt:lpstr>
      <vt:lpstr>Tabelle6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2021-06-30T14:39:18Z</dcterms:created>
  <dcterms:modified xsi:type="dcterms:W3CDTF">2021-07-01T08:33:12Z</dcterms:modified>
</cp:coreProperties>
</file>